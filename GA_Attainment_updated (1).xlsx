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7620" tabRatio="600" firstSheet="6" activeTab="2" autoFilterDateGrouping="1"/>
  </bookViews>
  <sheets>
    <sheet xmlns:r="http://schemas.openxmlformats.org/officeDocument/2006/relationships" name="AI-SP-26" sheetId="1" state="visible" r:id="rId1"/>
    <sheet xmlns:r="http://schemas.openxmlformats.org/officeDocument/2006/relationships" name="AI-FA-25" sheetId="2" state="visible" r:id="rId2"/>
    <sheet xmlns:r="http://schemas.openxmlformats.org/officeDocument/2006/relationships" name="AI-SP-25" sheetId="3" state="visible" r:id="rId3"/>
    <sheet xmlns:r="http://schemas.openxmlformats.org/officeDocument/2006/relationships" name="AI-FA-24" sheetId="4" state="visible" r:id="rId4"/>
    <sheet xmlns:r="http://schemas.openxmlformats.org/officeDocument/2006/relationships" name="AI-SP-24" sheetId="5" state="visible" r:id="rId5"/>
    <sheet xmlns:r="http://schemas.openxmlformats.org/officeDocument/2006/relationships" name="AI-FA-23" sheetId="6" state="visible" r:id="rId6"/>
    <sheet xmlns:r="http://schemas.openxmlformats.org/officeDocument/2006/relationships" name="AI-SP-23" sheetId="7" state="visible" r:id="rId7"/>
    <sheet xmlns:r="http://schemas.openxmlformats.org/officeDocument/2006/relationships" name="AI-FA-22" sheetId="8" state="visible" r:id="rId8"/>
    <sheet xmlns:r="http://schemas.openxmlformats.org/officeDocument/2006/relationships" name="AI-SP-22" sheetId="9" state="visible" r:id="rId9"/>
    <sheet xmlns:r="http://schemas.openxmlformats.org/officeDocument/2006/relationships" name="AI-FA-21" sheetId="10" state="visible" r:id="rId10"/>
    <sheet xmlns:r="http://schemas.openxmlformats.org/officeDocument/2006/relationships" name="Sheet1" sheetId="11" state="visible" r:id="rId1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theme="0"/>
      <sz val="22"/>
      <scheme val="minor"/>
    </font>
    <font>
      <name val="Calibri"/>
      <charset val="134"/>
      <b val="1"/>
      <color theme="1"/>
      <sz val="12"/>
      <scheme val="minor"/>
    </font>
    <font>
      <name val="Calibri"/>
      <charset val="134"/>
      <b val="1"/>
      <color theme="1"/>
      <sz val="20"/>
      <scheme val="minor"/>
    </font>
    <font>
      <name val="Calibri"/>
      <charset val="134"/>
      <b val="1"/>
      <color theme="1"/>
      <sz val="18"/>
      <scheme val="minor"/>
    </font>
    <font>
      <name val="Calibri"/>
      <charset val="134"/>
      <b val="1"/>
      <color theme="0"/>
      <sz val="12"/>
      <scheme val="minor"/>
    </font>
    <font>
      <name val="Calibri"/>
      <charset val="134"/>
      <color theme="1"/>
      <sz val="12"/>
      <scheme val="minor"/>
    </font>
    <font>
      <name val="Calibri Light"/>
      <charset val="134"/>
      <color theme="1"/>
      <sz val="12"/>
      <scheme val="major"/>
    </font>
    <font>
      <name val="Calibri"/>
      <charset val="134"/>
      <b val="1"/>
      <color theme="1"/>
      <sz val="22"/>
      <scheme val="minor"/>
    </font>
    <font>
      <name val="Times New Roman"/>
      <charset val="134"/>
      <color theme="1"/>
      <sz val="11"/>
    </font>
    <font>
      <name val="Calibri"/>
      <charset val="134"/>
      <b val="1"/>
      <color theme="0"/>
      <sz val="18"/>
      <scheme val="minor"/>
    </font>
    <font>
      <name val="Calibri"/>
      <charset val="134"/>
      <b val="1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charset val="134"/>
      <color rgb="FF000000"/>
      <sz val="12"/>
    </font>
    <font>
      <name val="Calibri"/>
      <family val="2"/>
      <color rgb="FF000000"/>
      <sz val="12"/>
    </font>
    <font>
      <name val="Calibri"/>
      <charset val="1"/>
      <family val="2"/>
      <color theme="1"/>
      <sz val="10"/>
    </font>
    <font>
      <name val="Calibri"/>
      <family val="2"/>
      <b val="1"/>
      <color rgb="FF000000"/>
      <sz val="12"/>
    </font>
    <font>
      <name val="Calibri Light"/>
      <color theme="1"/>
      <sz val="12"/>
      <scheme val="major"/>
    </font>
    <font>
      <name val="Calibri"/>
      <charset val="134"/>
      <color rgb="FFFF0000"/>
      <sz val="11"/>
      <scheme val="minor"/>
    </font>
    <font>
      <name val="Calibri"/>
      <color rgb="FF000000"/>
      <sz val="12"/>
    </font>
    <font>
      <name val="Calibri"/>
      <charset val="134"/>
      <family val="2"/>
      <color theme="1"/>
      <sz val="12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Calibri"/>
      <charset val="134"/>
      <color rgb="FF9C0006"/>
      <sz val="11"/>
    </font>
  </fonts>
  <fills count="37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14548173467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3743705557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145481734672"/>
        <bgColor indexed="64"/>
      </patternFill>
    </fill>
    <fill>
      <patternFill patternType="solid">
        <fgColor theme="5" tint="0.3999145481734672"/>
        <bgColor indexed="64"/>
      </patternFill>
    </fill>
    <fill>
      <patternFill patternType="solid">
        <fgColor theme="4" tint="0.3999145481734672"/>
        <bgColor indexed="64"/>
      </patternFill>
    </fill>
    <fill>
      <patternFill patternType="solid">
        <fgColor theme="6" tint="0.3999145481734672"/>
        <bgColor indexed="64"/>
      </patternFill>
    </fill>
    <fill>
      <patternFill patternType="solid">
        <fgColor theme="7" tint="0.7999206518753624"/>
        <bgColor indexed="64"/>
      </patternFill>
    </fill>
    <fill>
      <patternFill patternType="solid">
        <fgColor theme="9" tint="0.399914548173467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C7CE"/>
        <bgColor rgb="FF000000"/>
      </patternFill>
    </fill>
  </fills>
  <borders count="192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1"/>
      </left>
      <right/>
      <top style="medium">
        <color theme="1"/>
      </top>
      <bottom style="thin">
        <color auto="1"/>
      </bottom>
      <diagonal/>
    </border>
    <border>
      <left/>
      <right/>
      <top style="medium">
        <color theme="1"/>
      </top>
      <bottom style="thin">
        <color auto="1"/>
      </bottom>
      <diagonal/>
    </border>
    <border>
      <left/>
      <right style="medium">
        <color theme="1"/>
      </right>
      <top style="medium">
        <color theme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n">
        <color auto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auto="1"/>
      </right>
      <top style="thin">
        <color theme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theme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theme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theme="1"/>
      </right>
      <top style="medium">
        <color auto="1"/>
      </top>
      <bottom style="medium">
        <color auto="1"/>
      </bottom>
      <diagonal/>
    </border>
    <border>
      <left style="medium">
        <color theme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auto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theme="1"/>
      </left>
      <right style="medium">
        <color theme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theme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 style="medium">
        <color auto="1"/>
      </top>
      <bottom style="medium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theme="1"/>
      </left>
      <right/>
      <top style="thin">
        <color auto="1"/>
      </top>
      <bottom style="medium">
        <color auto="1"/>
      </bottom>
      <diagonal/>
    </border>
    <border>
      <left/>
      <right style="medium">
        <color theme="1"/>
      </right>
      <top style="thin">
        <color auto="1"/>
      </top>
      <bottom style="medium">
        <color auto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theme="1"/>
      </top>
      <bottom style="thin">
        <color auto="1"/>
      </bottom>
      <diagonal/>
    </border>
    <border>
      <left/>
      <right style="medium">
        <color auto="1"/>
      </right>
      <top style="medium">
        <color theme="1"/>
      </top>
      <bottom style="thin">
        <color auto="1"/>
      </bottom>
      <diagonal/>
    </border>
    <border>
      <left/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theme="1"/>
      </left>
      <right/>
      <top style="medium">
        <color auto="1"/>
      </top>
      <bottom style="thin">
        <color theme="1"/>
      </bottom>
      <diagonal/>
    </border>
    <border>
      <left/>
      <right style="medium">
        <color auto="1"/>
      </right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theme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auto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medium">
        <color auto="1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theme="1"/>
      </left>
      <right style="medium">
        <color theme="1"/>
      </right>
      <top style="medium">
        <color auto="1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 style="thin">
        <color rgb="FF000000"/>
      </top>
      <bottom/>
      <diagonal/>
    </border>
    <border>
      <left style="medium">
        <color theme="1"/>
      </left>
      <right/>
      <top style="medium">
        <color theme="1"/>
      </top>
      <bottom style="thin">
        <color rgb="FF000000"/>
      </bottom>
      <diagonal/>
    </border>
    <border>
      <left/>
      <right/>
      <top style="medium">
        <color theme="1"/>
      </top>
      <bottom style="thin">
        <color rgb="FF000000"/>
      </bottom>
      <diagonal/>
    </border>
    <border>
      <left/>
      <right style="medium">
        <color theme="1"/>
      </right>
      <top style="medium">
        <color theme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medium">
        <color auto="1"/>
      </right>
      <top style="thin">
        <color theme="1"/>
      </top>
      <bottom/>
      <diagonal/>
    </border>
    <border>
      <left style="thin">
        <color auto="1"/>
      </left>
      <right style="medium">
        <color auto="1"/>
      </right>
      <top style="medium">
        <color theme="1"/>
      </top>
      <bottom style="thin">
        <color auto="1"/>
      </bottom>
      <diagonal/>
    </border>
    <border>
      <left/>
      <right style="medium">
        <color auto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/>
      <right style="thin">
        <color auto="1"/>
      </right>
      <top style="medium">
        <color theme="1"/>
      </top>
      <bottom/>
      <diagonal/>
    </border>
    <border>
      <left style="thin">
        <color theme="1"/>
      </left>
      <right style="medium">
        <color auto="1"/>
      </right>
      <top style="medium">
        <color auto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auto="1"/>
      </top>
      <bottom style="thin">
        <color theme="1"/>
      </bottom>
      <diagonal/>
    </border>
    <border>
      <left style="thin">
        <color auto="1"/>
      </left>
      <right style="medium">
        <color theme="1"/>
      </right>
      <top style="medium">
        <color auto="1"/>
      </top>
      <bottom style="thin">
        <color auto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theme="1"/>
      </left>
      <right style="medium">
        <color theme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 style="medium">
        <color auto="1"/>
      </right>
      <top style="medium">
        <color theme="1"/>
      </top>
      <bottom style="medium">
        <color theme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theme="1"/>
      </right>
      <top style="thin">
        <color auto="1"/>
      </top>
      <bottom/>
      <diagonal/>
    </border>
    <border>
      <left style="medium">
        <color theme="1"/>
      </left>
      <right style="medium">
        <color theme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 applyAlignment="1">
      <alignment vertical="center"/>
    </xf>
    <xf numFmtId="0" fontId="12" fillId="32" borderId="0" applyAlignment="1">
      <alignment vertical="center"/>
    </xf>
  </cellStyleXfs>
  <cellXfs count="713"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/>
    </xf>
    <xf numFmtId="0" fontId="3" fillId="4" borderId="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5" fillId="7" borderId="11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7" borderId="12" applyAlignment="1" pivotButton="0" quotePrefix="0" xfId="0">
      <alignment horizontal="center" vertical="center"/>
    </xf>
    <xf numFmtId="0" fontId="3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left" vertical="center" wrapText="1"/>
    </xf>
    <xf numFmtId="2" fontId="7" fillId="0" borderId="18" applyAlignment="1" pivotButton="0" quotePrefix="0" xfId="0">
      <alignment horizontal="center" vertical="center" wrapText="1"/>
    </xf>
    <xf numFmtId="2" fontId="7" fillId="0" borderId="19" applyAlignment="1" pivotButton="0" quotePrefix="0" xfId="0">
      <alignment horizontal="center" vertical="center" wrapText="1"/>
    </xf>
    <xf numFmtId="2" fontId="7" fillId="0" borderId="20" applyAlignment="1" pivotButton="0" quotePrefix="0" xfId="0">
      <alignment horizontal="center" vertical="center" wrapText="1"/>
    </xf>
    <xf numFmtId="2" fontId="2" fillId="8" borderId="23" applyAlignment="1" pivotButton="0" quotePrefix="0" xfId="0">
      <alignment horizontal="center" vertical="center"/>
    </xf>
    <xf numFmtId="0" fontId="2" fillId="10" borderId="27" applyAlignment="1" pivotButton="0" quotePrefix="0" xfId="0">
      <alignment horizontal="center" vertical="center"/>
    </xf>
    <xf numFmtId="0" fontId="2" fillId="10" borderId="19" applyAlignment="1" pivotButton="0" quotePrefix="0" xfId="0">
      <alignment horizontal="center" vertical="center"/>
    </xf>
    <xf numFmtId="0" fontId="2" fillId="11" borderId="28" applyAlignment="1" pivotButton="0" quotePrefix="0" xfId="0">
      <alignment horizontal="center" vertical="center"/>
    </xf>
    <xf numFmtId="0" fontId="2" fillId="9" borderId="29" applyAlignment="1" pivotButton="0" quotePrefix="0" xfId="0">
      <alignment horizontal="center" vertical="center"/>
    </xf>
    <xf numFmtId="0" fontId="2" fillId="11" borderId="27" applyAlignment="1" pivotButton="0" quotePrefix="0" xfId="0">
      <alignment horizontal="center" vertical="center"/>
    </xf>
    <xf numFmtId="0" fontId="5" fillId="12" borderId="4" applyAlignment="1" pivotButton="0" quotePrefix="0" xfId="0">
      <alignment horizontal="center" vertical="center"/>
    </xf>
    <xf numFmtId="0" fontId="5" fillId="12" borderId="30" applyAlignment="1" pivotButton="0" quotePrefix="0" xfId="0">
      <alignment horizontal="center" vertical="center"/>
    </xf>
    <xf numFmtId="0" fontId="5" fillId="12" borderId="31" applyAlignment="1" pivotButton="0" quotePrefix="0" xfId="0">
      <alignment horizontal="center" vertical="center"/>
    </xf>
    <xf numFmtId="0" fontId="5" fillId="12" borderId="32" applyAlignment="1" pivotButton="0" quotePrefix="0" xfId="0">
      <alignment horizontal="center" vertical="center"/>
    </xf>
    <xf numFmtId="0" fontId="5" fillId="12" borderId="33" applyAlignment="1" pivotButton="0" quotePrefix="0" xfId="0">
      <alignment horizontal="center" vertical="center"/>
    </xf>
    <xf numFmtId="0" fontId="5" fillId="12" borderId="34" applyAlignment="1" pivotButton="0" quotePrefix="0" xfId="0">
      <alignment horizontal="center" vertical="center"/>
    </xf>
    <xf numFmtId="0" fontId="5" fillId="12" borderId="21" applyAlignment="1" pivotButton="0" quotePrefix="0" xfId="0">
      <alignment horizontal="center" vertical="center"/>
    </xf>
    <xf numFmtId="0" fontId="0" fillId="13" borderId="27" applyAlignment="1" pivotButton="0" quotePrefix="0" xfId="1">
      <alignment horizontal="center" vertical="center"/>
    </xf>
    <xf numFmtId="0" fontId="0" fillId="13" borderId="19" applyAlignment="1" pivotButton="0" quotePrefix="0" xfId="1">
      <alignment horizontal="center" vertical="center"/>
    </xf>
    <xf numFmtId="164" fontId="0" fillId="13" borderId="28" applyAlignment="1" pivotButton="0" quotePrefix="0" xfId="1">
      <alignment horizontal="center" vertical="center"/>
    </xf>
    <xf numFmtId="164" fontId="0" fillId="13" borderId="29" applyAlignment="1" pivotButton="0" quotePrefix="0" xfId="1">
      <alignment horizontal="center" vertical="center"/>
    </xf>
    <xf numFmtId="2" fontId="2" fillId="8" borderId="35" applyAlignment="1" pivotButton="0" quotePrefix="0" xfId="0">
      <alignment horizontal="center" vertical="center"/>
    </xf>
    <xf numFmtId="0" fontId="2" fillId="10" borderId="28" applyAlignment="1" pivotButton="0" quotePrefix="0" xfId="0">
      <alignment horizontal="center" vertical="center"/>
    </xf>
    <xf numFmtId="0" fontId="2" fillId="14" borderId="28" applyAlignment="1" pivotButton="0" quotePrefix="0" xfId="0">
      <alignment horizontal="center" vertical="center"/>
    </xf>
    <xf numFmtId="0" fontId="2" fillId="14" borderId="17" applyAlignment="1" pivotButton="0" quotePrefix="0" xfId="0">
      <alignment horizontal="center" vertical="center"/>
    </xf>
    <xf numFmtId="0" fontId="2" fillId="9" borderId="17" applyAlignment="1" pivotButton="0" quotePrefix="0" xfId="0">
      <alignment horizontal="center" vertical="center"/>
    </xf>
    <xf numFmtId="0" fontId="2" fillId="15" borderId="18" applyAlignment="1" pivotButton="0" quotePrefix="0" xfId="0">
      <alignment horizontal="center" vertical="center"/>
    </xf>
    <xf numFmtId="0" fontId="5" fillId="12" borderId="22" applyAlignment="1" pivotButton="0" quotePrefix="0" xfId="0">
      <alignment horizontal="center" vertical="center"/>
    </xf>
    <xf numFmtId="0" fontId="5" fillId="7" borderId="36" applyAlignment="1" pivotButton="0" quotePrefix="0" xfId="0">
      <alignment horizontal="center" vertical="center"/>
    </xf>
    <xf numFmtId="0" fontId="5" fillId="7" borderId="37" applyAlignment="1" pivotButton="0" quotePrefix="0" xfId="0">
      <alignment horizontal="center" vertical="center"/>
    </xf>
    <xf numFmtId="0" fontId="5" fillId="7" borderId="38" applyAlignment="1" pivotButton="0" quotePrefix="0" xfId="0">
      <alignment horizontal="center" vertical="center"/>
    </xf>
    <xf numFmtId="0" fontId="0" fillId="13" borderId="28" applyAlignment="1" pivotButton="0" quotePrefix="0" xfId="1">
      <alignment horizontal="center" vertical="center"/>
    </xf>
    <xf numFmtId="0" fontId="0" fillId="13" borderId="17" applyAlignment="1" pivotButton="0" quotePrefix="0" xfId="1">
      <alignment vertical="center"/>
    </xf>
    <xf numFmtId="165" fontId="0" fillId="13" borderId="17" applyAlignment="1" pivotButton="0" quotePrefix="0" xfId="1">
      <alignment vertical="center"/>
    </xf>
    <xf numFmtId="165" fontId="0" fillId="13" borderId="29" applyAlignment="1" pivotButton="0" quotePrefix="0" xfId="1">
      <alignment vertical="center"/>
    </xf>
    <xf numFmtId="2" fontId="0" fillId="0" borderId="40" applyAlignment="1" pivotButton="0" quotePrefix="0" xfId="0">
      <alignment horizontal="center" vertical="center"/>
    </xf>
    <xf numFmtId="2" fontId="2" fillId="8" borderId="14" applyAlignment="1" pivotButton="0" quotePrefix="0" xfId="0">
      <alignment horizontal="center" vertical="center"/>
    </xf>
    <xf numFmtId="0" fontId="2" fillId="17" borderId="27" applyAlignment="1" pivotButton="0" quotePrefix="0" xfId="0">
      <alignment horizontal="center" vertical="center"/>
    </xf>
    <xf numFmtId="0" fontId="2" fillId="14" borderId="29" applyAlignment="1" pivotButton="0" quotePrefix="0" xfId="0">
      <alignment horizontal="center" vertical="center"/>
    </xf>
    <xf numFmtId="0" fontId="5" fillId="12" borderId="44" applyAlignment="1" pivotButton="0" quotePrefix="0" xfId="0">
      <alignment horizontal="center" vertical="center"/>
    </xf>
    <xf numFmtId="0" fontId="5" fillId="12" borderId="45" applyAlignment="1" pivotButton="0" quotePrefix="0" xfId="0">
      <alignment horizontal="center" vertical="center"/>
    </xf>
    <xf numFmtId="0" fontId="5" fillId="12" borderId="46" applyAlignment="1" pivotButton="0" quotePrefix="0" xfId="0">
      <alignment horizontal="center" vertical="center"/>
    </xf>
    <xf numFmtId="0" fontId="5" fillId="12" borderId="47" applyAlignment="1" pivotButton="0" quotePrefix="0" xfId="0">
      <alignment horizontal="center" vertical="center"/>
    </xf>
    <xf numFmtId="0" fontId="5" fillId="12" borderId="48" applyAlignment="1" pivotButton="0" quotePrefix="0" xfId="0">
      <alignment horizontal="center" vertical="center"/>
    </xf>
    <xf numFmtId="0" fontId="5" fillId="12" borderId="49" applyAlignment="1" pivotButton="0" quotePrefix="0" xfId="0">
      <alignment horizontal="center" vertical="center"/>
    </xf>
    <xf numFmtId="2" fontId="2" fillId="8" borderId="50" applyAlignment="1" pivotButton="0" quotePrefix="0" xfId="0">
      <alignment horizontal="center" vertical="center"/>
    </xf>
    <xf numFmtId="0" fontId="2" fillId="9" borderId="28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8" borderId="28" applyAlignment="1" pivotButton="0" quotePrefix="0" xfId="0">
      <alignment horizontal="center" vertical="center"/>
    </xf>
    <xf numFmtId="0" fontId="2" fillId="11" borderId="29" applyAlignment="1" pivotButton="0" quotePrefix="0" xfId="0">
      <alignment horizontal="center" vertical="center"/>
    </xf>
    <xf numFmtId="0" fontId="0" fillId="13" borderId="29" applyAlignment="1" pivotButton="0" quotePrefix="0" xfId="1">
      <alignment horizontal="center" vertical="center"/>
    </xf>
    <xf numFmtId="2" fontId="0" fillId="13" borderId="51" applyAlignment="1" pivotButton="0" quotePrefix="0" xfId="1">
      <alignment horizontal="center" vertical="center"/>
    </xf>
    <xf numFmtId="2" fontId="0" fillId="13" borderId="15" applyAlignment="1" pivotButton="0" quotePrefix="0" xfId="1">
      <alignment horizontal="center" vertical="center"/>
    </xf>
    <xf numFmtId="2" fontId="2" fillId="8" borderId="5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2" fillId="14" borderId="53" applyAlignment="1" pivotButton="0" quotePrefix="0" xfId="0">
      <alignment horizontal="center" vertical="center"/>
    </xf>
    <xf numFmtId="0" fontId="2" fillId="14" borderId="54" applyAlignment="1" pivotButton="0" quotePrefix="0" xfId="0">
      <alignment horizontal="center" vertical="center"/>
    </xf>
    <xf numFmtId="0" fontId="2" fillId="14" borderId="55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56" applyAlignment="1" pivotButton="0" quotePrefix="0" xfId="0">
      <alignment horizontal="center" vertical="center"/>
    </xf>
    <xf numFmtId="2" fontId="0" fillId="0" borderId="57" applyAlignment="1" pivotButton="0" quotePrefix="0" xfId="1">
      <alignment horizontal="center" vertical="center"/>
    </xf>
    <xf numFmtId="2" fontId="0" fillId="0" borderId="15" applyAlignment="1" pivotButton="0" quotePrefix="0" xfId="1">
      <alignment horizontal="center" vertical="center"/>
    </xf>
    <xf numFmtId="2" fontId="0" fillId="0" borderId="16" applyAlignment="1" pivotButton="0" quotePrefix="0" xfId="1">
      <alignment horizontal="center" vertical="center"/>
    </xf>
    <xf numFmtId="2" fontId="2" fillId="8" borderId="58" applyAlignment="1" pivotButton="0" quotePrefix="0" xfId="0">
      <alignment horizontal="center" vertical="center"/>
    </xf>
    <xf numFmtId="2" fontId="2" fillId="8" borderId="59" applyAlignment="1" pivotButton="0" quotePrefix="0" xfId="0">
      <alignment horizontal="center" vertical="center"/>
    </xf>
    <xf numFmtId="2" fontId="2" fillId="8" borderId="60" applyAlignment="1" pivotButton="0" quotePrefix="0" xfId="0">
      <alignment horizontal="center" vertical="center"/>
    </xf>
    <xf numFmtId="0" fontId="2" fillId="14" borderId="61" applyAlignment="1" pivotButton="0" quotePrefix="0" xfId="0">
      <alignment horizontal="center" vertical="center"/>
    </xf>
    <xf numFmtId="0" fontId="2" fillId="21" borderId="62" applyAlignment="1" pivotButton="0" quotePrefix="0" xfId="0">
      <alignment horizontal="center" vertical="center"/>
    </xf>
    <xf numFmtId="0" fontId="2" fillId="10" borderId="63" applyAlignment="1" pivotButton="0" quotePrefix="0" xfId="0">
      <alignment horizontal="center" vertical="center"/>
    </xf>
    <xf numFmtId="0" fontId="2" fillId="10" borderId="61" applyAlignment="1" pivotButton="0" quotePrefix="0" xfId="0">
      <alignment horizontal="center" vertical="center"/>
    </xf>
    <xf numFmtId="0" fontId="2" fillId="22" borderId="53" applyAlignment="1" pivotButton="0" quotePrefix="0" xfId="0">
      <alignment horizontal="center" vertical="center"/>
    </xf>
    <xf numFmtId="0" fontId="2" fillId="22" borderId="54" applyAlignment="1" pivotButton="0" quotePrefix="0" xfId="0">
      <alignment horizontal="center" vertical="center"/>
    </xf>
    <xf numFmtId="0" fontId="2" fillId="22" borderId="61" applyAlignment="1" pivotButton="0" quotePrefix="0" xfId="0">
      <alignment horizontal="center" vertical="center"/>
    </xf>
    <xf numFmtId="0" fontId="5" fillId="7" borderId="31" applyAlignment="1" pivotButton="0" quotePrefix="0" xfId="0">
      <alignment horizontal="center" vertical="center"/>
    </xf>
    <xf numFmtId="0" fontId="5" fillId="7" borderId="64" applyAlignment="1" pivotButton="0" quotePrefix="0" xfId="0">
      <alignment horizontal="center" vertical="center"/>
    </xf>
    <xf numFmtId="0" fontId="5" fillId="7" borderId="65" applyAlignment="1" pivotButton="0" quotePrefix="0" xfId="0">
      <alignment horizontal="center" vertical="center"/>
    </xf>
    <xf numFmtId="0" fontId="5" fillId="7" borderId="66" applyAlignment="1" pivotButton="0" quotePrefix="0" xfId="0">
      <alignment horizontal="center" vertical="center"/>
    </xf>
    <xf numFmtId="2" fontId="0" fillId="0" borderId="67" applyAlignment="1" pivotButton="0" quotePrefix="0" xfId="1">
      <alignment horizontal="center" vertical="center"/>
    </xf>
    <xf numFmtId="2" fontId="0" fillId="0" borderId="51" applyAlignment="1" pivotButton="0" quotePrefix="0" xfId="1">
      <alignment horizontal="center" vertical="center"/>
    </xf>
    <xf numFmtId="164" fontId="0" fillId="0" borderId="15" applyAlignment="1" pivotButton="0" quotePrefix="0" xfId="1">
      <alignment horizontal="center" vertical="center"/>
    </xf>
    <xf numFmtId="2" fontId="2" fillId="8" borderId="69" applyAlignment="1" pivotButton="0" quotePrefix="0" xfId="0">
      <alignment horizontal="center" vertical="center"/>
    </xf>
    <xf numFmtId="0" fontId="5" fillId="16" borderId="53" applyAlignment="1" pivotButton="0" quotePrefix="0" xfId="0">
      <alignment horizontal="center" vertical="center"/>
    </xf>
    <xf numFmtId="0" fontId="5" fillId="16" borderId="54" applyAlignment="1" pivotButton="0" quotePrefix="0" xfId="0">
      <alignment horizontal="center" vertical="center"/>
    </xf>
    <xf numFmtId="164" fontId="0" fillId="0" borderId="16" applyAlignment="1" pivotButton="0" quotePrefix="0" xfId="1">
      <alignment horizontal="center" vertical="center"/>
    </xf>
    <xf numFmtId="164" fontId="0" fillId="0" borderId="67" applyAlignment="1" pivotButton="0" quotePrefix="0" xfId="1">
      <alignment horizontal="center" vertical="center"/>
    </xf>
    <xf numFmtId="0" fontId="0" fillId="13" borderId="57" applyAlignment="1" pivotButton="0" quotePrefix="0" xfId="1">
      <alignment horizontal="center" vertical="center"/>
    </xf>
    <xf numFmtId="0" fontId="0" fillId="13" borderId="15" applyAlignment="1" pivotButton="0" quotePrefix="0" xfId="1">
      <alignment horizontal="center" vertical="center"/>
    </xf>
    <xf numFmtId="0" fontId="5" fillId="16" borderId="61" applyAlignment="1" pivotButton="0" quotePrefix="0" xfId="0">
      <alignment horizontal="center" vertical="center"/>
    </xf>
    <xf numFmtId="0" fontId="0" fillId="13" borderId="67" applyAlignment="1" pivotButton="0" quotePrefix="0" xfId="1">
      <alignment horizontal="center" vertical="center"/>
    </xf>
    <xf numFmtId="2" fontId="2" fillId="8" borderId="36" applyAlignment="1" pivotButton="0" quotePrefix="0" xfId="0">
      <alignment horizontal="center" vertical="center"/>
    </xf>
    <xf numFmtId="0" fontId="5" fillId="7" borderId="12" applyAlignment="1" pivotButton="0" quotePrefix="0" xfId="0">
      <alignment vertical="center"/>
    </xf>
    <xf numFmtId="2" fontId="7" fillId="0" borderId="71" applyAlignment="1" pivotButton="0" quotePrefix="0" xfId="0">
      <alignment horizontal="center" vertical="center" wrapText="1"/>
    </xf>
    <xf numFmtId="0" fontId="0" fillId="13" borderId="17" applyAlignment="1" pivotButton="0" quotePrefix="0" xfId="1">
      <alignment horizontal="center" vertical="center"/>
    </xf>
    <xf numFmtId="2" fontId="0" fillId="0" borderId="72" applyAlignment="1" pivotButton="0" quotePrefix="0" xfId="0">
      <alignment horizontal="center" vertical="center"/>
    </xf>
    <xf numFmtId="2" fontId="0" fillId="0" borderId="73" applyAlignment="1" pivotButton="0" quotePrefix="0" xfId="0">
      <alignment horizontal="center" vertical="center"/>
    </xf>
    <xf numFmtId="0" fontId="2" fillId="9" borderId="63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71" applyAlignment="1" pivotButton="0" quotePrefix="0" xfId="0">
      <alignment horizontal="center" vertical="center"/>
    </xf>
    <xf numFmtId="0" fontId="2" fillId="0" borderId="76" applyAlignment="1" pivotButton="0" quotePrefix="0" xfId="0">
      <alignment horizontal="center" vertical="center"/>
    </xf>
    <xf numFmtId="2" fontId="7" fillId="0" borderId="27" applyAlignment="1" pivotButton="0" quotePrefix="0" xfId="0">
      <alignment horizontal="center" vertical="center" wrapText="1"/>
    </xf>
    <xf numFmtId="2" fontId="7" fillId="0" borderId="28" applyAlignment="1" pivotButton="0" quotePrefix="0" xfId="0">
      <alignment horizontal="center" vertical="center" wrapText="1"/>
    </xf>
    <xf numFmtId="2" fontId="7" fillId="0" borderId="17" applyAlignment="1" pivotButton="0" quotePrefix="0" xfId="0">
      <alignment horizontal="center" vertical="center" wrapText="1"/>
    </xf>
    <xf numFmtId="2" fontId="7" fillId="0" borderId="29" applyAlignment="1" pivotButton="0" quotePrefix="0" xfId="0">
      <alignment horizontal="center" vertical="center" wrapText="1"/>
    </xf>
    <xf numFmtId="2" fontId="2" fillId="8" borderId="77" applyAlignment="1" pivotButton="0" quotePrefix="0" xfId="0">
      <alignment horizontal="center" vertical="center"/>
    </xf>
    <xf numFmtId="2" fontId="7" fillId="0" borderId="10" applyAlignment="1" pivotButton="0" quotePrefix="0" xfId="0">
      <alignment horizontal="center" vertical="center" wrapText="1"/>
    </xf>
    <xf numFmtId="2" fontId="7" fillId="0" borderId="76" applyAlignment="1" pivotButton="0" quotePrefix="0" xfId="0">
      <alignment horizontal="center" vertical="center" wrapText="1"/>
    </xf>
    <xf numFmtId="2" fontId="2" fillId="8" borderId="79" applyAlignment="1" pivotButton="0" quotePrefix="0" xfId="0">
      <alignment horizontal="center" vertical="center"/>
    </xf>
    <xf numFmtId="0" fontId="2" fillId="0" borderId="80" applyAlignment="1" pivotButton="0" quotePrefix="0" xfId="0">
      <alignment horizontal="center" vertical="center"/>
    </xf>
    <xf numFmtId="0" fontId="5" fillId="7" borderId="66" applyAlignment="1" pivotButton="0" quotePrefix="0" xfId="0">
      <alignment vertical="center"/>
    </xf>
    <xf numFmtId="0" fontId="5" fillId="7" borderId="37" applyAlignment="1" pivotButton="0" quotePrefix="0" xfId="0">
      <alignment vertical="center"/>
    </xf>
    <xf numFmtId="0" fontId="5" fillId="7" borderId="64" applyAlignment="1" pivotButton="0" quotePrefix="0" xfId="0">
      <alignment vertical="center"/>
    </xf>
    <xf numFmtId="2" fontId="7" fillId="0" borderId="17" applyAlignment="1" pivotButton="0" quotePrefix="0" xfId="0">
      <alignment horizontal="center" vertical="center"/>
    </xf>
    <xf numFmtId="2" fontId="7" fillId="0" borderId="27" applyAlignment="1" pivotButton="0" quotePrefix="0" xfId="0">
      <alignment horizontal="center" vertical="center"/>
    </xf>
    <xf numFmtId="2" fontId="7" fillId="0" borderId="28" applyAlignment="1" pivotButton="0" quotePrefix="0" xfId="0">
      <alignment horizontal="center" vertical="center"/>
    </xf>
    <xf numFmtId="0" fontId="5" fillId="7" borderId="38" applyAlignment="1" pivotButton="0" quotePrefix="0" xfId="0">
      <alignment vertical="center"/>
    </xf>
    <xf numFmtId="0" fontId="5" fillId="7" borderId="83" applyAlignment="1" pivotButton="0" quotePrefix="0" xfId="0">
      <alignment horizontal="center" vertical="center"/>
    </xf>
    <xf numFmtId="2" fontId="7" fillId="0" borderId="29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5" fillId="7" borderId="86" applyAlignment="1" pivotButton="0" quotePrefix="0" xfId="0">
      <alignment horizontal="center" vertical="center"/>
    </xf>
    <xf numFmtId="0" fontId="5" fillId="7" borderId="23" applyAlignment="1" pivotButton="0" quotePrefix="0" xfId="0">
      <alignment horizontal="center" vertical="center"/>
    </xf>
    <xf numFmtId="0" fontId="5" fillId="7" borderId="11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4" fillId="17" borderId="0" applyAlignment="1" pivotButton="0" quotePrefix="0" xfId="0">
      <alignment horizontal="center"/>
    </xf>
    <xf numFmtId="0" fontId="2" fillId="6" borderId="18" applyAlignment="1" pivotButton="0" quotePrefix="0" xfId="0">
      <alignment horizontal="center" vertical="center"/>
    </xf>
    <xf numFmtId="2" fontId="0" fillId="0" borderId="89" applyAlignment="1" pivotButton="0" quotePrefix="0" xfId="0">
      <alignment horizontal="center" vertical="center"/>
    </xf>
    <xf numFmtId="2" fontId="0" fillId="0" borderId="90" applyAlignment="1" pivotButton="0" quotePrefix="0" xfId="0">
      <alignment horizontal="center" vertical="center"/>
    </xf>
    <xf numFmtId="2" fontId="0" fillId="0" borderId="91" applyAlignment="1" pivotButton="0" quotePrefix="0" xfId="0">
      <alignment horizontal="center" vertical="center"/>
    </xf>
    <xf numFmtId="2" fontId="0" fillId="0" borderId="92" applyAlignment="1" pivotButton="0" quotePrefix="0" xfId="0">
      <alignment horizontal="center" vertical="center"/>
    </xf>
    <xf numFmtId="2" fontId="0" fillId="0" borderId="92" applyAlignment="1" pivotButton="0" quotePrefix="0" xfId="0">
      <alignment vertical="center"/>
    </xf>
    <xf numFmtId="2" fontId="0" fillId="0" borderId="93" applyAlignment="1" pivotButton="0" quotePrefix="0" xfId="0">
      <alignment vertical="center"/>
    </xf>
    <xf numFmtId="2" fontId="2" fillId="8" borderId="14" applyAlignment="1" pivotButton="0" quotePrefix="0" xfId="0">
      <alignment vertical="center"/>
    </xf>
    <xf numFmtId="0" fontId="2" fillId="0" borderId="94" applyAlignment="1" pivotButton="0" quotePrefix="0" xfId="0">
      <alignment horizontal="center" vertical="center"/>
    </xf>
    <xf numFmtId="2" fontId="0" fillId="0" borderId="95" applyAlignment="1" pivotButton="0" quotePrefix="0" xfId="0">
      <alignment horizontal="center" vertical="center"/>
    </xf>
    <xf numFmtId="0" fontId="0" fillId="0" borderId="15" applyAlignment="1" pivotButton="0" quotePrefix="0" xfId="1">
      <alignment horizontal="center" vertical="center"/>
    </xf>
    <xf numFmtId="0" fontId="0" fillId="0" borderId="16" applyAlignment="1" pivotButton="0" quotePrefix="0" xfId="1">
      <alignment horizontal="center" vertical="center"/>
    </xf>
    <xf numFmtId="0" fontId="0" fillId="0" borderId="67" applyAlignment="1" pivotButton="0" quotePrefix="0" xfId="1">
      <alignment horizontal="center" vertical="center"/>
    </xf>
    <xf numFmtId="0" fontId="2" fillId="14" borderId="45" applyAlignment="1" pivotButton="0" quotePrefix="0" xfId="0">
      <alignment horizontal="center" vertical="center"/>
    </xf>
    <xf numFmtId="0" fontId="2" fillId="14" borderId="46" applyAlignment="1" pivotButton="0" quotePrefix="0" xfId="0">
      <alignment horizontal="center" vertical="center"/>
    </xf>
    <xf numFmtId="0" fontId="2" fillId="14" borderId="30" applyAlignment="1" pivotButton="0" quotePrefix="0" xfId="0">
      <alignment horizontal="center" vertical="center"/>
    </xf>
    <xf numFmtId="2" fontId="0" fillId="0" borderId="16" applyAlignment="1" pivotButton="0" quotePrefix="0" xfId="1">
      <alignment vertical="center"/>
    </xf>
    <xf numFmtId="2" fontId="0" fillId="0" borderId="15" applyAlignment="1" pivotButton="0" quotePrefix="0" xfId="1">
      <alignment vertical="center"/>
    </xf>
    <xf numFmtId="0" fontId="2" fillId="14" borderId="44" applyAlignment="1" pivotButton="0" quotePrefix="0" xfId="0">
      <alignment horizontal="center" vertical="center"/>
    </xf>
    <xf numFmtId="0" fontId="2" fillId="0" borderId="97" applyAlignment="1" pivotButton="0" quotePrefix="0" xfId="0">
      <alignment horizontal="center" vertical="center"/>
    </xf>
    <xf numFmtId="0" fontId="2" fillId="0" borderId="98" applyAlignment="1" pivotButton="0" quotePrefix="0" xfId="0">
      <alignment horizontal="center" vertical="center"/>
    </xf>
    <xf numFmtId="0" fontId="2" fillId="0" borderId="81" applyAlignment="1" pivotButton="0" quotePrefix="0" xfId="0">
      <alignment horizontal="center" vertical="center"/>
    </xf>
    <xf numFmtId="2" fontId="2" fillId="14" borderId="51" applyAlignment="1" pivotButton="0" quotePrefix="0" xfId="1">
      <alignment horizontal="center" vertical="center"/>
    </xf>
    <xf numFmtId="0" fontId="0" fillId="0" borderId="19" applyAlignment="1" pivotButton="0" quotePrefix="0" xfId="1">
      <alignment horizontal="center" vertical="center"/>
    </xf>
    <xf numFmtId="2" fontId="0" fillId="0" borderId="19" applyAlignment="1" pivotButton="0" quotePrefix="0" xfId="1">
      <alignment horizontal="center" vertical="center"/>
    </xf>
    <xf numFmtId="2" fontId="0" fillId="0" borderId="17" applyAlignment="1" pivotButton="0" quotePrefix="0" xfId="1">
      <alignment horizontal="center" vertical="center"/>
    </xf>
    <xf numFmtId="0" fontId="2" fillId="0" borderId="57" applyAlignment="1" pivotButton="0" quotePrefix="0" xfId="0">
      <alignment horizontal="center" vertical="center"/>
    </xf>
    <xf numFmtId="0" fontId="2" fillId="0" borderId="68" applyAlignment="1" pivotButton="0" quotePrefix="0" xfId="0">
      <alignment horizontal="center" vertical="center"/>
    </xf>
    <xf numFmtId="0" fontId="5" fillId="7" borderId="36" applyAlignment="1" pivotButton="0" quotePrefix="0" xfId="0">
      <alignment vertical="center"/>
    </xf>
    <xf numFmtId="0" fontId="0" fillId="0" borderId="17" applyAlignment="1" pivotButton="0" quotePrefix="0" xfId="1">
      <alignment horizontal="center" vertical="center"/>
    </xf>
    <xf numFmtId="2" fontId="0" fillId="0" borderId="100" applyAlignment="1" pivotButton="0" quotePrefix="0" xfId="0">
      <alignment vertical="center"/>
    </xf>
    <xf numFmtId="2" fontId="2" fillId="8" borderId="4" applyAlignment="1" pivotButton="0" quotePrefix="0" xfId="0">
      <alignment vertical="center"/>
    </xf>
    <xf numFmtId="2" fontId="0" fillId="0" borderId="101" applyAlignment="1" pivotButton="0" quotePrefix="0" xfId="0">
      <alignment vertical="center"/>
    </xf>
    <xf numFmtId="2" fontId="0" fillId="0" borderId="93" applyAlignment="1" pivotButton="0" quotePrefix="0" xfId="0">
      <alignment horizontal="center" vertical="center"/>
    </xf>
    <xf numFmtId="2" fontId="0" fillId="0" borderId="102" applyAlignment="1" pivotButton="0" quotePrefix="0" xfId="0">
      <alignment vertical="center"/>
    </xf>
    <xf numFmtId="0" fontId="1" fillId="16" borderId="0" applyAlignment="1" pivotButton="0" quotePrefix="0" xfId="0">
      <alignment vertical="center"/>
    </xf>
    <xf numFmtId="0" fontId="1" fillId="16" borderId="68" applyAlignment="1" pivotButton="0" quotePrefix="0" xfId="0">
      <alignment vertical="center"/>
    </xf>
    <xf numFmtId="0" fontId="2" fillId="9" borderId="63" applyAlignment="1" pivotButton="0" quotePrefix="0" xfId="0">
      <alignment vertical="center"/>
    </xf>
    <xf numFmtId="0" fontId="2" fillId="19" borderId="1" applyAlignment="1" pivotButton="0" quotePrefix="0" xfId="0">
      <alignment vertical="center"/>
    </xf>
    <xf numFmtId="0" fontId="2" fillId="19" borderId="3" applyAlignment="1" pivotButton="0" quotePrefix="0" xfId="0">
      <alignment vertical="center"/>
    </xf>
    <xf numFmtId="0" fontId="2" fillId="19" borderId="13" applyAlignment="1" pivotButton="0" quotePrefix="0" xfId="0">
      <alignment vertical="center"/>
    </xf>
    <xf numFmtId="2" fontId="0" fillId="13" borderId="51" applyAlignment="1" pivotButton="0" quotePrefix="0" xfId="1">
      <alignment vertical="center"/>
    </xf>
    <xf numFmtId="2" fontId="0" fillId="13" borderId="15" applyAlignment="1" pivotButton="0" quotePrefix="0" xfId="1">
      <alignment vertical="center"/>
    </xf>
    <xf numFmtId="2" fontId="2" fillId="8" borderId="52" applyAlignment="1" pivotButton="0" quotePrefix="0" xfId="0">
      <alignment vertical="center"/>
    </xf>
    <xf numFmtId="0" fontId="0" fillId="0" borderId="36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165" fontId="0" fillId="0" borderId="51" applyAlignment="1" pivotButton="0" quotePrefix="0" xfId="0">
      <alignment horizontal="center" vertical="center"/>
    </xf>
    <xf numFmtId="165" fontId="0" fillId="0" borderId="19" applyAlignment="1" pivotButton="0" quotePrefix="0" xfId="0">
      <alignment horizontal="center" vertical="center"/>
    </xf>
    <xf numFmtId="165" fontId="0" fillId="0" borderId="28" applyAlignment="1" pivotButton="0" quotePrefix="0" xfId="0">
      <alignment horizontal="center" vertical="center"/>
    </xf>
    <xf numFmtId="0" fontId="0" fillId="30" borderId="23" applyAlignment="1" pivotButton="0" quotePrefix="0" xfId="0">
      <alignment vertical="center"/>
    </xf>
    <xf numFmtId="0" fontId="0" fillId="31" borderId="23" applyAlignment="1" pivotButton="0" quotePrefix="0" xfId="0">
      <alignment vertical="center"/>
    </xf>
    <xf numFmtId="165" fontId="0" fillId="0" borderId="51" applyAlignment="1" pivotButton="0" quotePrefix="0" xfId="0">
      <alignment vertical="center"/>
    </xf>
    <xf numFmtId="166" fontId="0" fillId="0" borderId="15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165" fontId="0" fillId="0" borderId="19" applyAlignment="1" pivotButton="0" quotePrefix="0" xfId="0">
      <alignment vertical="center"/>
    </xf>
    <xf numFmtId="165" fontId="0" fillId="0" borderId="28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166" fontId="0" fillId="0" borderId="28" applyAlignment="1" pivotButton="0" quotePrefix="0" xfId="0">
      <alignment vertical="center"/>
    </xf>
    <xf numFmtId="0" fontId="0" fillId="30" borderId="86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2" fontId="2" fillId="8" borderId="36" applyAlignment="1" pivotButton="0" quotePrefix="0" xfId="0">
      <alignment vertical="center"/>
    </xf>
    <xf numFmtId="0" fontId="0" fillId="0" borderId="28" applyAlignment="1" pivotButton="0" quotePrefix="0" xfId="1">
      <alignment horizontal="center" vertical="center"/>
    </xf>
    <xf numFmtId="2" fontId="0" fillId="0" borderId="28" applyAlignment="1" pivotButton="0" quotePrefix="0" xfId="1">
      <alignment horizontal="center" vertical="center"/>
    </xf>
    <xf numFmtId="2" fontId="7" fillId="0" borderId="81" applyAlignment="1" pivotButton="0" quotePrefix="0" xfId="0">
      <alignment vertical="center" wrapText="1"/>
    </xf>
    <xf numFmtId="14" fontId="13" fillId="33" borderId="28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/>
    </xf>
    <xf numFmtId="0" fontId="14" fillId="7" borderId="37" applyAlignment="1" pivotButton="0" quotePrefix="0" xfId="0">
      <alignment vertical="center"/>
    </xf>
    <xf numFmtId="0" fontId="14" fillId="7" borderId="66" applyAlignment="1" pivotButton="0" quotePrefix="0" xfId="0">
      <alignment vertical="center"/>
    </xf>
    <xf numFmtId="0" fontId="14" fillId="7" borderId="37" applyAlignment="1" pivotButton="0" quotePrefix="0" xfId="0">
      <alignment horizontal="center" vertical="center"/>
    </xf>
    <xf numFmtId="0" fontId="13" fillId="0" borderId="71" applyAlignment="1" pivotButton="0" quotePrefix="0" xfId="0">
      <alignment horizontal="center" vertical="center"/>
    </xf>
    <xf numFmtId="0" fontId="14" fillId="7" borderId="36" applyAlignment="1" pivotButton="0" quotePrefix="0" xfId="0">
      <alignment horizontal="center" vertical="center"/>
    </xf>
    <xf numFmtId="2" fontId="0" fillId="0" borderId="31" applyAlignment="1" pivotButton="0" quotePrefix="0" xfId="1">
      <alignment horizontal="center" vertical="center"/>
    </xf>
    <xf numFmtId="0" fontId="3" fillId="28" borderId="0" applyAlignment="1" pivotButton="0" quotePrefix="0" xfId="0">
      <alignment horizontal="center" vertical="center"/>
    </xf>
    <xf numFmtId="2" fontId="7" fillId="13" borderId="29" applyAlignment="1" pivotButton="0" quotePrefix="0" xfId="0">
      <alignment horizontal="center" vertical="center"/>
    </xf>
    <xf numFmtId="2" fontId="7" fillId="13" borderId="17" applyAlignment="1" pivotButton="0" quotePrefix="0" xfId="0">
      <alignment horizontal="center" vertical="center"/>
    </xf>
    <xf numFmtId="2" fontId="7" fillId="13" borderId="76" applyAlignment="1" pivotButton="0" quotePrefix="0" xfId="0">
      <alignment horizontal="center" vertical="center"/>
    </xf>
    <xf numFmtId="0" fontId="15" fillId="13" borderId="28" applyAlignment="1" pivotButton="0" quotePrefix="0" xfId="0">
      <alignment horizontal="center" vertical="center" wrapText="1"/>
    </xf>
    <xf numFmtId="0" fontId="15" fillId="13" borderId="19" applyAlignment="1" pivotButton="0" quotePrefix="0" xfId="0">
      <alignment horizontal="center" vertical="center" wrapText="1"/>
    </xf>
    <xf numFmtId="0" fontId="16" fillId="13" borderId="28" applyAlignment="1" pivotButton="0" quotePrefix="0" xfId="0">
      <alignment horizontal="center" vertical="center" wrapText="1"/>
    </xf>
    <xf numFmtId="0" fontId="16" fillId="13" borderId="19" applyAlignment="1" pivotButton="0" quotePrefix="0" xfId="0">
      <alignment horizontal="center" vertical="center" wrapText="1"/>
    </xf>
    <xf numFmtId="0" fontId="15" fillId="13" borderId="15" applyAlignment="1" pivotButton="0" quotePrefix="0" xfId="0">
      <alignment horizontal="center" vertical="center" wrapText="1"/>
    </xf>
    <xf numFmtId="0" fontId="15" fillId="13" borderId="51" applyAlignment="1" pivotButton="0" quotePrefix="0" xfId="0">
      <alignment horizontal="center" vertical="center" wrapText="1"/>
    </xf>
    <xf numFmtId="2" fontId="7" fillId="13" borderId="10" applyAlignment="1" pivotButton="0" quotePrefix="0" xfId="0">
      <alignment horizontal="center" vertical="center"/>
    </xf>
    <xf numFmtId="2" fontId="7" fillId="13" borderId="27" applyAlignment="1" pivotButton="0" quotePrefix="0" xfId="0">
      <alignment horizontal="center" vertical="center" wrapText="1"/>
    </xf>
    <xf numFmtId="2" fontId="7" fillId="13" borderId="19" applyAlignment="1" pivotButton="0" quotePrefix="0" xfId="0">
      <alignment horizontal="center" vertical="center" wrapText="1"/>
    </xf>
    <xf numFmtId="0" fontId="17" fillId="13" borderId="104" applyAlignment="1" pivotButton="0" quotePrefix="0" xfId="0">
      <alignment vertical="center"/>
    </xf>
    <xf numFmtId="2" fontId="7" fillId="0" borderId="71" applyAlignment="1" pivotButton="0" quotePrefix="0" xfId="0">
      <alignment horizontal="center" vertical="center"/>
    </xf>
    <xf numFmtId="2" fontId="7" fillId="0" borderId="70" applyAlignment="1" pivotButton="0" quotePrefix="0" xfId="0">
      <alignment horizontal="center" vertical="center" wrapText="1"/>
    </xf>
    <xf numFmtId="2" fontId="0" fillId="0" borderId="129" applyAlignment="1" pivotButton="0" quotePrefix="0" xfId="1">
      <alignment horizontal="center" vertical="center"/>
    </xf>
    <xf numFmtId="2" fontId="0" fillId="0" borderId="130" applyAlignment="1" pivotButton="0" quotePrefix="0" xfId="1">
      <alignment horizontal="center" vertical="center"/>
    </xf>
    <xf numFmtId="2" fontId="0" fillId="0" borderId="30" applyAlignment="1" pivotButton="0" quotePrefix="0" xfId="1">
      <alignment horizontal="center" vertical="center"/>
    </xf>
    <xf numFmtId="2" fontId="0" fillId="0" borderId="80" applyAlignment="1" pivotButton="0" quotePrefix="0" xfId="1">
      <alignment horizontal="center" vertical="center"/>
    </xf>
    <xf numFmtId="0" fontId="16" fillId="13" borderId="28" applyAlignment="1" pivotButton="0" quotePrefix="0" xfId="0">
      <alignment vertical="center" wrapText="1"/>
    </xf>
    <xf numFmtId="0" fontId="16" fillId="13" borderId="15" applyAlignment="1" pivotButton="0" quotePrefix="0" xfId="0">
      <alignment vertical="center" wrapText="1"/>
    </xf>
    <xf numFmtId="0" fontId="16" fillId="13" borderId="19" applyAlignment="1" pivotButton="0" quotePrefix="0" xfId="0">
      <alignment vertical="center" wrapText="1"/>
    </xf>
    <xf numFmtId="0" fontId="2" fillId="15" borderId="70" applyAlignment="1" pivotButton="0" quotePrefix="0" xfId="0">
      <alignment horizontal="center" vertical="center"/>
    </xf>
    <xf numFmtId="0" fontId="2" fillId="15" borderId="19" applyAlignment="1" pivotButton="0" quotePrefix="0" xfId="0">
      <alignment horizontal="center" vertical="center"/>
    </xf>
    <xf numFmtId="0" fontId="15" fillId="13" borderId="28" applyAlignment="1" pivotButton="0" quotePrefix="0" xfId="0">
      <alignment vertical="center" wrapText="1"/>
    </xf>
    <xf numFmtId="0" fontId="15" fillId="13" borderId="19" applyAlignment="1" pivotButton="0" quotePrefix="0" xfId="0">
      <alignment vertical="center" wrapText="1"/>
    </xf>
    <xf numFmtId="0" fontId="20" fillId="13" borderId="0" applyAlignment="1" pivotButton="0" quotePrefix="0" xfId="0">
      <alignment vertical="center"/>
    </xf>
    <xf numFmtId="2" fontId="20" fillId="0" borderId="40" applyAlignment="1" pivotButton="0" quotePrefix="0" xfId="0">
      <alignment horizontal="center" vertical="center"/>
    </xf>
    <xf numFmtId="2" fontId="19" fillId="0" borderId="28" applyAlignment="1" pivotButton="0" quotePrefix="0" xfId="0">
      <alignment horizontal="center" vertical="center" wrapText="1"/>
    </xf>
    <xf numFmtId="164" fontId="0" fillId="0" borderId="19" applyAlignment="1" pivotButton="0" quotePrefix="0" xfId="1">
      <alignment vertical="center"/>
    </xf>
    <xf numFmtId="2" fontId="19" fillId="0" borderId="71" applyAlignment="1" pivotButton="0" quotePrefix="0" xfId="0">
      <alignment horizontal="center" vertical="center" wrapText="1"/>
    </xf>
    <xf numFmtId="2" fontId="19" fillId="0" borderId="17" applyAlignment="1" pivotButton="0" quotePrefix="0" xfId="0">
      <alignment horizontal="center" vertical="center" wrapText="1"/>
    </xf>
    <xf numFmtId="0" fontId="5" fillId="7" borderId="37" applyAlignment="1" pivotButton="0" quotePrefix="0" xfId="0">
      <alignment horizontal="center" vertical="center" wrapText="1"/>
    </xf>
    <xf numFmtId="2" fontId="7" fillId="0" borderId="133" applyAlignment="1" pivotButton="0" quotePrefix="0" xfId="0">
      <alignment vertical="center" wrapText="1"/>
    </xf>
    <xf numFmtId="2" fontId="2" fillId="8" borderId="78" applyAlignment="1" pivotButton="0" quotePrefix="0" xfId="0">
      <alignment horizontal="center" vertical="center"/>
    </xf>
    <xf numFmtId="0" fontId="21" fillId="13" borderId="28" applyAlignment="1" pivotButton="0" quotePrefix="0" xfId="0">
      <alignment vertical="center" wrapText="1"/>
    </xf>
    <xf numFmtId="2" fontId="19" fillId="0" borderId="133" applyAlignment="1" pivotButton="0" quotePrefix="0" xfId="0">
      <alignment horizontal="center" vertical="center" wrapText="1"/>
    </xf>
    <xf numFmtId="2" fontId="19" fillId="0" borderId="136" applyAlignment="1" pivotButton="0" quotePrefix="0" xfId="0">
      <alignment horizontal="center" vertical="center" wrapText="1"/>
    </xf>
    <xf numFmtId="2" fontId="19" fillId="0" borderId="137" applyAlignment="1" pivotButton="0" quotePrefix="0" xfId="0">
      <alignment horizontal="center" vertical="center" wrapText="1"/>
    </xf>
    <xf numFmtId="2" fontId="19" fillId="0" borderId="138" applyAlignment="1" pivotButton="0" quotePrefix="0" xfId="0">
      <alignment horizontal="center" vertical="center" wrapText="1"/>
    </xf>
    <xf numFmtId="2" fontId="19" fillId="0" borderId="139" applyAlignment="1" pivotButton="0" quotePrefix="0" xfId="0">
      <alignment horizontal="center" vertical="center" wrapText="1"/>
    </xf>
    <xf numFmtId="2" fontId="19" fillId="0" borderId="140" applyAlignment="1" pivotButton="0" quotePrefix="0" xfId="0">
      <alignment horizontal="center" vertical="center" wrapText="1"/>
    </xf>
    <xf numFmtId="2" fontId="19" fillId="0" borderId="141" applyAlignment="1" pivotButton="0" quotePrefix="0" xfId="0">
      <alignment horizontal="center" vertical="center" wrapText="1"/>
    </xf>
    <xf numFmtId="2" fontId="19" fillId="0" borderId="142" applyAlignment="1" pivotButton="0" quotePrefix="0" xfId="0">
      <alignment horizontal="center" vertical="center" wrapText="1"/>
    </xf>
    <xf numFmtId="2" fontId="19" fillId="0" borderId="143" applyAlignment="1" pivotButton="0" quotePrefix="0" xfId="0">
      <alignment horizontal="center" vertical="center" wrapText="1"/>
    </xf>
    <xf numFmtId="0" fontId="5" fillId="7" borderId="135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0" fontId="2" fillId="27" borderId="81" applyAlignment="1" pivotButton="0" quotePrefix="0" xfId="0">
      <alignment horizontal="center" vertical="center"/>
    </xf>
    <xf numFmtId="2" fontId="19" fillId="0" borderId="27" applyAlignment="1" pivotButton="0" quotePrefix="0" xfId="0">
      <alignment horizontal="center" vertical="center"/>
    </xf>
    <xf numFmtId="2" fontId="19" fillId="0" borderId="29" applyAlignment="1" pivotButton="0" quotePrefix="0" xfId="0">
      <alignment horizontal="center" vertical="center"/>
    </xf>
    <xf numFmtId="2" fontId="19" fillId="0" borderId="28" applyAlignment="1" pivotButton="0" quotePrefix="0" xfId="0">
      <alignment horizontal="center" vertical="center"/>
    </xf>
    <xf numFmtId="2" fontId="19" fillId="13" borderId="28" applyAlignment="1" pivotButton="0" quotePrefix="0" xfId="0">
      <alignment horizontal="center" vertical="center" wrapText="1"/>
    </xf>
    <xf numFmtId="2" fontId="19" fillId="0" borderId="20" applyAlignment="1" pivotButton="0" quotePrefix="0" xfId="0">
      <alignment horizontal="center" vertical="center" wrapText="1"/>
    </xf>
    <xf numFmtId="2" fontId="19" fillId="0" borderId="18" applyAlignment="1" pivotButton="0" quotePrefix="0" xfId="0">
      <alignment horizontal="center" vertical="center" wrapText="1"/>
    </xf>
    <xf numFmtId="2" fontId="19" fillId="0" borderId="76" applyAlignment="1" pivotButton="0" quotePrefix="0" xfId="0">
      <alignment horizontal="center" vertical="center" wrapText="1"/>
    </xf>
    <xf numFmtId="2" fontId="19" fillId="0" borderId="17" applyAlignment="1" pivotButton="0" quotePrefix="0" xfId="0">
      <alignment horizontal="center" vertical="center"/>
    </xf>
    <xf numFmtId="2" fontId="22" fillId="13" borderId="28" applyAlignment="1" pivotButton="0" quotePrefix="0" xfId="0">
      <alignment horizontal="center" vertical="center" wrapText="1"/>
    </xf>
    <xf numFmtId="2" fontId="19" fillId="0" borderId="81" applyAlignment="1" pivotButton="0" quotePrefix="0" xfId="0">
      <alignment vertical="center" wrapText="1"/>
    </xf>
    <xf numFmtId="2" fontId="19" fillId="0" borderId="19" applyAlignment="1" pivotButton="0" quotePrefix="0" xfId="0">
      <alignment horizontal="center" vertical="center" wrapText="1"/>
    </xf>
    <xf numFmtId="2" fontId="19" fillId="0" borderId="10" applyAlignment="1" pivotButton="0" quotePrefix="0" xfId="0">
      <alignment horizontal="center" vertical="center" wrapText="1"/>
    </xf>
    <xf numFmtId="2" fontId="19" fillId="0" borderId="29" applyAlignment="1" pivotButton="0" quotePrefix="0" xfId="0">
      <alignment horizontal="center" vertical="center" wrapText="1"/>
    </xf>
    <xf numFmtId="2" fontId="19" fillId="0" borderId="27" applyAlignment="1" pivotButton="0" quotePrefix="0" xfId="0">
      <alignment horizontal="center" vertical="center" wrapText="1"/>
    </xf>
    <xf numFmtId="0" fontId="5" fillId="7" borderId="144" applyAlignment="1" pivotButton="0" quotePrefix="0" xfId="0">
      <alignment horizontal="center" vertical="center"/>
    </xf>
    <xf numFmtId="2" fontId="7" fillId="0" borderId="139" applyAlignment="1" pivotButton="0" quotePrefix="0" xfId="0">
      <alignment horizontal="center" vertical="center" wrapText="1"/>
    </xf>
    <xf numFmtId="2" fontId="7" fillId="0" borderId="140" applyAlignment="1" pivotButton="0" quotePrefix="0" xfId="0">
      <alignment vertical="center" wrapText="1"/>
    </xf>
    <xf numFmtId="2" fontId="7" fillId="0" borderId="145" applyAlignment="1" pivotButton="0" quotePrefix="0" xfId="0">
      <alignment horizontal="center" vertical="center" wrapText="1"/>
    </xf>
    <xf numFmtId="2" fontId="7" fillId="0" borderId="146" applyAlignment="1" pivotButton="0" quotePrefix="0" xfId="0">
      <alignment vertical="center" wrapText="1"/>
    </xf>
    <xf numFmtId="2" fontId="7" fillId="0" borderId="147" applyAlignment="1" pivotButton="0" quotePrefix="0" xfId="0">
      <alignment vertical="center" wrapText="1"/>
    </xf>
    <xf numFmtId="2" fontId="2" fillId="8" borderId="148" applyAlignment="1" pivotButton="0" quotePrefix="0" xfId="0">
      <alignment horizontal="center" vertical="center"/>
    </xf>
    <xf numFmtId="2" fontId="2" fillId="8" borderId="149" applyAlignment="1" pivotButton="0" quotePrefix="0" xfId="0">
      <alignment vertical="center"/>
    </xf>
    <xf numFmtId="2" fontId="2" fillId="8" borderId="150" applyAlignment="1" pivotButton="0" quotePrefix="0" xfId="0">
      <alignment vertical="center"/>
    </xf>
    <xf numFmtId="0" fontId="5" fillId="35" borderId="66" applyAlignment="1" pivotButton="0" quotePrefix="0" xfId="0">
      <alignment vertical="center"/>
    </xf>
    <xf numFmtId="0" fontId="2" fillId="0" borderId="133" applyAlignment="1" pivotButton="0" quotePrefix="0" xfId="0">
      <alignment horizontal="center" vertical="center"/>
    </xf>
    <xf numFmtId="2" fontId="7" fillId="35" borderId="7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16" fillId="13" borderId="15" applyAlignment="1" pivotButton="0" quotePrefix="0" xfId="0">
      <alignment horizontal="center" vertical="center" wrapText="1"/>
    </xf>
    <xf numFmtId="0" fontId="0" fillId="20" borderId="0" applyAlignment="1" pivotButton="0" quotePrefix="0" xfId="0">
      <alignment vertical="center"/>
    </xf>
    <xf numFmtId="0" fontId="16" fillId="20" borderId="15" applyAlignment="1" pivotButton="0" quotePrefix="0" xfId="0">
      <alignment vertical="center"/>
    </xf>
    <xf numFmtId="0" fontId="0" fillId="13" borderId="0" applyAlignment="1" pivotButton="0" quotePrefix="0" xfId="0">
      <alignment vertical="center"/>
    </xf>
    <xf numFmtId="0" fontId="0" fillId="13" borderId="0" applyAlignment="1" pivotButton="0" quotePrefix="0" xfId="0">
      <alignment horizontal="center" vertical="center"/>
    </xf>
    <xf numFmtId="0" fontId="23" fillId="0" borderId="133" applyAlignment="1" pivotButton="0" quotePrefix="0" xfId="0">
      <alignment vertical="center"/>
    </xf>
    <xf numFmtId="0" fontId="24" fillId="0" borderId="158" applyAlignment="1" pivotButton="0" quotePrefix="0" xfId="0">
      <alignment vertical="center"/>
    </xf>
    <xf numFmtId="0" fontId="23" fillId="0" borderId="156" applyAlignment="1" pivotButton="0" quotePrefix="0" xfId="0">
      <alignment vertical="center"/>
    </xf>
    <xf numFmtId="0" fontId="24" fillId="0" borderId="159" applyAlignment="1" pivotButton="0" quotePrefix="0" xfId="0">
      <alignment vertical="center"/>
    </xf>
    <xf numFmtId="0" fontId="24" fillId="0" borderId="68" applyAlignment="1" pivotButton="0" quotePrefix="0" xfId="0">
      <alignment vertical="center"/>
    </xf>
    <xf numFmtId="0" fontId="23" fillId="0" borderId="157" applyAlignment="1" pivotButton="0" quotePrefix="0" xfId="0">
      <alignment vertical="center"/>
    </xf>
    <xf numFmtId="0" fontId="24" fillId="0" borderId="157" applyAlignment="1" pivotButton="0" quotePrefix="0" xfId="0">
      <alignment vertical="center"/>
    </xf>
    <xf numFmtId="0" fontId="24" fillId="0" borderId="159" applyAlignment="1" pivotButton="0" quotePrefix="0" xfId="0">
      <alignment vertical="center" wrapText="1"/>
    </xf>
    <xf numFmtId="0" fontId="25" fillId="36" borderId="159" applyAlignment="1" pivotButton="0" quotePrefix="0" xfId="0">
      <alignment vertical="center"/>
    </xf>
    <xf numFmtId="0" fontId="15" fillId="0" borderId="28" applyAlignment="1" pivotButton="0" quotePrefix="0" xfId="0">
      <alignment vertical="center"/>
    </xf>
    <xf numFmtId="0" fontId="15" fillId="0" borderId="19" applyAlignment="1" pivotButton="0" quotePrefix="0" xfId="0">
      <alignment vertical="center"/>
    </xf>
    <xf numFmtId="0" fontId="15" fillId="0" borderId="15" applyAlignment="1" pivotButton="0" quotePrefix="0" xfId="0">
      <alignment vertical="center"/>
    </xf>
    <xf numFmtId="0" fontId="15" fillId="0" borderId="51" applyAlignment="1" pivotButton="0" quotePrefix="0" xfId="0">
      <alignment vertical="center"/>
    </xf>
    <xf numFmtId="0" fontId="16" fillId="13" borderId="51" applyAlignment="1" pivotButton="0" quotePrefix="0" xfId="0">
      <alignment horizontal="center" vertical="center" wrapText="1"/>
    </xf>
    <xf numFmtId="0" fontId="0" fillId="0" borderId="133" applyAlignment="1" pivotButton="0" quotePrefix="0" xfId="0">
      <alignment horizontal="center" vertical="center"/>
    </xf>
    <xf numFmtId="0" fontId="16" fillId="13" borderId="68" applyAlignment="1" pivotButton="0" quotePrefix="0" xfId="0">
      <alignment horizontal="center" vertical="center" wrapText="1"/>
    </xf>
    <xf numFmtId="0" fontId="15" fillId="13" borderId="46" applyAlignment="1" pivotButton="0" quotePrefix="0" xfId="0">
      <alignment horizontal="center" vertical="center" wrapText="1"/>
    </xf>
    <xf numFmtId="0" fontId="2" fillId="9" borderId="6" applyAlignment="1" pivotButton="0" quotePrefix="0" xfId="0">
      <alignment horizontal="center" vertical="center"/>
    </xf>
    <xf numFmtId="0" fontId="2" fillId="9" borderId="7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 wrapText="1"/>
    </xf>
    <xf numFmtId="2" fontId="7" fillId="0" borderId="0" applyAlignment="1" pivotButton="0" quotePrefix="0" xfId="0">
      <alignment vertical="center" wrapText="1"/>
    </xf>
    <xf numFmtId="2" fontId="2" fillId="8" borderId="0" applyAlignment="1" pivotButton="0" quotePrefix="0" xfId="0">
      <alignment horizontal="center" vertical="center"/>
    </xf>
    <xf numFmtId="0" fontId="2" fillId="29" borderId="75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" fillId="0" borderId="121" applyAlignment="1" pivotButton="0" quotePrefix="0" xfId="0">
      <alignment horizontal="center" vertical="center"/>
    </xf>
    <xf numFmtId="0" fontId="2" fillId="0" borderId="122" applyAlignment="1" pivotButton="0" quotePrefix="0" xfId="0">
      <alignment horizontal="center" vertical="center"/>
    </xf>
    <xf numFmtId="2" fontId="2" fillId="14" borderId="119" applyAlignment="1" pivotButton="0" quotePrefix="0" xfId="1">
      <alignment horizontal="center" vertical="center"/>
    </xf>
    <xf numFmtId="2" fontId="2" fillId="14" borderId="120" applyAlignment="1" pivotButton="0" quotePrefix="0" xfId="1">
      <alignment horizontal="center" vertical="center"/>
    </xf>
    <xf numFmtId="0" fontId="2" fillId="29" borderId="66" applyAlignment="1" pivotButton="0" quotePrefix="0" xfId="0">
      <alignment horizontal="center" vertical="center"/>
    </xf>
    <xf numFmtId="0" fontId="2" fillId="29" borderId="37" applyAlignment="1" pivotButton="0" quotePrefix="0" xfId="0">
      <alignment horizontal="center" vertical="center"/>
    </xf>
    <xf numFmtId="0" fontId="2" fillId="29" borderId="38" applyAlignment="1" pivotButton="0" quotePrefix="0" xfId="0">
      <alignment horizontal="center" vertical="center"/>
    </xf>
    <xf numFmtId="0" fontId="2" fillId="27" borderId="52" applyAlignment="1" pivotButton="0" quotePrefix="0" xfId="0">
      <alignment horizontal="center" vertical="center"/>
    </xf>
    <xf numFmtId="0" fontId="2" fillId="27" borderId="96" applyAlignment="1" pivotButton="0" quotePrefix="0" xfId="0">
      <alignment horizontal="center" vertical="center"/>
    </xf>
    <xf numFmtId="0" fontId="2" fillId="27" borderId="99" applyAlignment="1" pivotButton="0" quotePrefix="0" xfId="0">
      <alignment horizontal="center" vertical="center"/>
    </xf>
    <xf numFmtId="0" fontId="2" fillId="9" borderId="66" applyAlignment="1" pivotButton="0" quotePrefix="0" xfId="0">
      <alignment horizontal="center" vertical="center" wrapText="1"/>
    </xf>
    <xf numFmtId="0" fontId="2" fillId="9" borderId="37" applyAlignment="1" pivotButton="0" quotePrefix="0" xfId="0">
      <alignment horizontal="center" vertical="center" wrapText="1"/>
    </xf>
    <xf numFmtId="0" fontId="2" fillId="9" borderId="38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/>
    </xf>
    <xf numFmtId="0" fontId="2" fillId="19" borderId="3" applyAlignment="1" pivotButton="0" quotePrefix="0" xfId="0">
      <alignment horizontal="center" vertical="center"/>
    </xf>
    <xf numFmtId="0" fontId="2" fillId="19" borderId="13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1" fillId="16" borderId="68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textRotation="90"/>
    </xf>
    <xf numFmtId="0" fontId="2" fillId="4" borderId="1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14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 textRotation="90"/>
    </xf>
    <xf numFmtId="0" fontId="8" fillId="10" borderId="3" applyAlignment="1" pivotButton="0" quotePrefix="0" xfId="0">
      <alignment horizontal="center" vertical="center" textRotation="90"/>
    </xf>
    <xf numFmtId="0" fontId="8" fillId="10" borderId="13" applyAlignment="1" pivotButton="0" quotePrefix="0" xfId="0">
      <alignment horizontal="center" vertical="center" textRotation="90"/>
    </xf>
    <xf numFmtId="2" fontId="0" fillId="0" borderId="92" applyAlignment="1" pivotButton="0" quotePrefix="0" xfId="0">
      <alignment horizontal="center" vertical="center"/>
    </xf>
    <xf numFmtId="2" fontId="0" fillId="0" borderId="93" applyAlignment="1" pivotButton="0" quotePrefix="0" xfId="0">
      <alignment horizontal="center" vertical="center"/>
    </xf>
    <xf numFmtId="0" fontId="0" fillId="13" borderId="19" applyAlignment="1" pivotButton="0" quotePrefix="0" xfId="1">
      <alignment horizontal="center" vertical="center"/>
    </xf>
    <xf numFmtId="0" fontId="0" fillId="13" borderId="17" applyAlignment="1" pivotButton="0" quotePrefix="0" xfId="1">
      <alignment horizontal="center" vertical="center"/>
    </xf>
    <xf numFmtId="0" fontId="0" fillId="13" borderId="29" applyAlignment="1" pivotButton="0" quotePrefix="0" xfId="1">
      <alignment horizontal="center" vertical="center"/>
    </xf>
    <xf numFmtId="2" fontId="2" fillId="8" borderId="21" applyAlignment="1" pivotButton="0" quotePrefix="0" xfId="0">
      <alignment horizontal="center" vertical="center"/>
    </xf>
    <xf numFmtId="2" fontId="2" fillId="8" borderId="22" applyAlignment="1" pivotButton="0" quotePrefix="0" xfId="0">
      <alignment horizontal="center" vertical="center"/>
    </xf>
    <xf numFmtId="2" fontId="2" fillId="8" borderId="14" applyAlignment="1" pivotButton="0" quotePrefix="0" xfId="0">
      <alignment horizontal="center" vertical="center"/>
    </xf>
    <xf numFmtId="2" fontId="2" fillId="8" borderId="43" applyAlignment="1" pivotButton="0" quotePrefix="0" xfId="0">
      <alignment horizontal="center" vertical="center"/>
    </xf>
    <xf numFmtId="0" fontId="5" fillId="12" borderId="4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5" fillId="12" borderId="30" applyAlignment="1" pivotButton="0" quotePrefix="0" xfId="0">
      <alignment horizontal="center" vertical="center"/>
    </xf>
    <xf numFmtId="0" fontId="5" fillId="12" borderId="31" applyAlignment="1" pivotButton="0" quotePrefix="0" xfId="0">
      <alignment horizontal="center" vertical="center"/>
    </xf>
    <xf numFmtId="0" fontId="5" fillId="7" borderId="37" applyAlignment="1" pivotButton="0" quotePrefix="0" xfId="0">
      <alignment horizontal="center" vertical="center"/>
    </xf>
    <xf numFmtId="0" fontId="5" fillId="7" borderId="64" applyAlignment="1" pivotButton="0" quotePrefix="0" xfId="0">
      <alignment horizontal="center" vertical="center"/>
    </xf>
    <xf numFmtId="0" fontId="5" fillId="7" borderId="11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7" borderId="12" applyAlignment="1" pivotButton="0" quotePrefix="0" xfId="0">
      <alignment horizontal="center" vertical="center"/>
    </xf>
    <xf numFmtId="0" fontId="5" fillId="12" borderId="33" applyAlignment="1" pivotButton="0" quotePrefix="0" xfId="0">
      <alignment horizontal="center" vertical="center"/>
    </xf>
    <xf numFmtId="0" fontId="5" fillId="12" borderId="34" applyAlignment="1" pivotButton="0" quotePrefix="0" xfId="0">
      <alignment horizontal="center" vertical="center"/>
    </xf>
    <xf numFmtId="0" fontId="5" fillId="7" borderId="88" applyAlignment="1" pivotButton="0" quotePrefix="0" xfId="0">
      <alignment horizontal="center" vertical="center"/>
    </xf>
    <xf numFmtId="0" fontId="5" fillId="7" borderId="79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6" borderId="7" applyAlignment="1" pivotButton="0" quotePrefix="0" xfId="0">
      <alignment horizontal="center" vertical="center"/>
    </xf>
    <xf numFmtId="0" fontId="5" fillId="7" borderId="36" applyAlignment="1" pivotButton="0" quotePrefix="0" xfId="0">
      <alignment horizontal="center" vertical="center"/>
    </xf>
    <xf numFmtId="0" fontId="5" fillId="7" borderId="38" applyAlignment="1" pivotButton="0" quotePrefix="0" xfId="0">
      <alignment horizontal="center" vertical="center"/>
    </xf>
    <xf numFmtId="0" fontId="2" fillId="10" borderId="24" applyAlignment="1" pivotButton="0" quotePrefix="0" xfId="0">
      <alignment horizontal="center" vertical="center" wrapText="1"/>
    </xf>
    <xf numFmtId="0" fontId="2" fillId="10" borderId="25" applyAlignment="1" pivotButton="0" quotePrefix="0" xfId="0">
      <alignment horizontal="center" vertical="center" wrapText="1"/>
    </xf>
    <xf numFmtId="0" fontId="2" fillId="10" borderId="26" applyAlignment="1" pivotButton="0" quotePrefix="0" xfId="0">
      <alignment horizontal="center" vertical="center" wrapText="1"/>
    </xf>
    <xf numFmtId="0" fontId="2" fillId="6" borderId="5" applyAlignment="1" pivotButton="0" quotePrefix="0" xfId="0">
      <alignment horizontal="center" vertical="center" wrapText="1"/>
    </xf>
    <xf numFmtId="0" fontId="2" fillId="6" borderId="6" applyAlignment="1" pivotButton="0" quotePrefix="0" xfId="0">
      <alignment horizontal="center" vertical="center" wrapText="1"/>
    </xf>
    <xf numFmtId="0" fontId="2" fillId="6" borderId="7" applyAlignment="1" pivotButton="0" quotePrefix="0" xfId="0">
      <alignment horizontal="center" vertical="center" wrapText="1"/>
    </xf>
    <xf numFmtId="0" fontId="2" fillId="16" borderId="24" applyAlignment="1" pivotButton="0" quotePrefix="0" xfId="0">
      <alignment horizontal="center" vertical="center"/>
    </xf>
    <xf numFmtId="0" fontId="2" fillId="16" borderId="25" applyAlignment="1" pivotButton="0" quotePrefix="0" xfId="0">
      <alignment horizontal="center" vertical="center"/>
    </xf>
    <xf numFmtId="0" fontId="2" fillId="16" borderId="26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3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3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4" fillId="5" borderId="42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2" fillId="20" borderId="36" applyAlignment="1" pivotButton="0" quotePrefix="0" xfId="0">
      <alignment horizontal="center" vertical="center"/>
    </xf>
    <xf numFmtId="0" fontId="2" fillId="20" borderId="37" applyAlignment="1" pivotButton="0" quotePrefix="0" xfId="0">
      <alignment horizontal="center" vertical="center"/>
    </xf>
    <xf numFmtId="0" fontId="2" fillId="20" borderId="6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2" fillId="24" borderId="6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/>
    </xf>
    <xf numFmtId="0" fontId="2" fillId="24" borderId="6" applyAlignment="1" pivotButton="0" quotePrefix="0" xfId="0">
      <alignment horizontal="center" vertical="center"/>
    </xf>
    <xf numFmtId="0" fontId="2" fillId="20" borderId="24" applyAlignment="1" pivotButton="0" quotePrefix="0" xfId="0">
      <alignment horizontal="center" vertical="center"/>
    </xf>
    <xf numFmtId="0" fontId="2" fillId="20" borderId="25" applyAlignment="1" pivotButton="0" quotePrefix="0" xfId="0">
      <alignment horizontal="center" vertical="center"/>
    </xf>
    <xf numFmtId="0" fontId="2" fillId="20" borderId="26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2" fillId="3" borderId="26" applyAlignment="1" pivotButton="0" quotePrefix="0" xfId="0">
      <alignment horizontal="center" vertical="center" wrapText="1"/>
    </xf>
    <xf numFmtId="0" fontId="2" fillId="9" borderId="24" applyAlignment="1" pivotButton="0" quotePrefix="0" xfId="0">
      <alignment horizontal="center" vertical="center"/>
    </xf>
    <xf numFmtId="0" fontId="2" fillId="9" borderId="25" applyAlignment="1" pivotButton="0" quotePrefix="0" xfId="0">
      <alignment horizontal="center" vertical="center"/>
    </xf>
    <xf numFmtId="0" fontId="2" fillId="9" borderId="26" applyAlignment="1" pivotButton="0" quotePrefix="0" xfId="0">
      <alignment horizontal="center" vertical="center"/>
    </xf>
    <xf numFmtId="0" fontId="5" fillId="16" borderId="24" applyAlignment="1" pivotButton="0" quotePrefix="0" xfId="0">
      <alignment horizontal="center" vertical="center"/>
    </xf>
    <xf numFmtId="0" fontId="5" fillId="16" borderId="25" applyAlignment="1" pivotButton="0" quotePrefix="0" xfId="0">
      <alignment horizontal="center" vertical="center"/>
    </xf>
    <xf numFmtId="0" fontId="5" fillId="16" borderId="26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/>
    </xf>
    <xf numFmtId="0" fontId="2" fillId="9" borderId="24" applyAlignment="1" pivotButton="0" quotePrefix="0" xfId="0">
      <alignment horizontal="center" vertical="center" wrapText="1"/>
    </xf>
    <xf numFmtId="0" fontId="2" fillId="9" borderId="25" applyAlignment="1" pivotButton="0" quotePrefix="0" xfId="0">
      <alignment horizontal="center" vertical="center" wrapText="1"/>
    </xf>
    <xf numFmtId="0" fontId="2" fillId="9" borderId="26" applyAlignment="1" pivotButton="0" quotePrefix="0" xfId="0">
      <alignment horizontal="center" vertical="center" wrapText="1"/>
    </xf>
    <xf numFmtId="0" fontId="5" fillId="7" borderId="105" applyAlignment="1" pivotButton="0" quotePrefix="0" xfId="0">
      <alignment horizontal="center" vertical="center"/>
    </xf>
    <xf numFmtId="0" fontId="5" fillId="7" borderId="85" applyAlignment="1" pivotButton="0" quotePrefix="0" xfId="0">
      <alignment horizontal="center" vertical="center"/>
    </xf>
    <xf numFmtId="0" fontId="3" fillId="23" borderId="74" applyAlignment="1" pivotButton="0" quotePrefix="0" xfId="0">
      <alignment horizontal="center" vertical="center"/>
    </xf>
    <xf numFmtId="0" fontId="3" fillId="23" borderId="75" applyAlignment="1" pivotButton="0" quotePrefix="0" xfId="0">
      <alignment horizontal="center" vertical="center"/>
    </xf>
    <xf numFmtId="0" fontId="3" fillId="23" borderId="82" applyAlignment="1" pivotButton="0" quotePrefix="0" xfId="0">
      <alignment horizontal="center" vertical="center"/>
    </xf>
    <xf numFmtId="0" fontId="3" fillId="26" borderId="36" applyAlignment="1" pivotButton="0" quotePrefix="0" xfId="0">
      <alignment horizontal="center" vertical="center"/>
    </xf>
    <xf numFmtId="0" fontId="3" fillId="26" borderId="37" applyAlignment="1" pivotButton="0" quotePrefix="0" xfId="0">
      <alignment horizontal="center" vertical="center"/>
    </xf>
    <xf numFmtId="0" fontId="3" fillId="26" borderId="38" applyAlignment="1" pivotButton="0" quotePrefix="0" xfId="0">
      <alignment horizontal="center" vertical="center"/>
    </xf>
    <xf numFmtId="0" fontId="3" fillId="28" borderId="63" applyAlignment="1" pivotButton="0" quotePrefix="0" xfId="0">
      <alignment horizontal="center" vertical="center"/>
    </xf>
    <xf numFmtId="0" fontId="3" fillId="28" borderId="62" applyAlignment="1" pivotButton="0" quotePrefix="0" xfId="0">
      <alignment horizontal="center" vertical="center"/>
    </xf>
    <xf numFmtId="0" fontId="3" fillId="4" borderId="84" applyAlignment="1" pivotButton="0" quotePrefix="0" xfId="0">
      <alignment horizontal="center" vertical="center"/>
    </xf>
    <xf numFmtId="0" fontId="3" fillId="4" borderId="85" applyAlignment="1" pivotButton="0" quotePrefix="0" xfId="0">
      <alignment horizontal="center" vertical="center"/>
    </xf>
    <xf numFmtId="0" fontId="3" fillId="4" borderId="87" applyAlignment="1" pivotButton="0" quotePrefix="0" xfId="0">
      <alignment horizontal="center" vertical="center"/>
    </xf>
    <xf numFmtId="0" fontId="2" fillId="24" borderId="24" applyAlignment="1" pivotButton="0" quotePrefix="0" xfId="0">
      <alignment horizontal="center" vertical="center" wrapText="1"/>
    </xf>
    <xf numFmtId="0" fontId="2" fillId="24" borderId="25" applyAlignment="1" pivotButton="0" quotePrefix="0" xfId="0">
      <alignment horizontal="center" vertical="center" wrapText="1"/>
    </xf>
    <xf numFmtId="0" fontId="2" fillId="25" borderId="24" applyAlignment="1" pivotButton="0" quotePrefix="0" xfId="0">
      <alignment horizontal="center" vertical="center"/>
    </xf>
    <xf numFmtId="0" fontId="2" fillId="25" borderId="25" applyAlignment="1" pivotButton="0" quotePrefix="0" xfId="0">
      <alignment horizontal="center" vertical="center"/>
    </xf>
    <xf numFmtId="0" fontId="2" fillId="24" borderId="24" applyAlignment="1" pivotButton="0" quotePrefix="0" xfId="0">
      <alignment horizontal="center" vertical="center"/>
    </xf>
    <xf numFmtId="0" fontId="2" fillId="24" borderId="25" applyAlignment="1" pivotButton="0" quotePrefix="0" xfId="0">
      <alignment horizontal="center" vertical="center"/>
    </xf>
    <xf numFmtId="0" fontId="2" fillId="24" borderId="26" applyAlignment="1" pivotButton="0" quotePrefix="0" xfId="0">
      <alignment horizontal="center" vertical="center"/>
    </xf>
    <xf numFmtId="0" fontId="2" fillId="25" borderId="24" applyAlignment="1" pivotButton="0" quotePrefix="0" xfId="0">
      <alignment horizontal="center" vertical="center" wrapText="1"/>
    </xf>
    <xf numFmtId="0" fontId="2" fillId="25" borderId="25" applyAlignment="1" pivotButton="0" quotePrefix="0" xfId="0">
      <alignment horizontal="center" vertical="center" wrapText="1"/>
    </xf>
    <xf numFmtId="0" fontId="2" fillId="25" borderId="26" applyAlignment="1" pivotButton="0" quotePrefix="0" xfId="0">
      <alignment horizontal="center" vertical="center" wrapText="1"/>
    </xf>
    <xf numFmtId="0" fontId="2" fillId="23" borderId="24" applyAlignment="1" pivotButton="0" quotePrefix="0" xfId="0">
      <alignment horizontal="center" vertical="center"/>
    </xf>
    <xf numFmtId="0" fontId="2" fillId="23" borderId="25" applyAlignment="1" pivotButton="0" quotePrefix="0" xfId="0">
      <alignment horizontal="center" vertical="center"/>
    </xf>
    <xf numFmtId="0" fontId="2" fillId="23" borderId="36" applyAlignment="1" pivotButton="0" quotePrefix="0" xfId="0">
      <alignment horizontal="center" vertical="center"/>
    </xf>
    <xf numFmtId="0" fontId="2" fillId="23" borderId="38" applyAlignment="1" pivotButton="0" quotePrefix="0" xfId="0">
      <alignment horizontal="center" vertical="center"/>
    </xf>
    <xf numFmtId="0" fontId="2" fillId="27" borderId="68" applyAlignment="1" pivotButton="0" quotePrefix="0" xfId="0">
      <alignment horizontal="center" vertical="center" wrapText="1"/>
    </xf>
    <xf numFmtId="0" fontId="2" fillId="27" borderId="80" applyAlignment="1" pivotButton="0" quotePrefix="0" xfId="0">
      <alignment horizontal="center" vertical="center" wrapText="1"/>
    </xf>
    <xf numFmtId="0" fontId="2" fillId="23" borderId="68" applyAlignment="1" pivotButton="0" quotePrefix="0" xfId="0">
      <alignment horizontal="center" vertical="center"/>
    </xf>
    <xf numFmtId="0" fontId="2" fillId="28" borderId="24" applyAlignment="1" pivotButton="0" quotePrefix="0" xfId="0">
      <alignment horizontal="center" vertical="center" wrapText="1"/>
    </xf>
    <xf numFmtId="0" fontId="2" fillId="28" borderId="25" applyAlignment="1" pivotButton="0" quotePrefix="0" xfId="0">
      <alignment horizontal="center" vertical="center" wrapText="1"/>
    </xf>
    <xf numFmtId="0" fontId="2" fillId="28" borderId="26" applyAlignment="1" pivotButton="0" quotePrefix="0" xfId="0">
      <alignment horizontal="center" vertical="center" wrapText="1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14" borderId="5" applyAlignment="1" pivotButton="0" quotePrefix="0" xfId="0">
      <alignment horizontal="center" vertical="center"/>
    </xf>
    <xf numFmtId="0" fontId="2" fillId="14" borderId="6" applyAlignment="1" pivotButton="0" quotePrefix="0" xfId="0">
      <alignment horizontal="center" vertical="center"/>
    </xf>
    <xf numFmtId="0" fontId="2" fillId="14" borderId="7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 wrapText="1"/>
    </xf>
    <xf numFmtId="0" fontId="2" fillId="9" borderId="6" applyAlignment="1" pivotButton="0" quotePrefix="0" xfId="0">
      <alignment horizontal="center" vertical="center" wrapText="1"/>
    </xf>
    <xf numFmtId="0" fontId="2" fillId="27" borderId="81" applyAlignment="1" pivotButton="0" quotePrefix="0" xfId="0">
      <alignment horizontal="center" vertical="center"/>
    </xf>
    <xf numFmtId="0" fontId="2" fillId="27" borderId="68" applyAlignment="1" pivotButton="0" quotePrefix="0" xfId="0">
      <alignment horizontal="center" vertical="center"/>
    </xf>
    <xf numFmtId="0" fontId="2" fillId="27" borderId="80" applyAlignment="1" pivotButton="0" quotePrefix="0" xfId="0">
      <alignment horizontal="center" vertical="center"/>
    </xf>
    <xf numFmtId="0" fontId="2" fillId="23" borderId="68" applyAlignment="1" pivotButton="0" quotePrefix="0" xfId="0">
      <alignment horizontal="center" vertical="center" wrapText="1"/>
    </xf>
    <xf numFmtId="0" fontId="2" fillId="9" borderId="81" applyAlignment="1" pivotButton="0" quotePrefix="0" xfId="0">
      <alignment horizontal="center" vertical="center"/>
    </xf>
    <xf numFmtId="0" fontId="2" fillId="9" borderId="68" applyAlignment="1" pivotButton="0" quotePrefix="0" xfId="0">
      <alignment horizontal="center" vertical="center"/>
    </xf>
    <xf numFmtId="0" fontId="2" fillId="9" borderId="80" applyAlignment="1" pivotButton="0" quotePrefix="0" xfId="0">
      <alignment horizontal="center" vertical="center"/>
    </xf>
    <xf numFmtId="0" fontId="2" fillId="4" borderId="81" applyAlignment="1" pivotButton="0" quotePrefix="0" xfId="0">
      <alignment horizontal="center" vertical="center"/>
    </xf>
    <xf numFmtId="0" fontId="2" fillId="4" borderId="68" applyAlignment="1" pivotButton="0" quotePrefix="0" xfId="0">
      <alignment horizontal="center" vertical="center"/>
    </xf>
    <xf numFmtId="0" fontId="2" fillId="4" borderId="80" applyAlignment="1" pivotButton="0" quotePrefix="0" xfId="0">
      <alignment horizontal="center" vertical="center"/>
    </xf>
    <xf numFmtId="0" fontId="2" fillId="28" borderId="24" applyAlignment="1" pivotButton="0" quotePrefix="0" xfId="0">
      <alignment horizontal="center" vertical="center"/>
    </xf>
    <xf numFmtId="0" fontId="2" fillId="28" borderId="25" applyAlignment="1" pivotButton="0" quotePrefix="0" xfId="0">
      <alignment horizontal="center" vertical="center"/>
    </xf>
    <xf numFmtId="0" fontId="2" fillId="28" borderId="26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 wrapText="1"/>
    </xf>
    <xf numFmtId="0" fontId="2" fillId="4" borderId="25" applyAlignment="1" pivotButton="0" quotePrefix="0" xfId="0">
      <alignment horizontal="center" vertical="center" wrapText="1"/>
    </xf>
    <xf numFmtId="0" fontId="2" fillId="4" borderId="26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/>
    </xf>
    <xf numFmtId="0" fontId="2" fillId="16" borderId="6" applyAlignment="1" pivotButton="0" quotePrefix="0" xfId="0">
      <alignment horizontal="center" vertical="center"/>
    </xf>
    <xf numFmtId="0" fontId="2" fillId="16" borderId="7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7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0" fontId="2" fillId="10" borderId="6" applyAlignment="1" pivotButton="0" quotePrefix="0" xfId="0">
      <alignment horizontal="center" vertical="center"/>
    </xf>
    <xf numFmtId="0" fontId="2" fillId="10" borderId="7" applyAlignment="1" pivotButton="0" quotePrefix="0" xfId="0">
      <alignment horizontal="center" vertical="center"/>
    </xf>
    <xf numFmtId="0" fontId="2" fillId="0" borderId="120" applyAlignment="1" pivotButton="0" quotePrefix="0" xfId="0">
      <alignment horizontal="center" vertical="center"/>
    </xf>
    <xf numFmtId="0" fontId="2" fillId="27" borderId="103" applyAlignment="1" pivotButton="0" quotePrefix="0" xfId="0">
      <alignment horizontal="center" vertical="center"/>
    </xf>
    <xf numFmtId="0" fontId="5" fillId="7" borderId="106" applyAlignment="1" pivotButton="0" quotePrefix="0" xfId="0">
      <alignment horizontal="center" vertical="center"/>
    </xf>
    <xf numFmtId="0" fontId="5" fillId="7" borderId="66" applyAlignment="1" pivotButton="0" quotePrefix="0" xfId="0">
      <alignment horizontal="center" vertical="center"/>
    </xf>
    <xf numFmtId="0" fontId="0" fillId="0" borderId="17" applyAlignment="1" pivotButton="0" quotePrefix="0" xfId="1">
      <alignment horizontal="center" vertical="center"/>
    </xf>
    <xf numFmtId="0" fontId="0" fillId="0" borderId="76" applyAlignment="1" pivotButton="0" quotePrefix="0" xfId="1">
      <alignment horizontal="center" vertical="center"/>
    </xf>
    <xf numFmtId="2" fontId="0" fillId="0" borderId="41" applyAlignment="1" pivotButton="0" quotePrefix="0" xfId="0">
      <alignment horizontal="center" vertical="center"/>
    </xf>
    <xf numFmtId="0" fontId="0" fillId="13" borderId="20" applyAlignment="1" pivotButton="0" quotePrefix="0" xfId="1">
      <alignment horizontal="center" vertical="center"/>
    </xf>
    <xf numFmtId="0" fontId="0" fillId="13" borderId="113" applyAlignment="1" pivotButton="0" quotePrefix="0" xfId="1">
      <alignment horizontal="center" vertical="center"/>
    </xf>
    <xf numFmtId="0" fontId="0" fillId="13" borderId="114" applyAlignment="1" pivotButton="0" quotePrefix="0" xfId="1">
      <alignment horizontal="center" vertical="center"/>
    </xf>
    <xf numFmtId="0" fontId="0" fillId="13" borderId="115" applyAlignment="1" pivotButton="0" quotePrefix="0" xfId="1">
      <alignment horizontal="center" vertical="center"/>
    </xf>
    <xf numFmtId="2" fontId="0" fillId="0" borderId="116" applyAlignment="1" pivotButton="0" quotePrefix="0" xfId="0">
      <alignment horizontal="center" vertical="center"/>
    </xf>
    <xf numFmtId="2" fontId="0" fillId="0" borderId="117" applyAlignment="1" pivotButton="0" quotePrefix="0" xfId="0">
      <alignment horizontal="center" vertical="center"/>
    </xf>
    <xf numFmtId="2" fontId="0" fillId="0" borderId="118" applyAlignment="1" pivotButton="0" quotePrefix="0" xfId="0">
      <alignment horizontal="center" vertical="center"/>
    </xf>
    <xf numFmtId="0" fontId="0" fillId="0" borderId="119" applyAlignment="1" pivotButton="0" quotePrefix="0" xfId="1">
      <alignment horizontal="center" vertical="center"/>
    </xf>
    <xf numFmtId="0" fontId="0" fillId="0" borderId="120" applyAlignment="1" pivotButton="0" quotePrefix="0" xfId="1">
      <alignment horizontal="center" vertical="center"/>
    </xf>
    <xf numFmtId="2" fontId="2" fillId="8" borderId="36" applyAlignment="1" pivotButton="0" quotePrefix="0" xfId="0">
      <alignment horizontal="center" vertical="center"/>
    </xf>
    <xf numFmtId="2" fontId="2" fillId="8" borderId="37" applyAlignment="1" pivotButton="0" quotePrefix="0" xfId="0">
      <alignment horizontal="center" vertical="center"/>
    </xf>
    <xf numFmtId="2" fontId="2" fillId="8" borderId="38" applyAlignment="1" pivotButton="0" quotePrefix="0" xfId="0">
      <alignment horizontal="center" vertical="center"/>
    </xf>
    <xf numFmtId="2" fontId="2" fillId="8" borderId="107" applyAlignment="1" pivotButton="0" quotePrefix="0" xfId="0">
      <alignment horizontal="center" vertical="center"/>
    </xf>
    <xf numFmtId="2" fontId="2" fillId="8" borderId="108" applyAlignment="1" pivotButton="0" quotePrefix="0" xfId="0">
      <alignment horizontal="center" vertical="center"/>
    </xf>
    <xf numFmtId="0" fontId="2" fillId="24" borderId="26" applyAlignment="1" pivotButton="0" quotePrefix="0" xfId="0">
      <alignment horizontal="center" vertical="center" wrapText="1"/>
    </xf>
    <xf numFmtId="0" fontId="2" fillId="25" borderId="26" applyAlignment="1" pivotButton="0" quotePrefix="0" xfId="0">
      <alignment horizontal="center" vertical="center"/>
    </xf>
    <xf numFmtId="2" fontId="7" fillId="0" borderId="17" applyAlignment="1" pivotButton="0" quotePrefix="0" xfId="0">
      <alignment horizontal="center" vertical="center" wrapText="1"/>
    </xf>
    <xf numFmtId="2" fontId="7" fillId="0" borderId="76" applyAlignment="1" pivotButton="0" quotePrefix="0" xfId="0">
      <alignment horizontal="center" vertical="center" wrapText="1"/>
    </xf>
    <xf numFmtId="0" fontId="0" fillId="0" borderId="19" applyAlignment="1" pivotButton="0" quotePrefix="0" xfId="1">
      <alignment horizontal="center" vertical="center"/>
    </xf>
    <xf numFmtId="2" fontId="2" fillId="8" borderId="78" applyAlignment="1" pivotButton="0" quotePrefix="0" xfId="0">
      <alignment horizontal="center" vertical="center"/>
    </xf>
    <xf numFmtId="2" fontId="2" fillId="8" borderId="79" applyAlignment="1" pivotButton="0" quotePrefix="0" xfId="0">
      <alignment horizontal="center" vertical="center"/>
    </xf>
    <xf numFmtId="0" fontId="5" fillId="7" borderId="123" applyAlignment="1" pivotButton="0" quotePrefix="0" xfId="0">
      <alignment horizontal="center" vertical="center"/>
    </xf>
    <xf numFmtId="0" fontId="5" fillId="12" borderId="21" applyAlignment="1" pivotButton="0" quotePrefix="0" xfId="0">
      <alignment horizontal="center" vertical="center"/>
    </xf>
    <xf numFmtId="0" fontId="5" fillId="7" borderId="109" applyAlignment="1" pivotButton="0" quotePrefix="0" xfId="0">
      <alignment horizontal="center" vertical="center"/>
    </xf>
    <xf numFmtId="0" fontId="5" fillId="7" borderId="63" applyAlignment="1" pivotButton="0" quotePrefix="0" xfId="0">
      <alignment horizontal="center" vertical="center"/>
    </xf>
    <xf numFmtId="0" fontId="5" fillId="7" borderId="78" applyAlignment="1" pivotButton="0" quotePrefix="0" xfId="0">
      <alignment horizontal="center" vertical="center"/>
    </xf>
    <xf numFmtId="0" fontId="5" fillId="12" borderId="125" applyAlignment="1" pivotButton="0" quotePrefix="0" xfId="0">
      <alignment horizontal="center" vertical="center"/>
    </xf>
    <xf numFmtId="0" fontId="5" fillId="12" borderId="124" applyAlignment="1" pivotButton="0" quotePrefix="0" xfId="0">
      <alignment horizontal="center" vertical="center"/>
    </xf>
    <xf numFmtId="0" fontId="5" fillId="7" borderId="127" applyAlignment="1" pivotButton="0" quotePrefix="0" xfId="0">
      <alignment horizontal="center" vertical="center"/>
    </xf>
    <xf numFmtId="2" fontId="19" fillId="0" borderId="10" applyAlignment="1" pivotButton="0" quotePrefix="0" xfId="0">
      <alignment horizontal="center" vertical="center" wrapText="1"/>
    </xf>
    <xf numFmtId="2" fontId="19" fillId="0" borderId="71" applyAlignment="1" pivotButton="0" quotePrefix="0" xfId="0">
      <alignment horizontal="center" vertical="center" wrapText="1"/>
    </xf>
    <xf numFmtId="2" fontId="19" fillId="0" borderId="19" applyAlignment="1" pivotButton="0" quotePrefix="0" xfId="0">
      <alignment horizontal="center" vertical="center" wrapText="1"/>
    </xf>
    <xf numFmtId="2" fontId="19" fillId="0" borderId="17" applyAlignment="1" pivotButton="0" quotePrefix="0" xfId="0">
      <alignment horizontal="center" vertical="center" wrapText="1"/>
    </xf>
    <xf numFmtId="2" fontId="19" fillId="0" borderId="76" applyAlignment="1" pivotButton="0" quotePrefix="0" xfId="0">
      <alignment horizontal="center" vertical="center" wrapText="1"/>
    </xf>
    <xf numFmtId="2" fontId="19" fillId="0" borderId="17" applyAlignment="1" pivotButton="0" quotePrefix="0" xfId="0">
      <alignment horizontal="center" vertical="center"/>
    </xf>
    <xf numFmtId="2" fontId="19" fillId="0" borderId="76" applyAlignment="1" pivotButton="0" quotePrefix="0" xfId="0">
      <alignment horizontal="center" vertical="center"/>
    </xf>
    <xf numFmtId="2" fontId="2" fillId="8" borderId="111" applyAlignment="1" pivotButton="0" quotePrefix="0" xfId="0">
      <alignment horizontal="center" vertical="center"/>
    </xf>
    <xf numFmtId="2" fontId="2" fillId="8" borderId="109" applyAlignment="1" pivotButton="0" quotePrefix="0" xfId="0">
      <alignment horizontal="center" vertical="center"/>
    </xf>
    <xf numFmtId="2" fontId="2" fillId="8" borderId="85" applyAlignment="1" pivotButton="0" quotePrefix="0" xfId="0">
      <alignment horizontal="center" vertical="center"/>
    </xf>
    <xf numFmtId="2" fontId="2" fillId="8" borderId="110" applyAlignment="1" pivotButton="0" quotePrefix="0" xfId="0">
      <alignment horizontal="center" vertical="center"/>
    </xf>
    <xf numFmtId="0" fontId="0" fillId="13" borderId="112" applyAlignment="1" pivotButton="0" quotePrefix="0" xfId="1">
      <alignment horizontal="center" vertical="center"/>
    </xf>
    <xf numFmtId="0" fontId="5" fillId="7" borderId="81" applyAlignment="1" pivotButton="0" quotePrefix="0" xfId="0">
      <alignment horizontal="center" vertical="center"/>
    </xf>
    <xf numFmtId="2" fontId="19" fillId="0" borderId="121" applyAlignment="1" pivotButton="0" quotePrefix="0" xfId="0">
      <alignment horizontal="center" vertical="center" wrapText="1"/>
    </xf>
    <xf numFmtId="2" fontId="19" fillId="0" borderId="6" applyAlignment="1" pivotButton="0" quotePrefix="0" xfId="0">
      <alignment horizontal="center" vertical="center" wrapText="1"/>
    </xf>
    <xf numFmtId="2" fontId="19" fillId="0" borderId="122" applyAlignment="1" pivotButton="0" quotePrefix="0" xfId="0">
      <alignment horizontal="center" vertical="center" wrapText="1"/>
    </xf>
    <xf numFmtId="2" fontId="19" fillId="0" borderId="119" applyAlignment="1" pivotButton="0" quotePrefix="0" xfId="0">
      <alignment horizontal="center" vertical="center" wrapText="1"/>
    </xf>
    <xf numFmtId="2" fontId="19" fillId="0" borderId="120" applyAlignment="1" pivotButton="0" quotePrefix="0" xfId="0">
      <alignment horizontal="center" vertical="center" wrapText="1"/>
    </xf>
    <xf numFmtId="2" fontId="19" fillId="0" borderId="119" applyAlignment="1" pivotButton="0" quotePrefix="0" xfId="0">
      <alignment horizontal="center" vertical="center"/>
    </xf>
    <xf numFmtId="2" fontId="19" fillId="0" borderId="120" applyAlignment="1" pivotButton="0" quotePrefix="0" xfId="0">
      <alignment horizontal="center" vertical="center"/>
    </xf>
    <xf numFmtId="2" fontId="7" fillId="0" borderId="17" applyAlignment="1" pivotButton="0" quotePrefix="0" xfId="0">
      <alignment horizontal="center" vertical="center"/>
    </xf>
    <xf numFmtId="2" fontId="7" fillId="0" borderId="76" applyAlignment="1" pivotButton="0" quotePrefix="0" xfId="0">
      <alignment horizontal="center" vertical="center"/>
    </xf>
    <xf numFmtId="2" fontId="2" fillId="8" borderId="88" applyAlignment="1" pivotButton="0" quotePrefix="0" xfId="0">
      <alignment horizontal="center" vertical="center"/>
    </xf>
    <xf numFmtId="2" fontId="7" fillId="0" borderId="19" applyAlignment="1" pivotButton="0" quotePrefix="0" xfId="0">
      <alignment horizontal="center" vertical="center" wrapText="1"/>
    </xf>
    <xf numFmtId="2" fontId="7" fillId="0" borderId="10" applyAlignment="1" pivotButton="0" quotePrefix="0" xfId="0">
      <alignment horizontal="center" vertical="center"/>
    </xf>
    <xf numFmtId="2" fontId="7" fillId="0" borderId="71" applyAlignment="1" pivotButton="0" quotePrefix="0" xfId="0">
      <alignment horizontal="center" vertical="center"/>
    </xf>
    <xf numFmtId="2" fontId="7" fillId="0" borderId="19" applyAlignment="1" pivotButton="0" quotePrefix="0" xfId="0">
      <alignment horizontal="center" vertical="center"/>
    </xf>
    <xf numFmtId="0" fontId="18" fillId="34" borderId="17" applyAlignment="1" pivotButton="0" quotePrefix="0" xfId="0">
      <alignment horizontal="center" vertical="center" wrapText="1"/>
    </xf>
    <xf numFmtId="0" fontId="18" fillId="34" borderId="68" applyAlignment="1" pivotButton="0" quotePrefix="0" xfId="0">
      <alignment horizontal="center" vertical="center" wrapText="1"/>
    </xf>
    <xf numFmtId="0" fontId="2" fillId="4" borderId="153" applyAlignment="1" pivotButton="0" quotePrefix="0" xfId="0">
      <alignment horizontal="center" vertical="center"/>
    </xf>
    <xf numFmtId="0" fontId="2" fillId="4" borderId="154" applyAlignment="1" pivotButton="0" quotePrefix="0" xfId="0">
      <alignment horizontal="center" vertical="center"/>
    </xf>
    <xf numFmtId="0" fontId="2" fillId="4" borderId="155" applyAlignment="1" pivotButton="0" quotePrefix="0" xfId="0">
      <alignment horizontal="center" vertical="center"/>
    </xf>
    <xf numFmtId="0" fontId="5" fillId="7" borderId="151" applyAlignment="1" pivotButton="0" quotePrefix="0" xfId="0">
      <alignment horizontal="center" vertical="center"/>
    </xf>
    <xf numFmtId="0" fontId="5" fillId="7" borderId="152" applyAlignment="1" pivotButton="0" quotePrefix="0" xfId="0">
      <alignment horizontal="center" vertical="center"/>
    </xf>
    <xf numFmtId="0" fontId="8" fillId="10" borderId="31" applyAlignment="1" pivotButton="0" quotePrefix="0" xfId="0">
      <alignment horizontal="center" vertical="center" textRotation="90"/>
    </xf>
    <xf numFmtId="0" fontId="2" fillId="20" borderId="4" applyAlignment="1" pivotButton="0" quotePrefix="0" xfId="0">
      <alignment horizontal="center" vertical="center"/>
    </xf>
    <xf numFmtId="0" fontId="2" fillId="20" borderId="0" applyAlignment="1" pivotButton="0" quotePrefix="0" xfId="0">
      <alignment horizontal="center" vertical="center"/>
    </xf>
    <xf numFmtId="0" fontId="2" fillId="20" borderId="31" applyAlignment="1" pivotButton="0" quotePrefix="0" xfId="0">
      <alignment horizontal="center" vertical="center"/>
    </xf>
    <xf numFmtId="2" fontId="7" fillId="0" borderId="10" applyAlignment="1" pivotButton="0" quotePrefix="0" xfId="0">
      <alignment horizontal="center" vertical="center" wrapText="1"/>
    </xf>
    <xf numFmtId="2" fontId="7" fillId="0" borderId="81" applyAlignment="1" pivotButton="0" quotePrefix="0" xfId="0">
      <alignment horizontal="center" vertical="center" wrapText="1"/>
    </xf>
    <xf numFmtId="2" fontId="7" fillId="0" borderId="68" applyAlignment="1" pivotButton="0" quotePrefix="0" xfId="0">
      <alignment horizontal="center" vertical="center" wrapText="1"/>
    </xf>
    <xf numFmtId="2" fontId="7" fillId="0" borderId="80" applyAlignment="1" pivotButton="0" quotePrefix="0" xfId="0">
      <alignment horizontal="center" vertical="center" wrapText="1"/>
    </xf>
    <xf numFmtId="0" fontId="8" fillId="10" borderId="134" applyAlignment="1" pivotButton="0" quotePrefix="0" xfId="0">
      <alignment horizontal="center" vertical="center" textRotation="90"/>
    </xf>
    <xf numFmtId="0" fontId="8" fillId="10" borderId="0" applyAlignment="1" pivotButton="0" quotePrefix="0" xfId="0">
      <alignment horizontal="center" vertical="center" textRotation="90"/>
    </xf>
    <xf numFmtId="0" fontId="8" fillId="10" borderId="42" applyAlignment="1" pivotButton="0" quotePrefix="0" xfId="0">
      <alignment horizontal="center" vertical="center" textRotation="90"/>
    </xf>
    <xf numFmtId="0" fontId="5" fillId="7" borderId="131" applyAlignment="1" pivotButton="0" quotePrefix="0" xfId="0">
      <alignment horizontal="center" vertical="center"/>
    </xf>
    <xf numFmtId="0" fontId="5" fillId="7" borderId="128" applyAlignment="1" pivotButton="0" quotePrefix="0" xfId="0">
      <alignment horizontal="center" vertical="center"/>
    </xf>
    <xf numFmtId="0" fontId="10" fillId="2" borderId="78" applyAlignment="1" pivotButton="0" quotePrefix="0" xfId="0">
      <alignment horizontal="center"/>
    </xf>
    <xf numFmtId="0" fontId="10" fillId="2" borderId="88" applyAlignment="1" pivotButton="0" quotePrefix="0" xfId="0">
      <alignment horizontal="center"/>
    </xf>
    <xf numFmtId="0" fontId="2" fillId="0" borderId="131" applyAlignment="1" pivotButton="0" quotePrefix="0" xfId="0">
      <alignment horizontal="center" vertical="center"/>
    </xf>
    <xf numFmtId="0" fontId="2" fillId="0" borderId="63" applyAlignment="1" pivotButton="0" quotePrefix="0" xfId="0">
      <alignment horizontal="center" vertical="center"/>
    </xf>
    <xf numFmtId="0" fontId="2" fillId="0" borderId="132" applyAlignment="1" pivotButton="0" quotePrefix="0" xfId="0">
      <alignment horizontal="center" vertical="center"/>
    </xf>
    <xf numFmtId="0" fontId="2" fillId="0" borderId="70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 wrapText="1"/>
    </xf>
    <xf numFmtId="0" fontId="2" fillId="6" borderId="121" applyAlignment="1" pivotButton="0" quotePrefix="0" xfId="0">
      <alignment horizontal="center" vertical="center" wrapText="1"/>
    </xf>
    <xf numFmtId="0" fontId="2" fillId="6" borderId="120" applyAlignment="1" pivotButton="0" quotePrefix="0" xfId="0">
      <alignment horizontal="center" vertical="center" wrapText="1"/>
    </xf>
    <xf numFmtId="0" fontId="5" fillId="7" borderId="126" applyAlignment="1" pivotButton="0" quotePrefix="0" xfId="0">
      <alignment horizontal="center" vertical="center"/>
    </xf>
    <xf numFmtId="0" fontId="5" fillId="7" borderId="110" applyAlignment="1" pivotButton="0" quotePrefix="0" xfId="0">
      <alignment horizontal="center" vertical="center"/>
    </xf>
    <xf numFmtId="0" fontId="4" fillId="17" borderId="30" applyAlignment="1" pivotButton="0" quotePrefix="0" xfId="0">
      <alignment horizontal="center"/>
    </xf>
    <xf numFmtId="2" fontId="7" fillId="0" borderId="71" applyAlignment="1" pivotButton="0" quotePrefix="0" xfId="0">
      <alignment horizontal="center" vertical="center" wrapText="1"/>
    </xf>
    <xf numFmtId="0" fontId="5" fillId="7" borderId="13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39" applyAlignment="1" pivotButton="0" quotePrefix="0" xfId="0">
      <alignment horizontal="center" vertical="center"/>
    </xf>
    <xf numFmtId="2" fontId="0" fillId="0" borderId="40" applyAlignment="1" pivotButton="0" quotePrefix="0" xfId="0">
      <alignment horizontal="center" vertical="center"/>
    </xf>
    <xf numFmtId="2" fontId="2" fillId="8" borderId="4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1" pivotButton="0" quotePrefix="0" xfId="0"/>
    <xf numFmtId="0" fontId="8" fillId="10" borderId="47" applyAlignment="1" pivotButton="0" quotePrefix="0" xfId="0">
      <alignment horizontal="center" vertical="center" textRotation="90"/>
    </xf>
    <xf numFmtId="0" fontId="3" fillId="4" borderId="21" applyAlignment="1" pivotButton="0" quotePrefix="0" xfId="0">
      <alignment horizontal="center" vertical="center"/>
    </xf>
    <xf numFmtId="0" fontId="3" fillId="23" borderId="178" applyAlignment="1" pivotButton="0" quotePrefix="0" xfId="0">
      <alignment horizontal="center" vertical="center"/>
    </xf>
    <xf numFmtId="0" fontId="0" fillId="0" borderId="75" pivotButton="0" quotePrefix="0" xfId="0"/>
    <xf numFmtId="0" fontId="0" fillId="0" borderId="82" pivotButton="0" quotePrefix="0" xfId="0"/>
    <xf numFmtId="0" fontId="3" fillId="26" borderId="23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0" fillId="0" borderId="63" pivotButton="0" quotePrefix="0" xfId="0"/>
    <xf numFmtId="0" fontId="0" fillId="0" borderId="62" pivotButton="0" quotePrefix="0" xfId="0"/>
    <xf numFmtId="0" fontId="3" fillId="4" borderId="179" applyAlignment="1" pivotButton="0" quotePrefix="0" xfId="0">
      <alignment horizontal="center" vertical="center"/>
    </xf>
    <xf numFmtId="0" fontId="0" fillId="0" borderId="85" pivotButton="0" quotePrefix="0" xfId="0"/>
    <xf numFmtId="0" fontId="0" fillId="0" borderId="87" pivotButton="0" quotePrefix="0" xfId="0"/>
    <xf numFmtId="0" fontId="0" fillId="0" borderId="42" pivotButton="0" quotePrefix="0" xfId="0"/>
    <xf numFmtId="0" fontId="0" fillId="0" borderId="3" pivotButton="0" quotePrefix="0" xfId="0"/>
    <xf numFmtId="0" fontId="0" fillId="0" borderId="68" pivotButton="0" quotePrefix="0" xfId="0"/>
    <xf numFmtId="0" fontId="0" fillId="0" borderId="4" pivotButton="0" quotePrefix="0" xfId="0"/>
    <xf numFmtId="0" fontId="0" fillId="0" borderId="25" pivotButton="0" quotePrefix="0" xfId="0"/>
    <xf numFmtId="0" fontId="2" fillId="24" borderId="174" applyAlignment="1" pivotButton="0" quotePrefix="0" xfId="0">
      <alignment horizontal="center" vertical="center"/>
    </xf>
    <xf numFmtId="0" fontId="0" fillId="0" borderId="26" pivotButton="0" quotePrefix="0" xfId="0"/>
    <xf numFmtId="0" fontId="2" fillId="25" borderId="174" applyAlignment="1" pivotButton="0" quotePrefix="0" xfId="0">
      <alignment horizontal="center" vertical="center" wrapText="1"/>
    </xf>
    <xf numFmtId="0" fontId="2" fillId="23" borderId="23" applyAlignment="1" pivotButton="0" quotePrefix="0" xfId="0">
      <alignment horizontal="center" vertical="center"/>
    </xf>
    <xf numFmtId="0" fontId="0" fillId="0" borderId="80" pivotButton="0" quotePrefix="0" xfId="0"/>
    <xf numFmtId="0" fontId="2" fillId="27" borderId="177" applyAlignment="1" pivotButton="0" quotePrefix="0" xfId="0">
      <alignment horizontal="center" vertical="center"/>
    </xf>
    <xf numFmtId="0" fontId="2" fillId="9" borderId="177" applyAlignment="1" pivotButton="0" quotePrefix="0" xfId="0">
      <alignment horizontal="center" vertical="center"/>
    </xf>
    <xf numFmtId="0" fontId="2" fillId="4" borderId="177" applyAlignment="1" pivotButton="0" quotePrefix="0" xfId="0">
      <alignment horizontal="center" vertical="center"/>
    </xf>
    <xf numFmtId="0" fontId="2" fillId="28" borderId="174" applyAlignment="1" pivotButton="0" quotePrefix="0" xfId="0">
      <alignment horizontal="center" vertical="center"/>
    </xf>
    <xf numFmtId="0" fontId="2" fillId="4" borderId="174" applyAlignment="1" pivotButton="0" quotePrefix="0" xfId="0">
      <alignment horizontal="center" vertical="center" wrapText="1"/>
    </xf>
    <xf numFmtId="0" fontId="2" fillId="28" borderId="174" applyAlignment="1" pivotButton="0" quotePrefix="0" xfId="0">
      <alignment horizontal="center" vertical="center" wrapText="1"/>
    </xf>
    <xf numFmtId="0" fontId="2" fillId="4" borderId="174" applyAlignment="1" pivotButton="0" quotePrefix="0" xfId="0">
      <alignment horizontal="center" vertical="center"/>
    </xf>
    <xf numFmtId="0" fontId="2" fillId="14" borderId="17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2" fillId="3" borderId="173" applyAlignment="1" pivotButton="0" quotePrefix="0" xfId="0">
      <alignment horizontal="center" vertical="center"/>
    </xf>
    <xf numFmtId="0" fontId="2" fillId="10" borderId="173" applyAlignment="1" pivotButton="0" quotePrefix="0" xfId="0">
      <alignment horizontal="center" vertical="center"/>
    </xf>
    <xf numFmtId="0" fontId="2" fillId="16" borderId="173" applyAlignment="1" pivotButton="0" quotePrefix="0" xfId="0">
      <alignment horizontal="center" vertical="center"/>
    </xf>
    <xf numFmtId="0" fontId="2" fillId="20" borderId="65" applyAlignment="1" pivotButton="0" quotePrefix="0" xfId="0">
      <alignment horizontal="center" vertical="center"/>
    </xf>
    <xf numFmtId="0" fontId="0" fillId="0" borderId="64" pivotButton="0" quotePrefix="0" xfId="0"/>
    <xf numFmtId="0" fontId="2" fillId="9" borderId="56" applyAlignment="1" pivotButton="0" quotePrefix="0" xfId="0">
      <alignment horizontal="center" vertical="center" wrapText="1"/>
    </xf>
    <xf numFmtId="0" fontId="0" fillId="0" borderId="96" pivotButton="0" quotePrefix="0" xfId="0"/>
    <xf numFmtId="0" fontId="2" fillId="29" borderId="56" applyAlignment="1" pivotButton="0" quotePrefix="0" xfId="0">
      <alignment horizontal="center" vertical="center"/>
    </xf>
    <xf numFmtId="0" fontId="2" fillId="9" borderId="173" applyAlignment="1" pivotButton="0" quotePrefix="0" xfId="0">
      <alignment horizontal="center" vertical="center"/>
    </xf>
    <xf numFmtId="0" fontId="2" fillId="6" borderId="173" applyAlignment="1" pivotButton="0" quotePrefix="0" xfId="0">
      <alignment horizontal="center" vertical="center"/>
    </xf>
    <xf numFmtId="0" fontId="2" fillId="3" borderId="173" applyAlignment="1" pivotButton="0" quotePrefix="0" xfId="0">
      <alignment horizontal="center" vertical="center" wrapText="1"/>
    </xf>
    <xf numFmtId="0" fontId="2" fillId="20" borderId="174" applyAlignment="1" pivotButton="0" quotePrefix="0" xfId="0">
      <alignment horizontal="center" vertical="center"/>
    </xf>
    <xf numFmtId="0" fontId="2" fillId="9" borderId="174" applyAlignment="1" pivotButton="0" quotePrefix="0" xfId="0">
      <alignment horizontal="center" vertical="center"/>
    </xf>
    <xf numFmtId="0" fontId="5" fillId="16" borderId="174" applyAlignment="1" pivotButton="0" quotePrefix="0" xfId="0">
      <alignment horizontal="center" vertical="center"/>
    </xf>
    <xf numFmtId="0" fontId="2" fillId="6" borderId="173" applyAlignment="1" pivotButton="0" quotePrefix="0" xfId="0">
      <alignment horizontal="center" vertical="center" wrapText="1"/>
    </xf>
    <xf numFmtId="0" fontId="2" fillId="3" borderId="174" applyAlignment="1" pivotButton="0" quotePrefix="0" xfId="0">
      <alignment horizontal="center" vertical="center"/>
    </xf>
    <xf numFmtId="0" fontId="2" fillId="9" borderId="174" applyAlignment="1" pivotButton="0" quotePrefix="0" xfId="0">
      <alignment horizontal="center" vertical="center" wrapText="1"/>
    </xf>
    <xf numFmtId="0" fontId="2" fillId="10" borderId="174" applyAlignment="1" pivotButton="0" quotePrefix="0" xfId="0">
      <alignment horizontal="center" vertical="center" wrapText="1"/>
    </xf>
    <xf numFmtId="0" fontId="2" fillId="16" borderId="174" applyAlignment="1" pivotButton="0" quotePrefix="0" xfId="0">
      <alignment horizontal="center" vertical="center"/>
    </xf>
    <xf numFmtId="0" fontId="2" fillId="0" borderId="175" applyAlignment="1" pivotButton="0" quotePrefix="0" xfId="0">
      <alignment horizontal="center" vertical="center"/>
    </xf>
    <xf numFmtId="0" fontId="0" fillId="0" borderId="120" pivotButton="0" quotePrefix="0" xfId="0"/>
    <xf numFmtId="0" fontId="2" fillId="19" borderId="47" applyAlignment="1" pivotButton="0" quotePrefix="0" xfId="0">
      <alignment horizontal="center" vertical="center"/>
    </xf>
    <xf numFmtId="0" fontId="5" fillId="7" borderId="172" applyAlignment="1" pivotButton="0" quotePrefix="0" xfId="0">
      <alignment horizontal="center" vertical="center"/>
    </xf>
    <xf numFmtId="0" fontId="0" fillId="0" borderId="106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34" pivotButton="0" quotePrefix="0" xfId="0"/>
    <xf numFmtId="0" fontId="0" fillId="0" borderId="13" pivotButton="0" quotePrefix="0" xfId="0"/>
    <xf numFmtId="0" fontId="0" fillId="0" borderId="170" applyAlignment="1" pivotButton="0" quotePrefix="0" xfId="1">
      <alignment horizontal="center" vertical="center"/>
    </xf>
    <xf numFmtId="2" fontId="0" fillId="0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13" borderId="166" applyAlignment="1" pivotButton="0" quotePrefix="0" xfId="1">
      <alignment horizontal="center" vertical="center"/>
    </xf>
    <xf numFmtId="0" fontId="0" fillId="0" borderId="115" pivotButton="0" quotePrefix="0" xfId="0"/>
    <xf numFmtId="2" fontId="0" fillId="0" borderId="168" applyAlignment="1" pivotButton="0" quotePrefix="0" xfId="0">
      <alignment horizontal="center" vertical="center"/>
    </xf>
    <xf numFmtId="0" fontId="0" fillId="0" borderId="117" pivotButton="0" quotePrefix="0" xfId="0"/>
    <xf numFmtId="0" fontId="0" fillId="13" borderId="164" applyAlignment="1" pivotButton="0" quotePrefix="0" xfId="1">
      <alignment horizontal="center" vertical="center"/>
    </xf>
    <xf numFmtId="0" fontId="0" fillId="0" borderId="114" pivotButton="0" quotePrefix="0" xfId="0"/>
    <xf numFmtId="0" fontId="0" fillId="0" borderId="29" applyAlignment="1" pivotButton="0" quotePrefix="0" xfId="1">
      <alignment horizontal="center" vertical="center"/>
    </xf>
    <xf numFmtId="0" fontId="0" fillId="0" borderId="76" pivotButton="0" quotePrefix="0" xfId="0"/>
    <xf numFmtId="0" fontId="0" fillId="0" borderId="93" pivotButton="0" quotePrefix="0" xfId="0"/>
    <xf numFmtId="0" fontId="0" fillId="0" borderId="19" pivotButton="0" quotePrefix="0" xfId="0"/>
    <xf numFmtId="0" fontId="0" fillId="0" borderId="41" pivotButton="0" quotePrefix="0" xfId="0"/>
    <xf numFmtId="0" fontId="0" fillId="13" borderId="160" applyAlignment="1" pivotButton="0" quotePrefix="0" xfId="1">
      <alignment horizontal="center" vertical="center"/>
    </xf>
    <xf numFmtId="0" fontId="0" fillId="0" borderId="20" pivotButton="0" quotePrefix="0" xfId="0"/>
    <xf numFmtId="2" fontId="2" fillId="8" borderId="161" applyAlignment="1" pivotButton="0" quotePrefix="0" xfId="0">
      <alignment horizontal="center" vertical="center"/>
    </xf>
    <xf numFmtId="0" fontId="0" fillId="0" borderId="108" pivotButton="0" quotePrefix="0" xfId="0"/>
    <xf numFmtId="0" fontId="2" fillId="4" borderId="47" applyAlignment="1" pivotButton="0" quotePrefix="0" xfId="0">
      <alignment horizontal="center" vertical="center" wrapText="1"/>
    </xf>
    <xf numFmtId="0" fontId="2" fillId="24" borderId="174" applyAlignment="1" pivotButton="0" quotePrefix="0" xfId="0">
      <alignment horizontal="center" vertical="center" wrapText="1"/>
    </xf>
    <xf numFmtId="0" fontId="2" fillId="25" borderId="17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79" pivotButton="0" quotePrefix="0" xfId="0"/>
    <xf numFmtId="0" fontId="0" fillId="0" borderId="43" pivotButton="0" quotePrefix="0" xfId="0"/>
    <xf numFmtId="0" fontId="0" fillId="0" borderId="88" pivotButton="0" quotePrefix="0" xfId="0"/>
    <xf numFmtId="0" fontId="0" fillId="0" borderId="185" pivotButton="0" quotePrefix="0" xfId="0"/>
    <xf numFmtId="2" fontId="19" fillId="0" borderId="181" applyAlignment="1" pivotButton="0" quotePrefix="0" xfId="0">
      <alignment horizontal="center" vertical="center" wrapText="1"/>
    </xf>
    <xf numFmtId="0" fontId="0" fillId="0" borderId="122" pivotButton="0" quotePrefix="0" xfId="0"/>
    <xf numFmtId="2" fontId="19" fillId="0" borderId="170" applyAlignment="1" pivotButton="0" quotePrefix="0" xfId="0">
      <alignment horizontal="center" vertical="center" wrapText="1"/>
    </xf>
    <xf numFmtId="2" fontId="19" fillId="0" borderId="170" applyAlignment="1" pivotButton="0" quotePrefix="0" xfId="0">
      <alignment horizontal="center" vertical="center"/>
    </xf>
    <xf numFmtId="0" fontId="0" fillId="0" borderId="71" pivotButton="0" quotePrefix="0" xfId="0"/>
    <xf numFmtId="0" fontId="0" fillId="13" borderId="184" applyAlignment="1" pivotButton="0" quotePrefix="0" xfId="1">
      <alignment horizontal="center" vertical="center"/>
    </xf>
    <xf numFmtId="2" fontId="2" fillId="8" borderId="182" applyAlignment="1" pivotButton="0" quotePrefix="0" xfId="0">
      <alignment horizontal="center" vertical="center"/>
    </xf>
    <xf numFmtId="0" fontId="0" fillId="0" borderId="111" pivotButton="0" quotePrefix="0" xfId="0"/>
    <xf numFmtId="2" fontId="2" fillId="8" borderId="183" applyAlignment="1" pivotButton="0" quotePrefix="0" xfId="0">
      <alignment horizontal="center" vertical="center"/>
    </xf>
    <xf numFmtId="0" fontId="0" fillId="0" borderId="110" pivotButton="0" quotePrefix="0" xfId="0"/>
    <xf numFmtId="0" fontId="18" fillId="34" borderId="29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center"/>
    </xf>
    <xf numFmtId="2" fontId="7" fillId="0" borderId="186" applyAlignment="1" pivotButton="0" quotePrefix="0" xfId="0">
      <alignment horizontal="center" vertical="center"/>
    </xf>
    <xf numFmtId="0" fontId="2" fillId="4" borderId="187" applyAlignment="1" pivotButton="0" quotePrefix="0" xfId="0">
      <alignment horizontal="center" vertical="center"/>
    </xf>
    <xf numFmtId="0" fontId="0" fillId="0" borderId="154" pivotButton="0" quotePrefix="0" xfId="0"/>
    <xf numFmtId="0" fontId="0" fillId="0" borderId="155" pivotButton="0" quotePrefix="0" xfId="0"/>
    <xf numFmtId="0" fontId="0" fillId="0" borderId="151" pivotButton="0" quotePrefix="0" xfId="0"/>
    <xf numFmtId="0" fontId="0" fillId="0" borderId="152" pivotButton="0" quotePrefix="0" xfId="0"/>
    <xf numFmtId="0" fontId="8" fillId="10" borderId="22" applyAlignment="1" pivotButton="0" quotePrefix="0" xfId="0">
      <alignment horizontal="center" vertical="center" textRotation="90"/>
    </xf>
    <xf numFmtId="0" fontId="2" fillId="20" borderId="3" applyAlignment="1" pivotButton="0" quotePrefix="0" xfId="0">
      <alignment horizontal="center" vertical="center"/>
    </xf>
    <xf numFmtId="0" fontId="5" fillId="7" borderId="188" applyAlignment="1" pivotButton="0" quotePrefix="0" xfId="0">
      <alignment horizontal="center" vertical="center"/>
    </xf>
    <xf numFmtId="0" fontId="0" fillId="0" borderId="128" pivotButton="0" quotePrefix="0" xfId="0"/>
    <xf numFmtId="2" fontId="7" fillId="0" borderId="177" applyAlignment="1" pivotButton="0" quotePrefix="0" xfId="0">
      <alignment horizontal="center" vertical="center" wrapText="1"/>
    </xf>
    <xf numFmtId="2" fontId="2" fillId="14" borderId="170" applyAlignment="1" pivotButton="0" quotePrefix="0" xfId="1">
      <alignment horizontal="center" vertical="center"/>
    </xf>
    <xf numFmtId="0" fontId="2" fillId="0" borderId="181" applyAlignment="1" pivotButton="0" quotePrefix="0" xfId="0">
      <alignment horizontal="center" vertical="center"/>
    </xf>
    <xf numFmtId="0" fontId="2" fillId="3" borderId="174" applyAlignment="1" pivotButton="0" quotePrefix="0" xfId="0">
      <alignment horizontal="center" vertical="center" wrapText="1"/>
    </xf>
    <xf numFmtId="0" fontId="2" fillId="6" borderId="175" applyAlignment="1" pivotButton="0" quotePrefix="0" xfId="0">
      <alignment horizontal="center" vertical="center" wrapText="1"/>
    </xf>
    <xf numFmtId="0" fontId="2" fillId="0" borderId="189" applyAlignment="1" pivotButton="0" quotePrefix="0" xfId="0">
      <alignment horizontal="center" vertical="center"/>
    </xf>
    <xf numFmtId="0" fontId="0" fillId="0" borderId="132" pivotButton="0" quotePrefix="0" xfId="0"/>
    <xf numFmtId="0" fontId="0" fillId="0" borderId="126" pivotButton="0" quotePrefix="0" xfId="0"/>
    <xf numFmtId="0" fontId="5" fillId="7" borderId="190" applyAlignment="1" pivotButton="0" quotePrefix="0" xfId="0">
      <alignment horizontal="center" vertical="center"/>
    </xf>
    <xf numFmtId="0" fontId="5" fillId="7" borderId="189" applyAlignment="1" pivotButton="0" quotePrefix="0" xfId="0">
      <alignment horizontal="center" vertical="center"/>
    </xf>
    <xf numFmtId="2" fontId="0" fillId="0" borderId="191" applyAlignment="1" pivotButton="0" quotePrefix="0" xfId="0">
      <alignment horizontal="center" vertical="center"/>
    </xf>
    <xf numFmtId="0" fontId="0" fillId="0" borderId="40" pivotButton="0" quotePrefix="0" xfId="0"/>
  </cellXfs>
  <cellStyles count="2">
    <cellStyle name="Normal" xfId="0" builtinId="0"/>
    <cellStyle name="20% - Accent3" xfId="1" builtinId="38"/>
  </cellStyles>
  <dxfs count="942"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numFmt numFmtId="2" formatCode="0.00"/>
      <fill>
        <patternFill patternType="solid">
          <bgColor rgb="FFFF0000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941"/>
      <tableStyleElement type="headerRow" dxfId="940"/>
      <tableStyleElement type="totalRow" dxfId="939"/>
      <tableStyleElement type="firstColumn" dxfId="938"/>
      <tableStyleElement type="lastColumn" dxfId="937"/>
      <tableStyleElement type="firstRowStripe" dxfId="936"/>
      <tableStyleElement type="firstColumnStripe" dxfId="935"/>
    </tableStyle>
    <tableStyle name="PivotStylePreset2_Accent1" table="0" count="10">
      <tableStyleElement type="headerRow" dxfId="934"/>
      <tableStyleElement type="totalRow" dxfId="933"/>
      <tableStyleElement type="firstRowStripe" dxfId="932"/>
      <tableStyleElement type="firstColumnStripe" dxfId="931"/>
      <tableStyleElement type="firstSubtotalRow" dxfId="930"/>
      <tableStyleElement type="secondSubtotalRow" dxfId="929"/>
      <tableStyleElement type="firstRowSubheading" dxfId="928"/>
      <tableStyleElement type="secondRowSubheading" dxfId="927"/>
      <tableStyleElement type="pageFieldLabels" dxfId="926"/>
      <tableStyleElement type="pageFieldValues" dxfId="92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N60"/>
  <sheetViews>
    <sheetView topLeftCell="K1" workbookViewId="0">
      <selection activeCell="L11" sqref="L11"/>
    </sheetView>
  </sheetViews>
  <sheetFormatPr baseColWidth="8" defaultRowHeight="13.5"/>
  <cols>
    <col width="13.75" customWidth="1" style="590" min="1" max="1"/>
    <col width="21.75" customWidth="1" style="590" min="2" max="2"/>
  </cols>
  <sheetData>
    <row r="1" ht="25.5" customHeight="1" s="590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386" t="inlineStr">
        <is>
          <t>Assessment of GA's</t>
        </is>
      </c>
      <c r="HO1" s="591" t="n"/>
      <c r="HP1" s="592" t="inlineStr">
        <is>
          <t>Attainment of GAs</t>
        </is>
      </c>
      <c r="HQ1" s="336" t="inlineStr">
        <is>
          <t>Attainment of Graduate Attribute</t>
        </is>
      </c>
    </row>
    <row r="2" ht="24" customHeight="1" s="590">
      <c r="A2" s="341" t="n"/>
      <c r="B2" s="593" t="inlineStr">
        <is>
          <t>Student Name</t>
        </is>
      </c>
      <c r="C2" s="594" t="inlineStr">
        <is>
          <t>Semester 1</t>
        </is>
      </c>
      <c r="D2" s="595" t="n"/>
      <c r="E2" s="595" t="n"/>
      <c r="F2" s="595" t="n"/>
      <c r="G2" s="595" t="n"/>
      <c r="H2" s="595" t="n"/>
      <c r="I2" s="595" t="n"/>
      <c r="J2" s="595" t="n"/>
      <c r="K2" s="595" t="n"/>
      <c r="L2" s="595" t="n"/>
      <c r="M2" s="595" t="n"/>
      <c r="N2" s="595" t="n"/>
      <c r="O2" s="595" t="n"/>
      <c r="P2" s="595" t="n"/>
      <c r="Q2" s="595" t="n"/>
      <c r="R2" s="595" t="n"/>
      <c r="S2" s="595" t="n"/>
      <c r="T2" s="595" t="n"/>
      <c r="U2" s="595" t="n"/>
      <c r="V2" s="595" t="n"/>
      <c r="W2" s="595" t="n"/>
      <c r="X2" s="595" t="n"/>
      <c r="Y2" s="595" t="n"/>
      <c r="Z2" s="596" t="n"/>
      <c r="AA2" s="597" t="inlineStr">
        <is>
          <t>Semester 2</t>
        </is>
      </c>
      <c r="AB2" s="598" t="n"/>
      <c r="AC2" s="598" t="n"/>
      <c r="AD2" s="598" t="n"/>
      <c r="AE2" s="598" t="n"/>
      <c r="AF2" s="598" t="n"/>
      <c r="AG2" s="598" t="n"/>
      <c r="AH2" s="598" t="n"/>
      <c r="AI2" s="598" t="n"/>
      <c r="AJ2" s="598" t="n"/>
      <c r="AK2" s="598" t="n"/>
      <c r="AL2" s="598" t="n"/>
      <c r="AM2" s="598" t="n"/>
      <c r="AN2" s="598" t="n"/>
      <c r="AO2" s="598" t="n"/>
      <c r="AP2" s="598" t="n"/>
      <c r="AQ2" s="598" t="n"/>
      <c r="AR2" s="598" t="n"/>
      <c r="AS2" s="598" t="n"/>
      <c r="AT2" s="598" t="n"/>
      <c r="AU2" s="598" t="n"/>
      <c r="AV2" s="598" t="n"/>
      <c r="AW2" s="598" t="n"/>
      <c r="AX2" s="598" t="n"/>
      <c r="AY2" s="599" t="n"/>
      <c r="AZ2" s="427" t="inlineStr">
        <is>
          <t>Semester 3</t>
        </is>
      </c>
      <c r="BA2" s="600" t="n"/>
      <c r="BB2" s="600" t="n"/>
      <c r="BC2" s="600" t="n"/>
      <c r="BD2" s="600" t="n"/>
      <c r="BE2" s="600" t="n"/>
      <c r="BF2" s="600" t="n"/>
      <c r="BG2" s="600" t="n"/>
      <c r="BH2" s="600" t="n"/>
      <c r="BI2" s="600" t="n"/>
      <c r="BJ2" s="600" t="n"/>
      <c r="BK2" s="600" t="n"/>
      <c r="BL2" s="600" t="n"/>
      <c r="BM2" s="600" t="n"/>
      <c r="BN2" s="600" t="n"/>
      <c r="BO2" s="600" t="n"/>
      <c r="BP2" s="600" t="n"/>
      <c r="BQ2" s="600" t="n"/>
      <c r="BR2" s="600" t="n"/>
      <c r="BS2" s="600" t="n"/>
      <c r="BT2" s="600" t="n"/>
      <c r="BU2" s="600" t="n"/>
      <c r="BV2" s="601" t="n"/>
      <c r="BW2" s="602" t="inlineStr">
        <is>
          <t>Semester 4</t>
        </is>
      </c>
      <c r="BX2" s="603" t="n"/>
      <c r="BY2" s="603" t="n"/>
      <c r="BZ2" s="603" t="n"/>
      <c r="CA2" s="603" t="n"/>
      <c r="CB2" s="603" t="n"/>
      <c r="CC2" s="603" t="n"/>
      <c r="CD2" s="603" t="n"/>
      <c r="CE2" s="603" t="n"/>
      <c r="CF2" s="603" t="n"/>
      <c r="CG2" s="603" t="n"/>
      <c r="CH2" s="603" t="n"/>
      <c r="CI2" s="603" t="n"/>
      <c r="CJ2" s="603" t="n"/>
      <c r="CK2" s="603" t="n"/>
      <c r="CL2" s="603" t="n"/>
      <c r="CM2" s="603" t="n"/>
      <c r="CN2" s="603" t="n"/>
      <c r="CO2" s="603" t="n"/>
      <c r="CP2" s="603" t="n"/>
      <c r="CQ2" s="604" t="n"/>
      <c r="CR2" s="387" t="inlineStr">
        <is>
          <t>Semester 5</t>
        </is>
      </c>
      <c r="EA2" s="388" t="inlineStr">
        <is>
          <t>Semester 6</t>
        </is>
      </c>
      <c r="EX2" s="388" t="n"/>
      <c r="EY2" s="388" t="n"/>
      <c r="EZ2" s="388" t="n"/>
      <c r="FA2" s="388" t="n"/>
      <c r="FB2" s="388" t="n"/>
      <c r="FC2" s="388" t="n"/>
      <c r="FD2" s="389" t="inlineStr">
        <is>
          <t>Semester 7</t>
        </is>
      </c>
      <c r="FE2" s="605" t="n"/>
      <c r="FF2" s="605" t="n"/>
      <c r="FG2" s="605" t="n"/>
      <c r="FH2" s="605" t="n"/>
      <c r="FI2" s="605" t="n"/>
      <c r="FJ2" s="605" t="n"/>
      <c r="FK2" s="605" t="n"/>
      <c r="FL2" s="605" t="n"/>
      <c r="FM2" s="605" t="n"/>
      <c r="FN2" s="605" t="n"/>
      <c r="FO2" s="605" t="n"/>
      <c r="FP2" s="605" t="n"/>
      <c r="FQ2" s="605" t="n"/>
      <c r="FR2" s="605" t="n"/>
      <c r="FS2" s="605" t="n"/>
      <c r="FT2" s="605" t="n"/>
      <c r="FU2" s="605" t="n"/>
      <c r="FV2" s="605" t="n"/>
      <c r="FW2" s="605" t="n"/>
      <c r="FX2" s="605" t="n"/>
      <c r="FY2" s="605" t="n"/>
      <c r="FZ2" s="605" t="n"/>
      <c r="GA2" s="605" t="n"/>
      <c r="GB2" s="3" t="n"/>
      <c r="GC2" s="3" t="n"/>
      <c r="GD2" s="3" t="n"/>
      <c r="GE2" s="3" t="n"/>
      <c r="GF2" s="3" t="n"/>
      <c r="GG2" s="3" t="n"/>
      <c r="GH2" s="3" t="n"/>
      <c r="GI2" s="3" t="n"/>
      <c r="GJ2" s="390" t="inlineStr">
        <is>
          <t>Semester - 8</t>
        </is>
      </c>
      <c r="HP2" s="606" t="n"/>
      <c r="HQ2" s="607" t="n"/>
      <c r="HR2" s="607" t="n"/>
      <c r="HS2" s="607" t="n"/>
      <c r="HT2" s="607" t="n"/>
      <c r="HU2" s="607" t="n"/>
      <c r="HV2" s="607" t="n"/>
      <c r="HW2" s="607" t="n"/>
      <c r="HX2" s="607" t="n"/>
      <c r="HY2" s="607" t="n"/>
      <c r="HZ2" s="607" t="n"/>
    </row>
    <row r="3" ht="24" customHeight="1" s="590">
      <c r="A3" s="342" t="n"/>
      <c r="B3" s="608" t="n"/>
      <c r="C3" s="431" t="inlineStr">
        <is>
          <t>Application of information &amp; Communication Technologies</t>
        </is>
      </c>
      <c r="D3" s="609" t="n"/>
      <c r="E3" s="609" t="n"/>
      <c r="F3" s="609" t="n"/>
      <c r="G3" s="609" t="n"/>
      <c r="H3" s="433" t="inlineStr">
        <is>
          <t>Applied Physics</t>
        </is>
      </c>
      <c r="I3" s="609" t="n"/>
      <c r="J3" s="609" t="n"/>
      <c r="K3" s="609" t="n"/>
      <c r="L3" s="610" t="inlineStr">
        <is>
          <t>Programming Fundamentals</t>
        </is>
      </c>
      <c r="M3" s="609" t="n"/>
      <c r="N3" s="609" t="n"/>
      <c r="O3" s="609" t="n"/>
      <c r="P3" s="611" t="n"/>
      <c r="Q3" s="612" t="inlineStr">
        <is>
          <t>Calculus and Analytic Geometry</t>
        </is>
      </c>
      <c r="R3" s="609" t="n"/>
      <c r="S3" s="609" t="n"/>
      <c r="T3" s="611" t="n"/>
      <c r="U3" s="441" t="inlineStr">
        <is>
          <t>Functional English</t>
        </is>
      </c>
      <c r="V3" s="609" t="n"/>
      <c r="W3" s="609" t="n"/>
      <c r="X3" s="609" t="n"/>
      <c r="Y3" s="613" t="n"/>
      <c r="Z3" s="599" t="n"/>
      <c r="AA3" s="446" t="inlineStr">
        <is>
          <t>Expository Writing</t>
        </is>
      </c>
      <c r="AB3" s="614" t="n"/>
      <c r="AC3" s="447" t="inlineStr">
        <is>
          <t>Object Oriented Programming</t>
        </is>
      </c>
      <c r="AD3" s="607" t="n"/>
      <c r="AE3" s="607" t="n"/>
      <c r="AF3" s="607" t="n"/>
      <c r="AG3" s="607" t="n"/>
      <c r="AH3" s="607" t="n"/>
      <c r="AI3" s="615" t="inlineStr">
        <is>
          <t>Discreate Structures</t>
        </is>
      </c>
      <c r="AJ3" s="607" t="n"/>
      <c r="AK3" s="614" t="n"/>
      <c r="AL3" s="465" t="inlineStr">
        <is>
          <t xml:space="preserve">Ideology and Constitution of Pakistan </t>
        </is>
      </c>
      <c r="AM3" s="607" t="n"/>
      <c r="AN3" s="607" t="n"/>
      <c r="AO3" s="607" t="n"/>
      <c r="AP3" s="607" t="n"/>
      <c r="AQ3" s="616" t="inlineStr">
        <is>
          <t>Digital Logic Design</t>
        </is>
      </c>
      <c r="AR3" s="607" t="n"/>
      <c r="AS3" s="607" t="n"/>
      <c r="AT3" s="607" t="n"/>
      <c r="AU3" s="614" t="n"/>
      <c r="AV3" s="617" t="inlineStr">
        <is>
          <t>Multi Variable Calculus</t>
        </is>
      </c>
      <c r="AW3" s="607" t="n"/>
      <c r="AX3" s="607" t="n"/>
      <c r="AY3" s="614" t="n"/>
      <c r="AZ3" s="618" t="inlineStr">
        <is>
          <t>Data Structures</t>
        </is>
      </c>
      <c r="BA3" s="609" t="n"/>
      <c r="BB3" s="611" t="n"/>
      <c r="BC3" s="619" t="inlineStr">
        <is>
          <t>Computer Organization &amp; Assembly Language</t>
        </is>
      </c>
      <c r="BD3" s="609" t="n"/>
      <c r="BE3" s="611" t="n"/>
      <c r="BF3" s="620" t="inlineStr">
        <is>
          <t>Introduction to Artificial Intelligence</t>
        </is>
      </c>
      <c r="BG3" s="609" t="n"/>
      <c r="BH3" s="611" t="n"/>
      <c r="BI3" s="621" t="inlineStr">
        <is>
          <t>Computer Network</t>
        </is>
      </c>
      <c r="BJ3" s="609" t="n"/>
      <c r="BK3" s="609" t="n"/>
      <c r="BL3" s="609" t="n"/>
      <c r="BM3" s="609" t="n"/>
      <c r="BN3" s="609" t="n"/>
      <c r="BO3" s="611" t="n"/>
      <c r="BP3" s="451" t="inlineStr">
        <is>
          <t>Probability &amp; Statistics</t>
        </is>
      </c>
      <c r="BQ3" s="609" t="n"/>
      <c r="BR3" s="609" t="n"/>
      <c r="BS3" s="609" t="n"/>
      <c r="BT3" s="609" t="n"/>
      <c r="BU3" s="609" t="n"/>
      <c r="BV3" s="609" t="n"/>
      <c r="BW3" s="622" t="inlineStr">
        <is>
          <t>Design Analysis of Algorithms</t>
        </is>
      </c>
      <c r="BX3" s="623" t="n"/>
      <c r="BY3" s="623" t="n"/>
      <c r="BZ3" s="623" t="n"/>
      <c r="CA3" s="623" t="n"/>
      <c r="CB3" s="624" t="n"/>
      <c r="CC3" s="625" t="inlineStr">
        <is>
          <t>Data Structures and Algorithms</t>
        </is>
      </c>
      <c r="CD3" s="623" t="n"/>
      <c r="CE3" s="623" t="n"/>
      <c r="CF3" s="624" t="n"/>
      <c r="CG3" s="460" t="inlineStr">
        <is>
          <t>Applied Statistics</t>
        </is>
      </c>
      <c r="CH3" s="623" t="n"/>
      <c r="CI3" s="623" t="n"/>
      <c r="CJ3" s="623" t="n"/>
      <c r="CK3" s="623" t="n"/>
      <c r="CL3" s="626" t="inlineStr">
        <is>
          <t xml:space="preserve">Software Engineering </t>
        </is>
      </c>
      <c r="CM3" s="623" t="n"/>
      <c r="CN3" s="624" t="n"/>
      <c r="CO3" s="627" t="inlineStr">
        <is>
          <t>World History</t>
        </is>
      </c>
      <c r="CP3" s="623" t="n"/>
      <c r="CQ3" s="624" t="n"/>
      <c r="CR3" s="628" t="inlineStr">
        <is>
          <t>Artificial Intelligence</t>
        </is>
      </c>
      <c r="CS3" s="598" t="n"/>
      <c r="CT3" s="598" t="n"/>
      <c r="CU3" s="598" t="n"/>
      <c r="CV3" s="629" t="n"/>
      <c r="CW3" s="630" t="inlineStr">
        <is>
          <t>Data Communication &amp; Computer Networks</t>
        </is>
      </c>
      <c r="CX3" s="598" t="n"/>
      <c r="CY3" s="598" t="n"/>
      <c r="CZ3" s="598" t="n"/>
      <c r="DA3" s="599" t="n"/>
      <c r="DB3" s="326" t="inlineStr">
        <is>
          <t>Continuous Discreate Optimization</t>
        </is>
      </c>
      <c r="DC3" s="598" t="n"/>
      <c r="DD3" s="598" t="n"/>
      <c r="DE3" s="598" t="n"/>
      <c r="DF3" s="631" t="n"/>
      <c r="DG3" s="632" t="inlineStr">
        <is>
          <t>Data Base Management Systems</t>
        </is>
      </c>
      <c r="DH3" s="598" t="n"/>
      <c r="DI3" s="598" t="n"/>
      <c r="DJ3" s="598" t="n"/>
      <c r="DK3" s="598" t="n"/>
      <c r="DL3" s="599" t="n"/>
      <c r="DM3" s="326" t="inlineStr">
        <is>
          <t>Introduction to Python Lab</t>
        </is>
      </c>
      <c r="DN3" s="598" t="n"/>
      <c r="DO3" s="598" t="n"/>
      <c r="DP3" s="598" t="n"/>
      <c r="DQ3" s="598" t="n"/>
      <c r="DR3" s="598" t="n"/>
      <c r="DS3" s="631" t="n"/>
      <c r="DT3" s="632" t="inlineStr">
        <is>
          <t>World Literature</t>
        </is>
      </c>
      <c r="DU3" s="598" t="n"/>
      <c r="DV3" s="598" t="n"/>
      <c r="DW3" s="598" t="n"/>
      <c r="DX3" s="598" t="n"/>
      <c r="DY3" s="598" t="n"/>
      <c r="DZ3" s="599" t="n"/>
      <c r="EA3" s="627" t="inlineStr">
        <is>
          <t>Machine Learning</t>
        </is>
      </c>
      <c r="EB3" s="623" t="n"/>
      <c r="EC3" s="623" t="n"/>
      <c r="ED3" s="623" t="n"/>
      <c r="EE3" s="624" t="n"/>
      <c r="EF3" s="633" t="inlineStr">
        <is>
          <t>Computer Vision</t>
        </is>
      </c>
      <c r="EG3" s="623" t="n"/>
      <c r="EH3" s="623" t="n"/>
      <c r="EI3" s="623" t="n"/>
      <c r="EJ3" s="623" t="n"/>
      <c r="EK3" s="624" t="n"/>
      <c r="EL3" s="634" t="inlineStr">
        <is>
          <t>Parallel and Distributed Computing</t>
        </is>
      </c>
      <c r="EM3" s="623" t="n"/>
      <c r="EN3" s="623" t="n"/>
      <c r="EO3" s="623" t="n"/>
      <c r="EP3" s="623" t="n"/>
      <c r="EQ3" s="624" t="n"/>
      <c r="ER3" s="635" t="inlineStr">
        <is>
          <t>Academic &amp; Professional Writing</t>
        </is>
      </c>
      <c r="ES3" s="623" t="n"/>
      <c r="ET3" s="624" t="n"/>
      <c r="EU3" s="397" t="inlineStr">
        <is>
          <t>Logical And Automated Reasoning</t>
        </is>
      </c>
      <c r="EV3" s="623" t="n"/>
      <c r="EW3" s="623" t="n"/>
      <c r="EX3" s="399" t="inlineStr">
        <is>
          <t>Data Visualization</t>
        </is>
      </c>
      <c r="EY3" s="623" t="n"/>
      <c r="EZ3" s="623" t="n"/>
      <c r="FA3" s="623" t="n"/>
      <c r="FB3" s="623" t="n"/>
      <c r="FC3" s="623" t="n"/>
      <c r="FD3" s="636" t="inlineStr">
        <is>
          <t>Artificial Intelligence</t>
        </is>
      </c>
      <c r="FE3" s="609" t="n"/>
      <c r="FF3" s="609" t="n"/>
      <c r="FG3" s="609" t="n"/>
      <c r="FH3" s="611" t="n"/>
      <c r="FI3" s="405" t="inlineStr">
        <is>
          <t>Philosophy and Critical Thinking</t>
        </is>
      </c>
      <c r="FJ3" s="611" t="n"/>
      <c r="FK3" s="637" t="inlineStr">
        <is>
          <t>Natural Language Processing</t>
        </is>
      </c>
      <c r="FL3" s="609" t="n"/>
      <c r="FM3" s="609" t="n"/>
      <c r="FN3" s="609" t="n"/>
      <c r="FO3" s="611" t="n"/>
      <c r="FP3" s="638" t="inlineStr">
        <is>
          <t>Final Year Project - I</t>
        </is>
      </c>
      <c r="FQ3" s="609" t="n"/>
      <c r="FR3" s="609" t="n"/>
      <c r="FS3" s="609" t="n"/>
      <c r="FT3" s="609" t="n"/>
      <c r="FU3" s="609" t="n"/>
      <c r="FV3" s="609" t="n"/>
      <c r="FW3" s="609" t="n"/>
      <c r="FX3" s="609" t="n"/>
      <c r="FY3" s="609" t="n"/>
      <c r="FZ3" s="609" t="n"/>
      <c r="GA3" s="611" t="n"/>
      <c r="GB3" s="639" t="inlineStr">
        <is>
          <t>Logical And Automated Reasoning</t>
        </is>
      </c>
      <c r="GC3" s="623" t="n"/>
      <c r="GD3" s="623" t="n"/>
      <c r="GE3" s="624" t="n"/>
      <c r="GF3" s="639" t="inlineStr">
        <is>
          <t>Philosophy and Critical Thinking</t>
        </is>
      </c>
      <c r="GG3" s="623" t="n"/>
      <c r="GH3" s="623" t="n"/>
      <c r="GI3" s="624" t="n"/>
      <c r="GJ3" s="640" t="inlineStr">
        <is>
          <t>Deep Learning</t>
        </is>
      </c>
      <c r="GK3" s="609" t="n"/>
      <c r="GL3" s="609" t="n"/>
      <c r="GM3" s="609" t="n"/>
      <c r="GN3" s="611" t="n"/>
      <c r="GO3" s="641" t="inlineStr">
        <is>
          <t>Artificial Intelligence for Robotics</t>
        </is>
      </c>
      <c r="GP3" s="609" t="n"/>
      <c r="GQ3" s="609" t="n"/>
      <c r="GR3" s="609" t="n"/>
      <c r="GS3" s="611" t="n"/>
      <c r="GT3" s="634" t="inlineStr">
        <is>
          <t>Sociology</t>
        </is>
      </c>
      <c r="GU3" s="623" t="n"/>
      <c r="GV3" s="624" t="n"/>
      <c r="GW3" s="642" t="inlineStr">
        <is>
          <t>Ethics and Social Responsibility</t>
        </is>
      </c>
      <c r="GX3" s="609" t="n"/>
      <c r="GY3" s="611" t="n"/>
      <c r="GZ3" s="639" t="inlineStr">
        <is>
          <t>Philosophy and Critical Thinking</t>
        </is>
      </c>
      <c r="HA3" s="623" t="n"/>
      <c r="HB3" s="623" t="n"/>
      <c r="HC3" s="624" t="n"/>
      <c r="HD3" s="643" t="inlineStr">
        <is>
          <t>Final Year Project - II</t>
        </is>
      </c>
      <c r="HE3" s="609" t="n"/>
      <c r="HF3" s="609" t="n"/>
      <c r="HG3" s="609" t="n"/>
      <c r="HH3" s="609" t="n"/>
      <c r="HI3" s="609" t="n"/>
      <c r="HJ3" s="609" t="n"/>
      <c r="HK3" s="609" t="n"/>
      <c r="HL3" s="609" t="n"/>
      <c r="HM3" s="609" t="n"/>
      <c r="HN3" s="609" t="n"/>
      <c r="HO3" s="611" t="n"/>
      <c r="HP3" s="606" t="n"/>
      <c r="HQ3" s="109" t="n"/>
      <c r="HR3" s="109" t="n"/>
      <c r="HS3" s="109" t="n"/>
      <c r="HT3" s="109" t="n"/>
      <c r="HU3" s="109" t="n"/>
      <c r="HV3" s="109" t="n"/>
      <c r="HW3" s="109" t="n"/>
      <c r="HX3" s="109" t="n"/>
      <c r="HY3" s="109" t="n"/>
      <c r="HZ3" s="109" t="n"/>
    </row>
    <row r="4" ht="24" customHeight="1" s="590">
      <c r="A4" s="342" t="n"/>
      <c r="B4" s="608" t="n"/>
      <c r="C4" s="110" t="inlineStr">
        <is>
          <t>CLO 1</t>
        </is>
      </c>
      <c r="D4" s="287" t="inlineStr">
        <is>
          <t>CLO 2</t>
        </is>
      </c>
      <c r="E4" s="112" t="inlineStr">
        <is>
          <t>CLO 3</t>
        </is>
      </c>
      <c r="F4" s="112" t="inlineStr">
        <is>
          <t>CLO 1</t>
        </is>
      </c>
      <c r="G4" s="113" t="inlineStr">
        <is>
          <t>CLO 2</t>
        </is>
      </c>
      <c r="H4" s="110" t="inlineStr">
        <is>
          <t>CLO 1</t>
        </is>
      </c>
      <c r="I4" s="112" t="inlineStr">
        <is>
          <t>CLO 2</t>
        </is>
      </c>
      <c r="J4" s="112" t="inlineStr">
        <is>
          <t>CLO 3</t>
        </is>
      </c>
      <c r="K4" s="110" t="inlineStr">
        <is>
          <t>CLO 1</t>
        </is>
      </c>
      <c r="L4" s="110" t="inlineStr">
        <is>
          <t>CLO 1</t>
        </is>
      </c>
      <c r="M4" s="111" t="inlineStr">
        <is>
          <t>CLO 2</t>
        </is>
      </c>
      <c r="N4" s="111" t="inlineStr">
        <is>
          <t>CLO 3</t>
        </is>
      </c>
      <c r="O4" s="111" t="inlineStr">
        <is>
          <t>CLO1</t>
        </is>
      </c>
      <c r="P4" s="113" t="inlineStr">
        <is>
          <t>CLO2</t>
        </is>
      </c>
      <c r="Q4" s="110" t="inlineStr">
        <is>
          <t>CLO 1</t>
        </is>
      </c>
      <c r="R4" s="111" t="inlineStr">
        <is>
          <t>CLO 2</t>
        </is>
      </c>
      <c r="S4" s="112" t="inlineStr">
        <is>
          <t>CLO 3</t>
        </is>
      </c>
      <c r="T4" s="113" t="inlineStr">
        <is>
          <t>CLO 3</t>
        </is>
      </c>
      <c r="U4" s="110" t="inlineStr">
        <is>
          <t>CLO 1</t>
        </is>
      </c>
      <c r="V4" s="111" t="inlineStr">
        <is>
          <t>CLO 2</t>
        </is>
      </c>
      <c r="W4" s="112" t="inlineStr">
        <is>
          <t>CLO 3</t>
        </is>
      </c>
      <c r="X4" s="113" t="inlineStr">
        <is>
          <t>CLO 4</t>
        </is>
      </c>
      <c r="Y4" s="644" t="n"/>
      <c r="Z4" s="645" t="n"/>
      <c r="AA4" s="110" t="inlineStr">
        <is>
          <t>CLO 1</t>
        </is>
      </c>
      <c r="AB4" s="113" t="inlineStr">
        <is>
          <t>CLO 2</t>
        </is>
      </c>
      <c r="AC4" s="111" t="inlineStr">
        <is>
          <t>CLO 1</t>
        </is>
      </c>
      <c r="AD4" s="111" t="inlineStr">
        <is>
          <t>CLO 2</t>
        </is>
      </c>
      <c r="AE4" s="111" t="inlineStr">
        <is>
          <t>CLO 3</t>
        </is>
      </c>
      <c r="AF4" s="111" t="inlineStr">
        <is>
          <t>CLO 4</t>
        </is>
      </c>
      <c r="AG4" s="112" t="inlineStr">
        <is>
          <t>CLO 1</t>
        </is>
      </c>
      <c r="AH4" s="112" t="inlineStr">
        <is>
          <t>CLO 2</t>
        </is>
      </c>
      <c r="AI4" s="110" t="inlineStr">
        <is>
          <t>CLO 1</t>
        </is>
      </c>
      <c r="AJ4" s="111" t="inlineStr">
        <is>
          <t>CLO 2</t>
        </is>
      </c>
      <c r="AK4" s="113" t="inlineStr">
        <is>
          <t>CLO 3</t>
        </is>
      </c>
      <c r="AL4" s="111" t="inlineStr">
        <is>
          <t>CLO 1</t>
        </is>
      </c>
      <c r="AM4" s="111" t="inlineStr">
        <is>
          <t>CLO 2</t>
        </is>
      </c>
      <c r="AN4" s="112" t="inlineStr">
        <is>
          <t>CLO 3</t>
        </is>
      </c>
      <c r="AO4" s="111" t="inlineStr">
        <is>
          <t>CLO4</t>
        </is>
      </c>
      <c r="AP4" s="112" t="inlineStr">
        <is>
          <t>CLO5</t>
        </is>
      </c>
      <c r="AQ4" s="110" t="inlineStr">
        <is>
          <t>CLO 1</t>
        </is>
      </c>
      <c r="AR4" s="111" t="inlineStr">
        <is>
          <t>CLO 2</t>
        </is>
      </c>
      <c r="AS4" s="111" t="inlineStr">
        <is>
          <t>CLO 3</t>
        </is>
      </c>
      <c r="AT4" s="111" t="inlineStr">
        <is>
          <t>CLO 5</t>
        </is>
      </c>
      <c r="AU4" s="113" t="inlineStr">
        <is>
          <t>CLO 4</t>
        </is>
      </c>
      <c r="AV4" s="110" t="inlineStr">
        <is>
          <t>CLO 1</t>
        </is>
      </c>
      <c r="AW4" s="111" t="inlineStr">
        <is>
          <t>CLO 2</t>
        </is>
      </c>
      <c r="AX4" s="111" t="inlineStr">
        <is>
          <t>CLO 3</t>
        </is>
      </c>
      <c r="AY4" s="113" t="inlineStr">
        <is>
          <t>CLO 4</t>
        </is>
      </c>
      <c r="AZ4" s="110" t="inlineStr">
        <is>
          <t>CLO 1</t>
        </is>
      </c>
      <c r="BA4" s="111" t="inlineStr">
        <is>
          <t>CLO 2</t>
        </is>
      </c>
      <c r="BB4" s="113" t="inlineStr">
        <is>
          <t>CLO 3</t>
        </is>
      </c>
      <c r="BC4" s="110" t="inlineStr">
        <is>
          <t>CLO 1</t>
        </is>
      </c>
      <c r="BD4" s="111" t="inlineStr">
        <is>
          <t>CLO 2</t>
        </is>
      </c>
      <c r="BE4" s="113" t="inlineStr">
        <is>
          <t>CLO 3</t>
        </is>
      </c>
      <c r="BF4" s="110" t="inlineStr">
        <is>
          <t>CLO 1</t>
        </is>
      </c>
      <c r="BG4" s="111" t="inlineStr">
        <is>
          <t>CLO 2</t>
        </is>
      </c>
      <c r="BH4" s="113" t="inlineStr">
        <is>
          <t>CLO 3</t>
        </is>
      </c>
      <c r="BI4" s="110" t="inlineStr">
        <is>
          <t>CLO 1</t>
        </is>
      </c>
      <c r="BJ4" s="111" t="inlineStr">
        <is>
          <t>CLO 2</t>
        </is>
      </c>
      <c r="BK4" s="111" t="inlineStr">
        <is>
          <t>CLO 3</t>
        </is>
      </c>
      <c r="BL4" s="111" t="inlineStr">
        <is>
          <t>CLO 4</t>
        </is>
      </c>
      <c r="BM4" s="111" t="inlineStr">
        <is>
          <t>CLO 5</t>
        </is>
      </c>
      <c r="BN4" s="111" t="inlineStr">
        <is>
          <t>CLO 6</t>
        </is>
      </c>
      <c r="BO4" s="113" t="inlineStr">
        <is>
          <t>CLO 7</t>
        </is>
      </c>
      <c r="BP4" s="110" t="inlineStr">
        <is>
          <t>CLO 1</t>
        </is>
      </c>
      <c r="BQ4" s="111" t="inlineStr">
        <is>
          <t>CLO 2</t>
        </is>
      </c>
      <c r="BR4" s="110" t="inlineStr">
        <is>
          <t>CLO 3</t>
        </is>
      </c>
      <c r="BS4" s="111" t="inlineStr">
        <is>
          <t>CLO 4</t>
        </is>
      </c>
      <c r="BT4" s="111" t="inlineStr">
        <is>
          <t>CLO 5</t>
        </is>
      </c>
      <c r="BU4" s="111" t="inlineStr">
        <is>
          <t>CLO 1</t>
        </is>
      </c>
      <c r="BV4" s="7" t="inlineStr">
        <is>
          <t>CLO 2</t>
        </is>
      </c>
      <c r="BW4" s="132" t="inlineStr">
        <is>
          <t>CLO 1</t>
        </is>
      </c>
      <c r="BX4" s="110" t="inlineStr">
        <is>
          <t>CLO 2</t>
        </is>
      </c>
      <c r="BY4" s="110" t="inlineStr">
        <is>
          <t>CLO 3</t>
        </is>
      </c>
      <c r="BZ4" s="110" t="inlineStr">
        <is>
          <t>CLO 4</t>
        </is>
      </c>
      <c r="CA4" s="110" t="inlineStr">
        <is>
          <t>CLO 5</t>
        </is>
      </c>
      <c r="CB4" s="6" t="inlineStr">
        <is>
          <t>CLO 6</t>
        </is>
      </c>
      <c r="CC4" s="5" t="inlineStr">
        <is>
          <t>CLO 1</t>
        </is>
      </c>
      <c r="CD4" s="6" t="inlineStr">
        <is>
          <t>CLO 2</t>
        </is>
      </c>
      <c r="CE4" s="6" t="inlineStr">
        <is>
          <t>CLO 3</t>
        </is>
      </c>
      <c r="CF4" s="6" t="inlineStr">
        <is>
          <t>CLO 4</t>
        </is>
      </c>
      <c r="CG4" s="5" t="inlineStr">
        <is>
          <t>CLO 1</t>
        </is>
      </c>
      <c r="CH4" s="6" t="inlineStr">
        <is>
          <t>CLO 2</t>
        </is>
      </c>
      <c r="CI4" s="6" t="inlineStr">
        <is>
          <t>CLO 3</t>
        </is>
      </c>
      <c r="CJ4" s="6" t="inlineStr">
        <is>
          <t>CLO 1</t>
        </is>
      </c>
      <c r="CK4" s="7" t="inlineStr">
        <is>
          <t>CLO 2</t>
        </is>
      </c>
      <c r="CL4" s="5" t="inlineStr">
        <is>
          <t>CLO 1</t>
        </is>
      </c>
      <c r="CM4" s="6" t="inlineStr">
        <is>
          <t>CLO 2</t>
        </is>
      </c>
      <c r="CN4" s="6" t="inlineStr">
        <is>
          <t>CLO 3</t>
        </is>
      </c>
      <c r="CO4" s="5" t="inlineStr">
        <is>
          <t>CLO 1</t>
        </is>
      </c>
      <c r="CP4" s="6" t="inlineStr">
        <is>
          <t>CLO 2</t>
        </is>
      </c>
      <c r="CQ4" s="6" t="inlineStr">
        <is>
          <t>CLO 3</t>
        </is>
      </c>
      <c r="CR4" s="151" t="inlineStr">
        <is>
          <t>CLO1</t>
        </is>
      </c>
      <c r="CS4" s="152" t="inlineStr">
        <is>
          <t>CLO2</t>
        </is>
      </c>
      <c r="CT4" s="153" t="inlineStr">
        <is>
          <t>CLO 3</t>
        </is>
      </c>
      <c r="CU4" s="153" t="inlineStr">
        <is>
          <t>CLO 1</t>
        </is>
      </c>
      <c r="CV4" s="156" t="inlineStr">
        <is>
          <t>CLO 2</t>
        </is>
      </c>
      <c r="CW4" s="157" t="inlineStr">
        <is>
          <t>CLO 1</t>
        </is>
      </c>
      <c r="CX4" s="158" t="inlineStr">
        <is>
          <t>CLO 2</t>
        </is>
      </c>
      <c r="CY4" s="158" t="inlineStr">
        <is>
          <t>CLO 3</t>
        </is>
      </c>
      <c r="CZ4" s="158" t="inlineStr">
        <is>
          <t>CLO 1</t>
        </is>
      </c>
      <c r="DA4" s="159" t="inlineStr">
        <is>
          <t>CLO 2</t>
        </is>
      </c>
      <c r="DB4" s="151" t="inlineStr">
        <is>
          <t>CLO1</t>
        </is>
      </c>
      <c r="DC4" s="160" t="inlineStr">
        <is>
          <t>CLO2</t>
        </is>
      </c>
      <c r="DD4" s="160" t="inlineStr">
        <is>
          <t>CLO3</t>
        </is>
      </c>
      <c r="DE4" s="160" t="inlineStr">
        <is>
          <t>CLO1</t>
        </is>
      </c>
      <c r="DF4" s="160" t="inlineStr">
        <is>
          <t>CLO2</t>
        </is>
      </c>
      <c r="DG4" s="164" t="inlineStr">
        <is>
          <t>CLO1</t>
        </is>
      </c>
      <c r="DH4" s="164" t="inlineStr">
        <is>
          <t>CLO2</t>
        </is>
      </c>
      <c r="DI4" s="164" t="inlineStr">
        <is>
          <t>CLO3</t>
        </is>
      </c>
      <c r="DJ4" s="164" t="inlineStr">
        <is>
          <t>CLO4</t>
        </is>
      </c>
      <c r="DK4" s="165" t="inlineStr">
        <is>
          <t>CLO1</t>
        </is>
      </c>
      <c r="DL4" s="165" t="inlineStr">
        <is>
          <t>CLO2</t>
        </is>
      </c>
      <c r="DM4" s="160" t="inlineStr">
        <is>
          <t>CLO1</t>
        </is>
      </c>
      <c r="DN4" s="160" t="inlineStr">
        <is>
          <t>CLO2</t>
        </is>
      </c>
      <c r="DO4" s="160" t="inlineStr">
        <is>
          <t>CLO3</t>
        </is>
      </c>
      <c r="DP4" s="160" t="inlineStr">
        <is>
          <t>CLO4</t>
        </is>
      </c>
      <c r="DQ4" s="160" t="inlineStr">
        <is>
          <t>CLO5</t>
        </is>
      </c>
      <c r="DR4" s="160" t="inlineStr">
        <is>
          <t>CLO6</t>
        </is>
      </c>
      <c r="DS4" s="160" t="inlineStr">
        <is>
          <t>CLO7</t>
        </is>
      </c>
      <c r="DT4" s="164" t="inlineStr">
        <is>
          <t>CLO1</t>
        </is>
      </c>
      <c r="DU4" s="164" t="inlineStr">
        <is>
          <t>CLO2</t>
        </is>
      </c>
      <c r="DV4" s="164" t="inlineStr">
        <is>
          <t>CLO3</t>
        </is>
      </c>
      <c r="DW4" s="164" t="inlineStr">
        <is>
          <t>CLO4</t>
        </is>
      </c>
      <c r="DX4" s="164" t="inlineStr">
        <is>
          <t>CLO5</t>
        </is>
      </c>
      <c r="DY4" s="165" t="inlineStr">
        <is>
          <t>CLO6</t>
        </is>
      </c>
      <c r="DZ4" s="165" t="inlineStr">
        <is>
          <t>CLO7</t>
        </is>
      </c>
      <c r="EA4" s="138" t="inlineStr">
        <is>
          <t>CLO1</t>
        </is>
      </c>
      <c r="EB4" s="138" t="inlineStr">
        <is>
          <t>CLO2</t>
        </is>
      </c>
      <c r="EC4" s="138" t="inlineStr">
        <is>
          <t>CLO3</t>
        </is>
      </c>
      <c r="ED4" s="138" t="inlineStr">
        <is>
          <t>CLO1</t>
        </is>
      </c>
      <c r="EE4" s="138" t="inlineStr">
        <is>
          <t>CLO2</t>
        </is>
      </c>
      <c r="EF4" s="132" t="inlineStr">
        <is>
          <t>CLO1</t>
        </is>
      </c>
      <c r="EG4" s="132" t="inlineStr">
        <is>
          <t>CLO2</t>
        </is>
      </c>
      <c r="EH4" s="132" t="inlineStr">
        <is>
          <t>CLO3</t>
        </is>
      </c>
      <c r="EI4" s="132" t="inlineStr">
        <is>
          <t>CLO4</t>
        </is>
      </c>
      <c r="EJ4" s="132" t="inlineStr">
        <is>
          <t>CLO5</t>
        </is>
      </c>
      <c r="EK4" s="132" t="inlineStr">
        <is>
          <t>CLO6</t>
        </is>
      </c>
      <c r="EL4" s="40" t="inlineStr">
        <is>
          <t>CLO1</t>
        </is>
      </c>
      <c r="EM4" s="40" t="inlineStr">
        <is>
          <t>CLO 2</t>
        </is>
      </c>
      <c r="EN4" s="40" t="inlineStr">
        <is>
          <t>CLO 3</t>
        </is>
      </c>
      <c r="EO4" s="40" t="inlineStr">
        <is>
          <t>CLO 4</t>
        </is>
      </c>
      <c r="EP4" s="40" t="n"/>
      <c r="EQ4" s="40" t="inlineStr">
        <is>
          <t>CLO3</t>
        </is>
      </c>
      <c r="ER4" s="37" t="inlineStr">
        <is>
          <t>CLO1</t>
        </is>
      </c>
      <c r="ES4" s="37" t="inlineStr">
        <is>
          <t>CLO2</t>
        </is>
      </c>
      <c r="ET4" s="37" t="inlineStr">
        <is>
          <t>CLO7</t>
        </is>
      </c>
      <c r="EU4" s="132" t="inlineStr">
        <is>
          <t>CLO1</t>
        </is>
      </c>
      <c r="EV4" s="132" t="inlineStr">
        <is>
          <t>CLO2</t>
        </is>
      </c>
      <c r="EW4" s="132" t="inlineStr">
        <is>
          <t>CLO3</t>
        </is>
      </c>
      <c r="EX4" s="132" t="inlineStr">
        <is>
          <t>CLO1</t>
        </is>
      </c>
      <c r="EY4" s="132" t="inlineStr">
        <is>
          <t>CLO2</t>
        </is>
      </c>
      <c r="EZ4" s="132" t="inlineStr">
        <is>
          <t>CLO3</t>
        </is>
      </c>
      <c r="FA4" s="132" t="inlineStr">
        <is>
          <t>CLO4</t>
        </is>
      </c>
      <c r="FB4" s="146" t="inlineStr">
        <is>
          <t>CLO 1</t>
        </is>
      </c>
      <c r="FC4" s="146" t="inlineStr">
        <is>
          <t>CLO 2</t>
        </is>
      </c>
      <c r="FD4" s="69" t="inlineStr">
        <is>
          <t>CLO1</t>
        </is>
      </c>
      <c r="FE4" s="70" t="inlineStr">
        <is>
          <t>CLO2</t>
        </is>
      </c>
      <c r="FF4" s="71" t="inlineStr">
        <is>
          <t>CLO 3</t>
        </is>
      </c>
      <c r="FG4" s="71" t="inlineStr">
        <is>
          <t>CLO 1</t>
        </is>
      </c>
      <c r="FH4" s="80" t="inlineStr">
        <is>
          <t>CLO 2</t>
        </is>
      </c>
      <c r="FI4" s="81" t="inlineStr">
        <is>
          <t>CLO1</t>
        </is>
      </c>
      <c r="FJ4" s="83" t="inlineStr">
        <is>
          <t>CLO2</t>
        </is>
      </c>
      <c r="FK4" s="84" t="inlineStr">
        <is>
          <t>CLO1</t>
        </is>
      </c>
      <c r="FL4" s="85" t="inlineStr">
        <is>
          <t>CLO2</t>
        </is>
      </c>
      <c r="FM4" s="86" t="inlineStr">
        <is>
          <t>CLO3</t>
        </is>
      </c>
      <c r="FN4" s="86" t="inlineStr">
        <is>
          <t>CLO 1</t>
        </is>
      </c>
      <c r="FO4" s="86" t="inlineStr">
        <is>
          <t>CLO 2</t>
        </is>
      </c>
      <c r="FP4" s="95" t="inlineStr">
        <is>
          <t>R1</t>
        </is>
      </c>
      <c r="FQ4" s="96" t="inlineStr">
        <is>
          <t>R2</t>
        </is>
      </c>
      <c r="FR4" s="96" t="inlineStr">
        <is>
          <t>R3</t>
        </is>
      </c>
      <c r="FS4" s="96" t="inlineStr">
        <is>
          <t>R4</t>
        </is>
      </c>
      <c r="FT4" s="96" t="inlineStr">
        <is>
          <t>R5</t>
        </is>
      </c>
      <c r="FU4" s="96" t="inlineStr">
        <is>
          <t>R6</t>
        </is>
      </c>
      <c r="FV4" s="96" t="inlineStr">
        <is>
          <t>R7</t>
        </is>
      </c>
      <c r="FW4" s="96" t="inlineStr">
        <is>
          <t>R8</t>
        </is>
      </c>
      <c r="FX4" s="96" t="inlineStr">
        <is>
          <t>R9</t>
        </is>
      </c>
      <c r="FY4" s="96" t="inlineStr">
        <is>
          <t>R10</t>
        </is>
      </c>
      <c r="FZ4" s="96" t="inlineStr">
        <is>
          <t>R11</t>
        </is>
      </c>
      <c r="GA4" s="101" t="inlineStr">
        <is>
          <t>R12</t>
        </is>
      </c>
      <c r="GB4" s="5" t="inlineStr">
        <is>
          <t>CLO 1</t>
        </is>
      </c>
      <c r="GC4" s="6" t="inlineStr">
        <is>
          <t>CLO 2</t>
        </is>
      </c>
      <c r="GD4" s="6" t="inlineStr">
        <is>
          <t>CLO 3</t>
        </is>
      </c>
      <c r="GE4" s="6" t="inlineStr">
        <is>
          <t>CLO 4</t>
        </is>
      </c>
      <c r="GF4" s="7" t="n"/>
      <c r="GG4" s="7" t="n"/>
      <c r="GH4" s="7" t="n"/>
      <c r="GI4" s="7" t="n"/>
      <c r="GJ4" s="19" t="inlineStr">
        <is>
          <t>CLO1</t>
        </is>
      </c>
      <c r="GK4" s="20" t="inlineStr">
        <is>
          <t>CLO 2</t>
        </is>
      </c>
      <c r="GL4" s="20" t="inlineStr">
        <is>
          <t>CLO 3</t>
        </is>
      </c>
      <c r="GM4" s="21" t="inlineStr">
        <is>
          <t>CLO 1</t>
        </is>
      </c>
      <c r="GN4" s="22" t="inlineStr">
        <is>
          <t>CLO 2</t>
        </is>
      </c>
      <c r="GO4" s="23" t="inlineStr">
        <is>
          <t>CLO1</t>
        </is>
      </c>
      <c r="GP4" s="36" t="inlineStr">
        <is>
          <t>CLO2</t>
        </is>
      </c>
      <c r="GQ4" s="37" t="inlineStr">
        <is>
          <t>CLO3</t>
        </is>
      </c>
      <c r="GR4" s="38" t="inlineStr">
        <is>
          <t>CLO 1</t>
        </is>
      </c>
      <c r="GS4" s="22" t="inlineStr">
        <is>
          <t>CLO 2</t>
        </is>
      </c>
      <c r="GT4" s="40" t="inlineStr">
        <is>
          <t>CLO1</t>
        </is>
      </c>
      <c r="GU4" s="40" t="inlineStr">
        <is>
          <t>CLO2</t>
        </is>
      </c>
      <c r="GV4" s="40" t="inlineStr">
        <is>
          <t>CLO3</t>
        </is>
      </c>
      <c r="GW4" s="51" t="inlineStr">
        <is>
          <t>CLO1</t>
        </is>
      </c>
      <c r="GX4" s="21" t="inlineStr">
        <is>
          <t>CLO2</t>
        </is>
      </c>
      <c r="GY4" s="52" t="inlineStr">
        <is>
          <t>CLO3</t>
        </is>
      </c>
      <c r="GZ4" s="7" t="n"/>
      <c r="HA4" s="7" t="n"/>
      <c r="HB4" s="7" t="n"/>
      <c r="HC4" s="7" t="n"/>
      <c r="HD4" s="23" t="inlineStr">
        <is>
          <t>R1</t>
        </is>
      </c>
      <c r="HE4" s="36" t="inlineStr">
        <is>
          <t>R2</t>
        </is>
      </c>
      <c r="HF4" s="37" t="inlineStr">
        <is>
          <t>R3</t>
        </is>
      </c>
      <c r="HG4" s="37" t="inlineStr">
        <is>
          <t>R4</t>
        </is>
      </c>
      <c r="HH4" s="37" t="inlineStr">
        <is>
          <t>R5</t>
        </is>
      </c>
      <c r="HI4" s="37" t="inlineStr">
        <is>
          <t>R6</t>
        </is>
      </c>
      <c r="HJ4" s="37" t="inlineStr">
        <is>
          <t>R7</t>
        </is>
      </c>
      <c r="HK4" s="37" t="inlineStr">
        <is>
          <t>R8</t>
        </is>
      </c>
      <c r="HL4" s="37" t="inlineStr">
        <is>
          <t>R9</t>
        </is>
      </c>
      <c r="HM4" s="60" t="inlineStr">
        <is>
          <t>R10</t>
        </is>
      </c>
      <c r="HN4" s="62" t="inlineStr">
        <is>
          <t>R11</t>
        </is>
      </c>
      <c r="HO4" s="63" t="inlineStr">
        <is>
          <t>R12</t>
        </is>
      </c>
      <c r="HP4" s="606" t="n"/>
      <c r="HQ4" s="646" t="inlineStr">
        <is>
          <t>GA1</t>
        </is>
      </c>
      <c r="HR4" s="646" t="inlineStr">
        <is>
          <t>GA2</t>
        </is>
      </c>
      <c r="HS4" s="646" t="inlineStr">
        <is>
          <t>GA3</t>
        </is>
      </c>
      <c r="HT4" s="646" t="inlineStr">
        <is>
          <t>GA4</t>
        </is>
      </c>
      <c r="HU4" s="646" t="inlineStr">
        <is>
          <t>GA5</t>
        </is>
      </c>
      <c r="HV4" s="646" t="inlineStr">
        <is>
          <t>GA6</t>
        </is>
      </c>
      <c r="HW4" s="646" t="inlineStr">
        <is>
          <t>GA7</t>
        </is>
      </c>
      <c r="HX4" s="646" t="inlineStr">
        <is>
          <t>GA8</t>
        </is>
      </c>
      <c r="HY4" s="646" t="inlineStr">
        <is>
          <t>GA9</t>
        </is>
      </c>
      <c r="HZ4" s="646" t="inlineStr">
        <is>
          <t>GA10</t>
        </is>
      </c>
    </row>
    <row r="5" ht="24" customHeight="1" s="590">
      <c r="A5" s="342" t="n"/>
      <c r="B5" s="608" t="n"/>
      <c r="C5" s="418" t="inlineStr">
        <is>
          <t>Theory</t>
        </is>
      </c>
      <c r="D5" s="603" t="n"/>
      <c r="E5" s="603" t="n"/>
      <c r="F5" s="363" t="inlineStr">
        <is>
          <t>Lab</t>
        </is>
      </c>
      <c r="H5" s="383" t="inlineStr">
        <is>
          <t>Theory</t>
        </is>
      </c>
      <c r="K5" s="363" t="inlineStr">
        <is>
          <t>Lab</t>
        </is>
      </c>
      <c r="L5" s="383" t="inlineStr">
        <is>
          <t>Theory</t>
        </is>
      </c>
      <c r="O5" s="384" t="inlineStr">
        <is>
          <t>Lab</t>
        </is>
      </c>
      <c r="P5" s="591" t="n"/>
      <c r="Q5" s="647" t="inlineStr">
        <is>
          <t>Theory</t>
        </is>
      </c>
      <c r="R5" s="603" t="n"/>
      <c r="S5" s="603" t="n"/>
      <c r="T5" s="648" t="n"/>
      <c r="U5" s="418" t="inlineStr">
        <is>
          <t>Theory</t>
        </is>
      </c>
      <c r="V5" s="603" t="n"/>
      <c r="W5" s="603" t="n"/>
      <c r="X5" s="603" t="n"/>
      <c r="Y5" s="489" t="n"/>
      <c r="Z5" s="648" t="n"/>
      <c r="AA5" s="383" t="n"/>
      <c r="AB5" s="384" t="n"/>
      <c r="AC5" s="363" t="n"/>
      <c r="AD5" s="363" t="n"/>
      <c r="AE5" s="363" t="n"/>
      <c r="AF5" s="363" t="n"/>
      <c r="AG5" s="363" t="inlineStr">
        <is>
          <t>Lab</t>
        </is>
      </c>
      <c r="AI5" s="383" t="n"/>
      <c r="AJ5" s="363" t="n"/>
      <c r="AK5" s="384" t="n"/>
      <c r="AL5" s="363" t="n"/>
      <c r="AM5" s="363" t="n"/>
      <c r="AN5" s="363" t="n"/>
      <c r="AO5" s="363" t="n"/>
      <c r="AP5" s="363" t="n"/>
      <c r="AQ5" s="383" t="n"/>
      <c r="AR5" s="363" t="n"/>
      <c r="AS5" s="363" t="n"/>
      <c r="AT5" s="363" t="n"/>
      <c r="AU5" s="384" t="n"/>
      <c r="AV5" s="383" t="n"/>
      <c r="AW5" s="363" t="n"/>
      <c r="AX5" s="363" t="n"/>
      <c r="AY5" s="384" t="n"/>
      <c r="AZ5" s="383" t="n"/>
      <c r="BA5" s="363" t="n"/>
      <c r="BB5" s="384" t="n"/>
      <c r="BC5" s="383" t="n"/>
      <c r="BD5" s="363" t="n"/>
      <c r="BE5" s="384" t="n"/>
      <c r="BF5" s="383" t="n"/>
      <c r="BG5" s="363" t="n"/>
      <c r="BH5" s="384" t="n"/>
      <c r="BI5" s="383" t="n"/>
      <c r="BJ5" s="363" t="n"/>
      <c r="BK5" s="363" t="n"/>
      <c r="BL5" s="363" t="n"/>
      <c r="BM5" s="363" t="n"/>
      <c r="BN5" s="363" t="n"/>
      <c r="BO5" s="384" t="n"/>
      <c r="BP5" s="383" t="n"/>
      <c r="BQ5" s="383" t="inlineStr">
        <is>
          <t>Theory</t>
        </is>
      </c>
      <c r="BU5" s="363" t="inlineStr">
        <is>
          <t>Lab</t>
        </is>
      </c>
      <c r="BW5" s="362" t="n"/>
      <c r="BX5" s="362" t="n"/>
      <c r="BY5" s="362" t="n"/>
      <c r="BZ5" s="362" t="n"/>
      <c r="CA5" s="362" t="n"/>
      <c r="CB5" s="133" t="n"/>
      <c r="CC5" s="362" t="n"/>
      <c r="CD5" s="363" t="n"/>
      <c r="CE5" s="364" t="inlineStr">
        <is>
          <t>Lab</t>
        </is>
      </c>
      <c r="CF5" s="649" t="n"/>
      <c r="CG5" s="133" t="inlineStr">
        <is>
          <t>Theory</t>
        </is>
      </c>
      <c r="CI5" s="649" t="n"/>
      <c r="CJ5" s="362" t="inlineStr">
        <is>
          <t>Lab</t>
        </is>
      </c>
      <c r="CL5" s="133" t="inlineStr">
        <is>
          <t>GA 2</t>
        </is>
      </c>
      <c r="CM5" s="133" t="inlineStr">
        <is>
          <t>GA 3</t>
        </is>
      </c>
      <c r="CN5" s="133" t="inlineStr">
        <is>
          <t>GA 5</t>
        </is>
      </c>
      <c r="CO5" s="362" t="n"/>
      <c r="CP5" s="364" t="n"/>
      <c r="CQ5" s="133" t="n"/>
      <c r="CR5" s="383" t="inlineStr">
        <is>
          <t>Theory</t>
        </is>
      </c>
      <c r="CU5" s="384" t="inlineStr">
        <is>
          <t>Lab</t>
        </is>
      </c>
      <c r="CV5" s="591" t="n"/>
      <c r="CW5" s="133" t="inlineStr">
        <is>
          <t>Theory</t>
        </is>
      </c>
      <c r="CY5" s="649" t="n"/>
      <c r="CZ5" s="362" t="inlineStr">
        <is>
          <t>Lab</t>
        </is>
      </c>
      <c r="DB5" s="363" t="inlineStr">
        <is>
          <t>Theory</t>
        </is>
      </c>
      <c r="DE5" s="363" t="inlineStr">
        <is>
          <t>Lab</t>
        </is>
      </c>
      <c r="DG5" s="362" t="inlineStr">
        <is>
          <t>Theory</t>
        </is>
      </c>
      <c r="DK5" s="363" t="inlineStr">
        <is>
          <t>Lab</t>
        </is>
      </c>
      <c r="DM5" s="363" t="n"/>
      <c r="DN5" s="363" t="n"/>
      <c r="DO5" s="363" t="n"/>
      <c r="DP5" s="136" t="n"/>
      <c r="DQ5" s="136" t="n"/>
      <c r="DR5" s="363" t="n"/>
      <c r="DS5" s="363" t="n"/>
      <c r="DT5" s="362" t="n"/>
      <c r="DU5" s="363" t="n"/>
      <c r="DV5" s="383" t="n"/>
      <c r="DW5" s="383" t="n"/>
      <c r="DX5" s="383" t="n"/>
      <c r="DY5" s="363" t="n"/>
      <c r="DZ5" s="363" t="n"/>
      <c r="EA5" s="356" t="inlineStr">
        <is>
          <t>Theory</t>
        </is>
      </c>
      <c r="ED5" s="53" t="inlineStr">
        <is>
          <t>Lab</t>
        </is>
      </c>
      <c r="EE5" s="591" t="n"/>
      <c r="EF5" s="362" t="n"/>
      <c r="EG5" s="363" t="n"/>
      <c r="EH5" s="363" t="n"/>
      <c r="EI5" s="363" t="n"/>
      <c r="EJ5" s="362" t="n"/>
      <c r="EK5" s="362" t="n"/>
      <c r="EL5" s="362" t="inlineStr">
        <is>
          <t>Theory</t>
        </is>
      </c>
      <c r="EP5" s="363" t="inlineStr">
        <is>
          <t>Lab</t>
        </is>
      </c>
      <c r="ER5" s="363" t="n"/>
      <c r="ES5" s="363" t="n"/>
      <c r="ET5" s="363" t="n"/>
      <c r="EU5" s="362" t="inlineStr">
        <is>
          <t>Theory</t>
        </is>
      </c>
      <c r="EX5" s="362" t="inlineStr">
        <is>
          <t>Theory</t>
        </is>
      </c>
      <c r="FB5" s="362" t="inlineStr">
        <is>
          <t>Lab</t>
        </is>
      </c>
      <c r="FD5" s="383" t="inlineStr">
        <is>
          <t>Theory</t>
        </is>
      </c>
      <c r="FG5" s="384" t="inlineStr">
        <is>
          <t>Lab</t>
        </is>
      </c>
      <c r="FH5" s="591" t="n"/>
      <c r="FI5" s="363" t="n"/>
      <c r="FJ5" s="384" t="n"/>
      <c r="FK5" s="383" t="inlineStr">
        <is>
          <t>Theory</t>
        </is>
      </c>
      <c r="FN5" s="384" t="inlineStr">
        <is>
          <t>Lab</t>
        </is>
      </c>
      <c r="FO5" s="591" t="n"/>
      <c r="FP5" s="54" t="n"/>
      <c r="FQ5" s="55" t="n"/>
      <c r="FR5" s="55" t="n"/>
      <c r="FS5" s="55" t="n"/>
      <c r="FT5" s="55" t="n"/>
      <c r="FU5" s="55" t="n"/>
      <c r="FV5" s="55" t="n"/>
      <c r="FW5" s="55" t="n"/>
      <c r="FX5" s="55" t="n"/>
      <c r="FY5" s="55" t="n"/>
      <c r="FZ5" s="55" t="n"/>
      <c r="GA5" s="53" t="n"/>
      <c r="GB5" s="362" t="n"/>
      <c r="GC5" s="363" t="n"/>
      <c r="GD5" s="363" t="n"/>
      <c r="GE5" s="364" t="n"/>
      <c r="GF5" s="363" t="n"/>
      <c r="GG5" s="363" t="n"/>
      <c r="GH5" s="363" t="n"/>
      <c r="GI5" s="363" t="n"/>
      <c r="GJ5" s="356" t="inlineStr">
        <is>
          <t>Theory</t>
        </is>
      </c>
      <c r="GM5" s="53" t="inlineStr">
        <is>
          <t>Lab</t>
        </is>
      </c>
      <c r="GN5" s="591" t="n"/>
      <c r="GO5" s="356" t="inlineStr">
        <is>
          <t>Theory</t>
        </is>
      </c>
      <c r="GR5" s="53" t="inlineStr">
        <is>
          <t>Lab</t>
        </is>
      </c>
      <c r="GS5" s="591" t="n"/>
      <c r="GT5" s="362" t="n"/>
      <c r="GU5" s="363" t="n"/>
      <c r="GV5" s="363" t="n"/>
      <c r="GW5" s="356" t="n"/>
      <c r="GX5" s="358" t="n"/>
      <c r="GY5" s="53" t="n"/>
      <c r="GZ5" s="363" t="n"/>
      <c r="HA5" s="363" t="n"/>
      <c r="HB5" s="363" t="n"/>
      <c r="HC5" s="363" t="n"/>
      <c r="HD5" s="54" t="n"/>
      <c r="HE5" s="55" t="n"/>
      <c r="HF5" s="55" t="n"/>
      <c r="HG5" s="55" t="n"/>
      <c r="HH5" s="55" t="n"/>
      <c r="HI5" s="55" t="n"/>
      <c r="HJ5" s="55" t="n"/>
      <c r="HK5" s="55" t="n"/>
      <c r="HL5" s="55" t="n"/>
      <c r="HM5" s="55" t="n"/>
      <c r="HN5" s="358" t="n"/>
      <c r="HO5" s="359" t="n"/>
      <c r="HP5" s="606" t="n"/>
      <c r="HQ5" s="606" t="n"/>
      <c r="HR5" s="606" t="n"/>
      <c r="HS5" s="606" t="n"/>
      <c r="HT5" s="606" t="n"/>
      <c r="HU5" s="606" t="n"/>
      <c r="HV5" s="606" t="n"/>
      <c r="HW5" s="606" t="n"/>
      <c r="HX5" s="606" t="n"/>
      <c r="HY5" s="606" t="n"/>
      <c r="HZ5" s="606" t="n"/>
    </row>
    <row r="6" ht="24" customHeight="1" s="590">
      <c r="A6" s="343" t="n"/>
      <c r="B6" s="650" t="n"/>
      <c r="C6" s="490" t="inlineStr">
        <is>
          <t>GA1</t>
        </is>
      </c>
      <c r="D6" s="360" t="inlineStr">
        <is>
          <t>GA 2</t>
        </is>
      </c>
      <c r="E6" s="360" t="inlineStr">
        <is>
          <t>GA4</t>
        </is>
      </c>
      <c r="F6" s="360" t="inlineStr">
        <is>
          <t>GA1</t>
        </is>
      </c>
      <c r="G6" s="360" t="inlineStr">
        <is>
          <t>GA 2</t>
        </is>
      </c>
      <c r="H6" s="490" t="inlineStr">
        <is>
          <t>GA2</t>
        </is>
      </c>
      <c r="I6" s="360" t="inlineStr">
        <is>
          <t>GA 2</t>
        </is>
      </c>
      <c r="J6" s="360" t="inlineStr">
        <is>
          <t>GA2</t>
        </is>
      </c>
      <c r="K6" s="490" t="inlineStr">
        <is>
          <t>GA5</t>
        </is>
      </c>
      <c r="L6" s="490" t="inlineStr">
        <is>
          <t>GA 1</t>
        </is>
      </c>
      <c r="M6" s="360" t="inlineStr">
        <is>
          <t>GA 2</t>
        </is>
      </c>
      <c r="N6" s="360" t="inlineStr">
        <is>
          <t>GA 4</t>
        </is>
      </c>
      <c r="O6" s="360" t="inlineStr">
        <is>
          <t>GA 2</t>
        </is>
      </c>
      <c r="P6" s="360" t="inlineStr">
        <is>
          <t>GA 5</t>
        </is>
      </c>
      <c r="Q6" s="123" t="inlineStr">
        <is>
          <t>GA 1</t>
        </is>
      </c>
      <c r="R6" s="124" t="inlineStr">
        <is>
          <t>GA 2</t>
        </is>
      </c>
      <c r="S6" s="124" t="inlineStr">
        <is>
          <t>GA 3</t>
        </is>
      </c>
      <c r="T6" s="125" t="inlineStr">
        <is>
          <t>GA 4</t>
        </is>
      </c>
      <c r="U6" s="123" t="inlineStr">
        <is>
          <t>GA 5</t>
        </is>
      </c>
      <c r="V6" s="124" t="inlineStr">
        <is>
          <t>GA 5</t>
        </is>
      </c>
      <c r="W6" s="124" t="inlineStr">
        <is>
          <t>GA 7</t>
        </is>
      </c>
      <c r="X6" s="124" t="inlineStr">
        <is>
          <t>GA 2</t>
        </is>
      </c>
      <c r="Y6" s="124" t="n"/>
      <c r="Z6" s="125" t="n"/>
      <c r="AA6" s="130" t="inlineStr">
        <is>
          <t>GA10</t>
        </is>
      </c>
      <c r="AB6" s="629" t="n"/>
      <c r="AC6" s="490" t="inlineStr">
        <is>
          <t>GA 2</t>
        </is>
      </c>
      <c r="AD6" s="598" t="n"/>
      <c r="AE6" s="360" t="inlineStr">
        <is>
          <t>GA 4</t>
        </is>
      </c>
      <c r="AF6" s="598" t="n"/>
      <c r="AG6" s="360" t="inlineStr">
        <is>
          <t>GA 4</t>
        </is>
      </c>
      <c r="AH6" s="372" t="inlineStr">
        <is>
          <t xml:space="preserve">GA 5 </t>
        </is>
      </c>
      <c r="AI6" s="130" t="inlineStr">
        <is>
          <t>GA1</t>
        </is>
      </c>
      <c r="AJ6" s="598" t="n"/>
      <c r="AK6" s="629" t="n"/>
      <c r="AL6" s="124" t="inlineStr">
        <is>
          <t>GA1</t>
        </is>
      </c>
      <c r="AM6" s="360" t="inlineStr">
        <is>
          <t>GA 2</t>
        </is>
      </c>
      <c r="AN6" s="598" t="n"/>
      <c r="AO6" s="598" t="n"/>
      <c r="AP6" s="598" t="n"/>
      <c r="AQ6" s="73" t="inlineStr">
        <is>
          <t>GA1</t>
        </is>
      </c>
      <c r="AR6" s="598" t="n"/>
      <c r="AS6" s="598" t="n"/>
      <c r="AT6" s="599" t="n"/>
      <c r="AU6" s="89" t="inlineStr">
        <is>
          <t>GA4</t>
        </is>
      </c>
      <c r="AV6" s="130" t="inlineStr">
        <is>
          <t>GA1</t>
        </is>
      </c>
      <c r="AW6" s="89" t="inlineStr">
        <is>
          <t>GA2</t>
        </is>
      </c>
      <c r="AX6" s="89" t="inlineStr">
        <is>
          <t>GA1</t>
        </is>
      </c>
      <c r="AY6" s="89" t="inlineStr">
        <is>
          <t>GA2</t>
        </is>
      </c>
      <c r="AZ6" s="73" t="inlineStr">
        <is>
          <t>GA5</t>
        </is>
      </c>
      <c r="BA6" s="599" t="n"/>
      <c r="BB6" s="89" t="inlineStr">
        <is>
          <t>GA1</t>
        </is>
      </c>
      <c r="BC6" s="73" t="inlineStr">
        <is>
          <t>GA2</t>
        </is>
      </c>
      <c r="BD6" s="599" t="n"/>
      <c r="BE6" s="89" t="inlineStr">
        <is>
          <t>GA4</t>
        </is>
      </c>
      <c r="BF6" s="130" t="inlineStr">
        <is>
          <t>GA6</t>
        </is>
      </c>
      <c r="BG6" s="89" t="inlineStr">
        <is>
          <t>GA7</t>
        </is>
      </c>
      <c r="BH6" s="89" t="inlineStr">
        <is>
          <t>GA8</t>
        </is>
      </c>
      <c r="BI6" s="73" t="inlineStr">
        <is>
          <t>GA1</t>
        </is>
      </c>
      <c r="BJ6" s="598" t="n"/>
      <c r="BK6" s="598" t="n"/>
      <c r="BL6" s="598" t="n"/>
      <c r="BM6" s="599" t="n"/>
      <c r="BN6" s="89" t="inlineStr">
        <is>
          <t>GA8</t>
        </is>
      </c>
      <c r="BO6" s="89" t="inlineStr">
        <is>
          <t>GA10</t>
        </is>
      </c>
      <c r="BP6" s="130" t="inlineStr">
        <is>
          <t>GA1</t>
        </is>
      </c>
      <c r="BQ6" s="130" t="inlineStr">
        <is>
          <t>GA2</t>
        </is>
      </c>
      <c r="BR6" s="629" t="n"/>
      <c r="BS6" s="361" t="inlineStr">
        <is>
          <t>GA 5</t>
        </is>
      </c>
      <c r="BT6" s="629" t="n"/>
      <c r="BU6" s="89" t="inlineStr">
        <is>
          <t>GA 2</t>
        </is>
      </c>
      <c r="BV6" s="372" t="inlineStr">
        <is>
          <t>GA5</t>
        </is>
      </c>
      <c r="BW6" s="89" t="inlineStr">
        <is>
          <t>GA2</t>
        </is>
      </c>
      <c r="BX6" s="89" t="inlineStr">
        <is>
          <t>GA3</t>
        </is>
      </c>
      <c r="BY6" s="89" t="inlineStr">
        <is>
          <t>GA2</t>
        </is>
      </c>
      <c r="BZ6" s="89" t="inlineStr">
        <is>
          <t>GA4</t>
        </is>
      </c>
      <c r="CA6" s="89" t="inlineStr">
        <is>
          <t>GA8</t>
        </is>
      </c>
      <c r="CB6" s="134" t="inlineStr">
        <is>
          <t>GA10</t>
        </is>
      </c>
      <c r="CC6" s="135" t="inlineStr">
        <is>
          <t>GA 2</t>
        </is>
      </c>
      <c r="CD6" s="136" t="inlineStr">
        <is>
          <t>GA 5</t>
        </is>
      </c>
      <c r="CE6" s="136" t="inlineStr">
        <is>
          <t>GA 2</t>
        </is>
      </c>
      <c r="CF6" s="104" t="inlineStr">
        <is>
          <t>GA 3</t>
        </is>
      </c>
      <c r="CG6" s="89" t="inlineStr">
        <is>
          <t>GA2</t>
        </is>
      </c>
      <c r="CH6" s="89" t="inlineStr">
        <is>
          <t>GA3</t>
        </is>
      </c>
      <c r="CI6" s="89" t="inlineStr">
        <is>
          <t>GA5</t>
        </is>
      </c>
      <c r="CJ6" s="89" t="inlineStr">
        <is>
          <t>GA8</t>
        </is>
      </c>
      <c r="CK6" s="372" t="inlineStr">
        <is>
          <t>GA10</t>
        </is>
      </c>
      <c r="CL6" s="134" t="inlineStr">
        <is>
          <t>PLO10</t>
        </is>
      </c>
      <c r="CM6" s="134" t="inlineStr">
        <is>
          <t>PLO9</t>
        </is>
      </c>
      <c r="CN6" s="134" t="inlineStr">
        <is>
          <t>PLO5</t>
        </is>
      </c>
      <c r="CO6" s="133" t="inlineStr">
        <is>
          <t>PLO1</t>
        </is>
      </c>
      <c r="CP6" s="649" t="n"/>
      <c r="CQ6" s="134" t="inlineStr">
        <is>
          <t>PLO3</t>
        </is>
      </c>
      <c r="CR6" s="73" t="inlineStr">
        <is>
          <t>GA 1</t>
        </is>
      </c>
      <c r="CS6" s="372" t="inlineStr">
        <is>
          <t>GA 2</t>
        </is>
      </c>
      <c r="CT6" s="360" t="inlineStr">
        <is>
          <t>GA 3</t>
        </is>
      </c>
      <c r="CU6" s="360" t="inlineStr">
        <is>
          <t>GA 4</t>
        </is>
      </c>
      <c r="CV6" s="361" t="inlineStr">
        <is>
          <t>GA 5</t>
        </is>
      </c>
      <c r="CW6" s="89" t="inlineStr">
        <is>
          <t>GA2</t>
        </is>
      </c>
      <c r="CX6" s="89" t="inlineStr">
        <is>
          <t>GA3</t>
        </is>
      </c>
      <c r="CY6" s="89" t="inlineStr">
        <is>
          <t>GA5</t>
        </is>
      </c>
      <c r="CZ6" s="89" t="inlineStr">
        <is>
          <t>GA8</t>
        </is>
      </c>
      <c r="DA6" s="372" t="inlineStr">
        <is>
          <t>GA10</t>
        </is>
      </c>
      <c r="DB6" s="490" t="inlineStr">
        <is>
          <t>GA 1</t>
        </is>
      </c>
      <c r="DC6" s="360" t="inlineStr">
        <is>
          <t>GA 2</t>
        </is>
      </c>
      <c r="DD6" s="360" t="inlineStr">
        <is>
          <t>GA 5</t>
        </is>
      </c>
      <c r="DE6" s="361" t="inlineStr">
        <is>
          <t>GA 5</t>
        </is>
      </c>
      <c r="DF6" s="629" t="n"/>
      <c r="DG6" s="166" t="inlineStr">
        <is>
          <t>GA 1</t>
        </is>
      </c>
      <c r="DH6" s="125" t="inlineStr">
        <is>
          <t>GA 3</t>
        </is>
      </c>
      <c r="DI6" s="73" t="inlineStr">
        <is>
          <t>GA 4</t>
        </is>
      </c>
      <c r="DJ6" s="73" t="inlineStr">
        <is>
          <t>GA 5</t>
        </is>
      </c>
      <c r="DK6" s="73" t="inlineStr">
        <is>
          <t>GA 4</t>
        </is>
      </c>
      <c r="DL6" s="599" t="n"/>
      <c r="DM6" s="490" t="inlineStr">
        <is>
          <t>PLO2</t>
        </is>
      </c>
      <c r="DN6" s="598" t="n"/>
      <c r="DO6" s="598" t="n"/>
      <c r="DP6" s="124" t="inlineStr">
        <is>
          <t>PLO3</t>
        </is>
      </c>
      <c r="DQ6" s="125" t="inlineStr">
        <is>
          <t>PLO5</t>
        </is>
      </c>
      <c r="DR6" s="73" t="inlineStr">
        <is>
          <t>PLO8</t>
        </is>
      </c>
      <c r="DS6" s="73" t="inlineStr">
        <is>
          <t>PLO10</t>
        </is>
      </c>
      <c r="DT6" s="89" t="inlineStr">
        <is>
          <t>PLO2</t>
        </is>
      </c>
      <c r="DU6" s="629" t="n"/>
      <c r="DV6" s="73" t="inlineStr">
        <is>
          <t>PLO3</t>
        </is>
      </c>
      <c r="DW6" s="73" t="inlineStr">
        <is>
          <t>PLO5</t>
        </is>
      </c>
      <c r="DX6" s="73" t="inlineStr">
        <is>
          <t>PLO1</t>
        </is>
      </c>
      <c r="DY6" s="73" t="inlineStr">
        <is>
          <t>PLO8</t>
        </is>
      </c>
      <c r="DZ6" s="73" t="inlineStr">
        <is>
          <t>PLO10</t>
        </is>
      </c>
      <c r="EA6" s="27" t="inlineStr">
        <is>
          <t>GA 1</t>
        </is>
      </c>
      <c r="EB6" s="27" t="inlineStr">
        <is>
          <t>GA 3</t>
        </is>
      </c>
      <c r="EC6" s="651" t="n"/>
      <c r="ED6" s="27" t="inlineStr">
        <is>
          <t>GA 1</t>
        </is>
      </c>
      <c r="EE6" s="27" t="inlineStr">
        <is>
          <t>GA 3</t>
        </is>
      </c>
      <c r="EF6" s="134" t="inlineStr">
        <is>
          <t>PLO1</t>
        </is>
      </c>
      <c r="EG6" s="373" t="inlineStr">
        <is>
          <t>PLO3</t>
        </is>
      </c>
      <c r="EH6" s="373" t="inlineStr">
        <is>
          <t>PLO2</t>
        </is>
      </c>
      <c r="EI6" s="373" t="inlineStr">
        <is>
          <t>PLO5</t>
        </is>
      </c>
      <c r="EJ6" s="73" t="inlineStr">
        <is>
          <t>PLO8</t>
        </is>
      </c>
      <c r="EK6" s="73" t="inlineStr">
        <is>
          <t>PLO10</t>
        </is>
      </c>
      <c r="EL6" s="372" t="inlineStr">
        <is>
          <t>GA 1</t>
        </is>
      </c>
      <c r="EM6" s="360" t="inlineStr">
        <is>
          <t>GA 2</t>
        </is>
      </c>
      <c r="EN6" s="360" t="inlineStr">
        <is>
          <t>GA 3</t>
        </is>
      </c>
      <c r="EO6" s="360" t="inlineStr">
        <is>
          <t>GA 4</t>
        </is>
      </c>
      <c r="EP6" s="360" t="n"/>
      <c r="EQ6" s="373" t="n"/>
      <c r="ER6" s="134" t="inlineStr">
        <is>
          <t>GA 1</t>
        </is>
      </c>
      <c r="ES6" s="73" t="inlineStr">
        <is>
          <t>GA 7</t>
        </is>
      </c>
      <c r="ET6" s="73" t="inlineStr">
        <is>
          <t>GA 8</t>
        </is>
      </c>
      <c r="EU6" s="134" t="inlineStr">
        <is>
          <t>GA 1</t>
        </is>
      </c>
      <c r="EV6" s="373" t="inlineStr">
        <is>
          <t>GA 2</t>
        </is>
      </c>
      <c r="EW6" s="373" t="inlineStr">
        <is>
          <t>GA 9</t>
        </is>
      </c>
      <c r="EX6" s="134" t="inlineStr">
        <is>
          <t>GA2</t>
        </is>
      </c>
      <c r="EY6" s="373" t="inlineStr">
        <is>
          <t>GA 2</t>
        </is>
      </c>
      <c r="EZ6" s="373" t="inlineStr">
        <is>
          <t>GA 3</t>
        </is>
      </c>
      <c r="FA6" s="73" t="inlineStr">
        <is>
          <t>GA 5</t>
        </is>
      </c>
      <c r="FB6" s="73" t="inlineStr">
        <is>
          <t>GA 3</t>
        </is>
      </c>
      <c r="FC6" s="73" t="inlineStr">
        <is>
          <t>GA 4</t>
        </is>
      </c>
      <c r="FD6" s="73" t="inlineStr">
        <is>
          <t>GA 1</t>
        </is>
      </c>
      <c r="FE6" s="372" t="inlineStr">
        <is>
          <t>GA 2</t>
        </is>
      </c>
      <c r="FF6" s="360" t="inlineStr">
        <is>
          <t>GA 3</t>
        </is>
      </c>
      <c r="FG6" s="360" t="inlineStr">
        <is>
          <t>GA 4</t>
        </is>
      </c>
      <c r="FH6" s="361" t="inlineStr">
        <is>
          <t>GA 5</t>
        </is>
      </c>
      <c r="FI6" s="373" t="inlineStr">
        <is>
          <t>PLO4</t>
        </is>
      </c>
      <c r="FJ6" s="89" t="inlineStr">
        <is>
          <t>PLO5</t>
        </is>
      </c>
      <c r="FK6" s="490" t="inlineStr">
        <is>
          <t>GA 1</t>
        </is>
      </c>
      <c r="FL6" s="360" t="inlineStr">
        <is>
          <t>GA 2</t>
        </is>
      </c>
      <c r="FM6" s="360" t="inlineStr">
        <is>
          <t>GA 3</t>
        </is>
      </c>
      <c r="FN6" s="360" t="inlineStr">
        <is>
          <t>GA 1</t>
        </is>
      </c>
      <c r="FO6" s="361" t="inlineStr">
        <is>
          <t>GA 3</t>
        </is>
      </c>
      <c r="FP6" s="57" t="inlineStr">
        <is>
          <t>GA1</t>
        </is>
      </c>
      <c r="FQ6" s="58" t="inlineStr">
        <is>
          <t>GA2</t>
        </is>
      </c>
      <c r="FR6" s="58" t="inlineStr">
        <is>
          <t>GA3</t>
        </is>
      </c>
      <c r="FS6" s="58" t="inlineStr">
        <is>
          <t>GA4</t>
        </is>
      </c>
      <c r="FT6" s="58" t="inlineStr">
        <is>
          <t>GA5</t>
        </is>
      </c>
      <c r="FU6" s="58" t="inlineStr">
        <is>
          <t>GA6</t>
        </is>
      </c>
      <c r="FV6" s="58" t="inlineStr">
        <is>
          <t>GA7</t>
        </is>
      </c>
      <c r="FW6" s="58" t="inlineStr">
        <is>
          <t>GA8</t>
        </is>
      </c>
      <c r="FX6" s="58" t="inlineStr">
        <is>
          <t>GA9</t>
        </is>
      </c>
      <c r="FY6" s="58" t="inlineStr">
        <is>
          <t>GA10</t>
        </is>
      </c>
      <c r="FZ6" s="58" t="inlineStr">
        <is>
          <t>GA11</t>
        </is>
      </c>
      <c r="GA6" s="27" t="inlineStr">
        <is>
          <t>GA12</t>
        </is>
      </c>
      <c r="GB6" s="133" t="n"/>
      <c r="GE6" s="649" t="n"/>
      <c r="GF6" s="364" t="n"/>
      <c r="GG6" s="364" t="n"/>
      <c r="GH6" s="364" t="n"/>
      <c r="GI6" s="364" t="n"/>
      <c r="GJ6" s="27" t="inlineStr">
        <is>
          <t>GA 1</t>
        </is>
      </c>
      <c r="GK6" s="27" t="inlineStr">
        <is>
          <t>GA 3</t>
        </is>
      </c>
      <c r="GL6" s="651" t="n"/>
      <c r="GM6" s="27" t="inlineStr">
        <is>
          <t>GA 1</t>
        </is>
      </c>
      <c r="GN6" s="27" t="inlineStr">
        <is>
          <t>GA 3</t>
        </is>
      </c>
      <c r="GO6" s="516" t="inlineStr">
        <is>
          <t>GA 1</t>
        </is>
      </c>
      <c r="GP6" s="366" t="inlineStr">
        <is>
          <t>GA 2</t>
        </is>
      </c>
      <c r="GQ6" s="27" t="inlineStr">
        <is>
          <t>GA 5</t>
        </is>
      </c>
      <c r="GR6" s="27" t="inlineStr">
        <is>
          <t>GA 5</t>
        </is>
      </c>
      <c r="GS6" s="651" t="n"/>
      <c r="GT6" s="134" t="inlineStr">
        <is>
          <t>PLO1</t>
        </is>
      </c>
      <c r="GU6" s="598" t="n"/>
      <c r="GV6" s="599" t="n"/>
      <c r="GW6" s="56" t="inlineStr">
        <is>
          <t>PLO1</t>
        </is>
      </c>
      <c r="GX6" s="27" t="inlineStr">
        <is>
          <t>PLO2</t>
        </is>
      </c>
      <c r="GY6" s="27" t="inlineStr">
        <is>
          <t>PLO5</t>
        </is>
      </c>
      <c r="GZ6" s="364" t="n"/>
      <c r="HA6" s="364" t="n"/>
      <c r="HB6" s="364" t="n"/>
      <c r="HC6" s="364" t="n"/>
      <c r="HD6" s="57" t="inlineStr">
        <is>
          <t>GA1</t>
        </is>
      </c>
      <c r="HE6" s="58" t="inlineStr">
        <is>
          <t>GA2</t>
        </is>
      </c>
      <c r="HF6" s="58" t="inlineStr">
        <is>
          <t>GA3</t>
        </is>
      </c>
      <c r="HG6" s="58" t="inlineStr">
        <is>
          <t>GA4</t>
        </is>
      </c>
      <c r="HH6" s="58" t="inlineStr">
        <is>
          <t>GA5</t>
        </is>
      </c>
      <c r="HI6" s="58" t="inlineStr">
        <is>
          <t>GA6</t>
        </is>
      </c>
      <c r="HJ6" s="58" t="inlineStr">
        <is>
          <t>GA7</t>
        </is>
      </c>
      <c r="HK6" s="58" t="inlineStr">
        <is>
          <t>GA8</t>
        </is>
      </c>
      <c r="HL6" s="58" t="inlineStr">
        <is>
          <t>GA9</t>
        </is>
      </c>
      <c r="HM6" s="58" t="inlineStr">
        <is>
          <t>GA10</t>
        </is>
      </c>
      <c r="HN6" s="365" t="inlineStr">
        <is>
          <t>GA11</t>
        </is>
      </c>
      <c r="HO6" s="56" t="inlineStr">
        <is>
          <t>GA12</t>
        </is>
      </c>
      <c r="HP6" s="606" t="n"/>
      <c r="HQ6" s="652" t="n"/>
      <c r="HR6" s="652" t="n"/>
      <c r="HS6" s="652" t="n"/>
      <c r="HT6" s="652" t="n"/>
      <c r="HU6" s="652" t="n"/>
      <c r="HV6" s="652" t="n"/>
      <c r="HW6" s="652" t="n"/>
      <c r="HX6" s="652" t="n"/>
      <c r="HY6" s="652" t="n"/>
      <c r="HZ6" s="652" t="n"/>
    </row>
    <row r="7" ht="15.75" customHeight="1" s="590">
      <c r="A7" s="293" t="inlineStr">
        <is>
          <t>052-26-128002</t>
        </is>
      </c>
      <c r="B7" s="294" t="inlineStr">
        <is>
          <t>Muhammad Umar Jalal</t>
        </is>
      </c>
      <c r="C7" s="218" t="n">
        <v>59.05</v>
      </c>
      <c r="D7" s="218" t="n">
        <v>78.89</v>
      </c>
      <c r="E7" s="216" t="n">
        <v>85.65000000000001</v>
      </c>
      <c r="F7" s="218" t="n">
        <v>59.05</v>
      </c>
      <c r="G7" s="218" t="n">
        <v>78.89</v>
      </c>
      <c r="H7" s="218" t="n">
        <v>75.43000000000001</v>
      </c>
      <c r="I7" s="219" t="n">
        <v>66</v>
      </c>
      <c r="J7" s="219" t="n">
        <v>66</v>
      </c>
      <c r="K7" s="216" t="n">
        <v>94.20999999999999</v>
      </c>
      <c r="L7" s="561" t="n"/>
      <c r="M7" s="583" t="n"/>
      <c r="N7" s="546" t="n"/>
      <c r="O7" s="115" t="n"/>
      <c r="P7" s="117" t="n"/>
      <c r="Q7" s="225" t="n"/>
      <c r="R7" s="543" t="n"/>
      <c r="S7" s="548" t="n"/>
      <c r="T7" s="548" t="n"/>
      <c r="U7" s="114" t="n"/>
      <c r="V7" s="115" t="n"/>
      <c r="W7" s="510" t="n"/>
      <c r="X7" s="117" t="n"/>
      <c r="Y7" s="117" t="n"/>
      <c r="Z7" s="117" t="n"/>
      <c r="AA7" s="114" t="n"/>
      <c r="AB7" s="117" t="n"/>
      <c r="AC7" s="128" t="n"/>
      <c r="AD7" s="128" t="n"/>
      <c r="AE7" s="128" t="n"/>
      <c r="AF7" s="128" t="n"/>
      <c r="AG7" s="543" t="n"/>
      <c r="AH7" s="543" t="n"/>
      <c r="AI7" s="127" t="n"/>
      <c r="AJ7" s="128" t="n"/>
      <c r="AK7" s="131" t="n"/>
      <c r="AL7" s="127" t="n"/>
      <c r="AM7" s="128" t="n"/>
      <c r="AN7" s="128" t="n"/>
      <c r="AO7" s="128" t="n"/>
      <c r="AP7" s="131" t="n"/>
      <c r="AQ7" s="127" t="n"/>
      <c r="AR7" s="128" t="n"/>
      <c r="AS7" s="128" t="n"/>
      <c r="AT7" s="128" t="n"/>
      <c r="AU7" s="131" t="n"/>
      <c r="AV7" s="127" t="n"/>
      <c r="AW7" s="128" t="n"/>
      <c r="AX7" s="128" t="n"/>
      <c r="AY7" s="131" t="n"/>
      <c r="AZ7" s="131" t="n"/>
      <c r="BA7" s="131" t="n"/>
      <c r="BB7" s="131" t="n"/>
      <c r="BC7" s="114" t="n"/>
      <c r="BD7" s="546" t="n"/>
      <c r="BE7" s="511" t="n"/>
      <c r="BF7" s="114" t="n"/>
      <c r="BG7" s="546" t="n"/>
      <c r="BH7" s="511" t="n"/>
      <c r="BI7" s="114" t="n"/>
      <c r="BJ7" s="546" t="n"/>
      <c r="BK7" s="546" t="n"/>
      <c r="BL7" s="546" t="n"/>
      <c r="BM7" s="546" t="n"/>
      <c r="BN7" s="546" t="n"/>
      <c r="BO7" s="511" t="n"/>
      <c r="BP7" s="546" t="n"/>
      <c r="BQ7" s="546" t="n"/>
      <c r="BR7" s="546" t="n"/>
      <c r="BS7" s="546" t="n"/>
      <c r="BT7" s="546" t="n"/>
      <c r="BU7" s="546" t="n"/>
      <c r="BV7" s="546" t="n"/>
      <c r="BW7" s="15" t="n"/>
      <c r="BX7" s="546" t="n"/>
      <c r="BY7" s="546" t="n"/>
      <c r="BZ7" s="546" t="n"/>
      <c r="CA7" s="546" t="n"/>
      <c r="CB7" s="546" t="n"/>
      <c r="CC7" s="15" t="n"/>
      <c r="CD7" s="546" t="n"/>
      <c r="CE7" s="546" t="n"/>
      <c r="CF7" s="17" t="n"/>
      <c r="CG7" s="546" t="n"/>
      <c r="CH7" s="546" t="n"/>
      <c r="CI7" s="546" t="n"/>
      <c r="CJ7" s="546" t="n"/>
      <c r="CK7" s="583" t="n"/>
      <c r="CL7" s="15" t="n"/>
      <c r="CM7" s="15" t="n"/>
      <c r="CN7" s="15" t="n"/>
      <c r="CO7" s="15" t="n"/>
      <c r="CP7" s="546" t="n"/>
      <c r="CQ7" s="17" t="n"/>
      <c r="CR7" s="74" t="n"/>
      <c r="CS7" s="75" t="n"/>
      <c r="CT7" s="76" t="n"/>
      <c r="CU7" s="76" t="n"/>
      <c r="CV7" s="91" t="n"/>
      <c r="CW7" s="546" t="n"/>
      <c r="CX7" s="546" t="n"/>
      <c r="CY7" s="546" t="n"/>
      <c r="CZ7" s="546" t="n"/>
      <c r="DA7" s="583" t="n"/>
      <c r="DB7" s="141" t="n"/>
      <c r="DC7" s="512" t="n"/>
      <c r="DD7" s="512" t="n"/>
      <c r="DE7" s="653" t="n"/>
      <c r="DF7" s="645" t="n"/>
      <c r="DG7" s="141" t="n"/>
      <c r="DH7" s="139" t="n"/>
      <c r="DI7" s="139" t="n"/>
      <c r="DJ7" s="139" t="n"/>
      <c r="DK7" s="654" t="n"/>
      <c r="DL7" s="655" t="n"/>
      <c r="DM7" s="512" t="n"/>
      <c r="DN7" s="512" t="n"/>
      <c r="DO7" s="512" t="n"/>
      <c r="DP7" s="512" t="n"/>
      <c r="DQ7" s="200" t="n"/>
      <c r="DR7" s="200" t="n"/>
      <c r="DS7" s="491" t="n"/>
      <c r="DT7" s="141" t="n"/>
      <c r="DU7" s="139" t="n"/>
      <c r="DV7" s="139" t="n"/>
      <c r="DW7" s="139" t="n"/>
      <c r="DX7" s="140" t="n"/>
      <c r="DY7" s="347" t="n"/>
      <c r="DZ7" s="147" t="n"/>
      <c r="EA7" s="31" t="n"/>
      <c r="EB7" s="656" t="n"/>
      <c r="EC7" s="657" t="n"/>
      <c r="ED7" s="45" t="n"/>
      <c r="EE7" s="351" t="n"/>
      <c r="EF7" s="107" t="n"/>
      <c r="EG7" s="139" t="n"/>
      <c r="EH7" s="139" t="n"/>
      <c r="EI7" s="139" t="n"/>
      <c r="EJ7" s="140" t="n"/>
      <c r="EK7" s="108" t="n"/>
      <c r="EL7" s="141" t="n"/>
      <c r="EM7" s="140" t="n"/>
      <c r="EN7" s="140" t="n"/>
      <c r="EO7" s="140" t="n"/>
      <c r="EP7" s="658" t="n"/>
      <c r="EQ7" s="659" t="n"/>
      <c r="ER7" s="107" t="n"/>
      <c r="ES7" s="140" t="n"/>
      <c r="ET7" s="140" t="n"/>
      <c r="EU7" s="107" t="n"/>
      <c r="EV7" s="587" t="n"/>
      <c r="EW7" s="587" t="n"/>
      <c r="EX7" s="141" t="n"/>
      <c r="EY7" s="140" t="n"/>
      <c r="EZ7" s="140" t="n"/>
      <c r="FA7" s="140" t="n"/>
      <c r="FB7" s="140" t="n"/>
      <c r="FC7" s="147" t="n"/>
      <c r="FD7" s="74" t="n"/>
      <c r="FE7" s="75" t="n"/>
      <c r="FF7" s="76" t="n"/>
      <c r="FG7" s="76" t="n"/>
      <c r="FH7" s="91" t="n"/>
      <c r="FI7" s="92" t="n"/>
      <c r="FJ7" s="91" t="n"/>
      <c r="FK7" s="74" t="n"/>
      <c r="FL7" s="92" t="n"/>
      <c r="FM7" s="148" t="n"/>
      <c r="FN7" s="149" t="n"/>
      <c r="FO7" s="150" t="n"/>
      <c r="FP7" s="99" t="n"/>
      <c r="FQ7" s="100" t="n"/>
      <c r="FR7" s="100" t="n"/>
      <c r="FS7" s="100" t="n"/>
      <c r="FT7" s="100" t="n"/>
      <c r="FU7" s="100" t="n"/>
      <c r="FV7" s="100" t="n"/>
      <c r="FW7" s="100" t="n"/>
      <c r="FX7" s="100" t="n"/>
      <c r="FY7" s="100" t="n"/>
      <c r="FZ7" s="100" t="n"/>
      <c r="GA7" s="102" t="n"/>
      <c r="GB7" s="15" t="n"/>
      <c r="GC7" s="546" t="n"/>
      <c r="GD7" s="546" t="n"/>
      <c r="GE7" s="17" t="n"/>
      <c r="GF7" s="15" t="n"/>
      <c r="GG7" s="546" t="n"/>
      <c r="GH7" s="546" t="n"/>
      <c r="GI7" s="17" t="n"/>
      <c r="GJ7" s="31" t="n"/>
      <c r="GK7" s="656" t="n"/>
      <c r="GL7" s="657" t="n"/>
      <c r="GM7" s="45" t="n"/>
      <c r="GN7" s="351" t="n"/>
      <c r="GO7" s="31" t="n"/>
      <c r="GP7" s="45" t="n"/>
      <c r="GQ7" s="45" t="n"/>
      <c r="GR7" s="660" t="n"/>
      <c r="GS7" s="661" t="n"/>
      <c r="GT7" s="107" t="n"/>
      <c r="GU7" s="587" t="n"/>
      <c r="GV7" s="108" t="n"/>
      <c r="GW7" s="15" t="n"/>
      <c r="GX7" s="546" t="n"/>
      <c r="GY7" s="17" t="n"/>
      <c r="GZ7" s="15" t="n"/>
      <c r="HA7" s="546" t="n"/>
      <c r="HB7" s="546" t="n"/>
      <c r="HC7" s="17" t="n"/>
      <c r="HD7" s="31" t="n"/>
      <c r="HE7" s="45" t="n"/>
      <c r="HF7" s="45" t="n"/>
      <c r="HG7" s="45" t="n"/>
      <c r="HH7" s="45" t="n"/>
      <c r="HI7" s="45" t="n"/>
      <c r="HJ7" s="45" t="n"/>
      <c r="HK7" s="45" t="n"/>
      <c r="HL7" s="45" t="n"/>
      <c r="HM7" s="45" t="n"/>
      <c r="HN7" s="45" t="n"/>
      <c r="HO7" s="351" t="n"/>
      <c r="HP7" s="606" t="n"/>
      <c r="HQ7" s="65">
        <f>AVERAGE(F7,K7,L7)</f>
        <v/>
      </c>
      <c r="HR7" s="66">
        <f>AVERAGE(C7,#REF!,M7,O7,Q7,U7,Z7)</f>
        <v/>
      </c>
      <c r="HS7" s="66">
        <f>AVERAGE(R7)</f>
        <v/>
      </c>
      <c r="HT7" s="66">
        <f>AVERAGE(N7)</f>
        <v/>
      </c>
      <c r="HU7" s="66">
        <f>AVERAGE(V7,P7,#REF!)</f>
        <v/>
      </c>
      <c r="HV7" s="66" t="n"/>
      <c r="HW7" s="66">
        <f>AVERAGE(X7)</f>
        <v/>
      </c>
      <c r="HX7" s="66" t="n"/>
      <c r="HY7" s="66" t="n"/>
      <c r="HZ7" s="66">
        <f>AVERAGE(Y7)</f>
        <v/>
      </c>
    </row>
    <row r="8" ht="15.75" customHeight="1" s="590">
      <c r="A8" s="295" t="inlineStr">
        <is>
          <t>052-26-128003</t>
        </is>
      </c>
      <c r="B8" s="296" t="inlineStr">
        <is>
          <t>Iftikhar Ahmed</t>
        </is>
      </c>
      <c r="C8" s="288" t="n">
        <v>53.57</v>
      </c>
      <c r="D8" s="288" t="n">
        <v>48.33</v>
      </c>
      <c r="E8" s="220" t="n">
        <v>85.65000000000001</v>
      </c>
      <c r="F8" s="288" t="n">
        <v>53.57</v>
      </c>
      <c r="G8" s="288" t="n">
        <v>48.33</v>
      </c>
      <c r="H8" s="288" t="n">
        <v>53.71</v>
      </c>
      <c r="I8" s="306" t="n">
        <v>83.5</v>
      </c>
      <c r="J8" s="306" t="n">
        <v>83.5</v>
      </c>
      <c r="K8" s="220" t="n">
        <v>75.61</v>
      </c>
      <c r="L8" s="561" t="n"/>
      <c r="M8" s="583" t="n"/>
      <c r="N8" s="546" t="n"/>
      <c r="O8" s="115" t="n"/>
      <c r="P8" s="117" t="n"/>
      <c r="Q8" s="225" t="n"/>
      <c r="R8" s="225" t="n"/>
      <c r="S8" s="225" t="n"/>
      <c r="T8" s="225" t="n"/>
      <c r="U8" s="225" t="n"/>
      <c r="V8" s="225" t="n"/>
      <c r="W8" s="225" t="n"/>
      <c r="X8" s="225" t="n"/>
      <c r="Y8" s="117" t="n"/>
      <c r="Z8" s="117" t="n"/>
      <c r="AA8" s="114" t="n"/>
      <c r="AB8" s="117" t="n"/>
      <c r="AC8" s="128" t="n"/>
      <c r="AD8" s="128" t="n"/>
      <c r="AE8" s="128" t="n"/>
      <c r="AF8" s="128" t="n"/>
      <c r="AG8" s="543" t="n"/>
      <c r="AH8" s="543" t="n"/>
      <c r="AI8" s="127" t="n"/>
      <c r="AJ8" s="128" t="n"/>
      <c r="AK8" s="131" t="n"/>
      <c r="AL8" s="127" t="n"/>
      <c r="AM8" s="128" t="n"/>
      <c r="AN8" s="128" t="n"/>
      <c r="AO8" s="128" t="n"/>
      <c r="AP8" s="131" t="n"/>
      <c r="AQ8" s="127" t="n"/>
      <c r="AR8" s="128" t="n"/>
      <c r="AS8" s="128" t="n"/>
      <c r="AT8" s="128" t="n"/>
      <c r="AU8" s="131" t="n"/>
      <c r="AV8" s="127" t="n"/>
      <c r="AW8" s="128" t="n"/>
      <c r="AX8" s="128" t="n"/>
      <c r="AY8" s="131" t="n"/>
      <c r="AZ8" s="131" t="n"/>
      <c r="BA8" s="131" t="n"/>
      <c r="BB8" s="131" t="n"/>
      <c r="BC8" s="114" t="n"/>
      <c r="BD8" s="546" t="n"/>
      <c r="BE8" s="511" t="n"/>
      <c r="BF8" s="114" t="n"/>
      <c r="BG8" s="546" t="n"/>
      <c r="BH8" s="511" t="n"/>
      <c r="BI8" s="114" t="n"/>
      <c r="BJ8" s="546" t="n"/>
      <c r="BK8" s="546" t="n"/>
      <c r="BL8" s="546" t="n"/>
      <c r="BM8" s="546" t="n"/>
      <c r="BN8" s="546" t="n"/>
      <c r="BO8" s="511" t="n"/>
      <c r="BP8" s="546" t="n"/>
      <c r="BQ8" s="546" t="n"/>
      <c r="BR8" s="546" t="n"/>
      <c r="BS8" s="546" t="n"/>
      <c r="BT8" s="546" t="n"/>
      <c r="BU8" s="546" t="n"/>
      <c r="BV8" s="546" t="n"/>
      <c r="BW8" s="15" t="n"/>
      <c r="BX8" s="546" t="n"/>
      <c r="BY8" s="546" t="n"/>
      <c r="BZ8" s="546" t="n"/>
      <c r="CA8" s="546" t="n"/>
      <c r="CB8" s="546" t="n"/>
      <c r="CC8" s="15" t="n"/>
      <c r="CD8" s="546" t="n"/>
      <c r="CE8" s="546" t="n"/>
      <c r="CF8" s="17" t="n"/>
      <c r="CG8" s="546" t="n"/>
      <c r="CH8" s="546" t="n"/>
      <c r="CI8" s="546" t="n"/>
      <c r="CJ8" s="546" t="n"/>
      <c r="CK8" s="583" t="n"/>
      <c r="CL8" s="15" t="n"/>
      <c r="CM8" s="15" t="n"/>
      <c r="CN8" s="15" t="n"/>
      <c r="CO8" s="15" t="n"/>
      <c r="CP8" s="546" t="n"/>
      <c r="CQ8" s="17" t="n"/>
      <c r="CR8" s="74" t="n"/>
      <c r="CS8" s="75" t="n"/>
      <c r="CT8" s="76" t="n"/>
      <c r="CU8" s="76" t="n"/>
      <c r="CV8" s="91" t="n"/>
      <c r="CW8" s="546" t="n"/>
      <c r="CX8" s="546" t="n"/>
      <c r="CY8" s="546" t="n"/>
      <c r="CZ8" s="546" t="n"/>
      <c r="DA8" s="583" t="n"/>
      <c r="DB8" s="141" t="n"/>
      <c r="DC8" s="162" t="n"/>
      <c r="DD8" s="162" t="n"/>
      <c r="DE8" s="512" t="n"/>
      <c r="DF8" s="491" t="n"/>
      <c r="DG8" s="141" t="n"/>
      <c r="DH8" s="139" t="n"/>
      <c r="DI8" s="139" t="n"/>
      <c r="DJ8" s="139" t="n"/>
      <c r="DK8" s="347" t="n"/>
      <c r="DL8" s="348" t="n"/>
      <c r="DM8" s="162" t="n"/>
      <c r="DN8" s="162" t="n"/>
      <c r="DO8" s="162" t="n"/>
      <c r="DP8" s="162" t="n"/>
      <c r="DQ8" s="201" t="n"/>
      <c r="DR8" s="201" t="n"/>
      <c r="DS8" s="163" t="n"/>
      <c r="DT8" s="141" t="n"/>
      <c r="DU8" s="139" t="n"/>
      <c r="DV8" s="139" t="n"/>
      <c r="DW8" s="139" t="n"/>
      <c r="DX8" s="140" t="n"/>
      <c r="DY8" s="347" t="n"/>
      <c r="DZ8" s="147" t="n"/>
      <c r="EA8" s="31" t="n"/>
      <c r="EB8" s="349" t="n"/>
      <c r="EC8" s="349" t="n"/>
      <c r="ED8" s="45" t="n"/>
      <c r="EE8" s="351" t="n"/>
      <c r="EF8" s="107" t="n"/>
      <c r="EG8" s="139" t="n"/>
      <c r="EH8" s="139" t="n"/>
      <c r="EI8" s="139" t="n"/>
      <c r="EJ8" s="140" t="n"/>
      <c r="EK8" s="108" t="n"/>
      <c r="EL8" s="141" t="n"/>
      <c r="EM8" s="140" t="n"/>
      <c r="EN8" s="140" t="n"/>
      <c r="EO8" s="140" t="n"/>
      <c r="EP8" s="347" t="n"/>
      <c r="EQ8" s="348" t="n"/>
      <c r="ER8" s="107" t="n"/>
      <c r="ES8" s="140" t="n"/>
      <c r="ET8" s="140" t="n"/>
      <c r="EU8" s="107" t="n"/>
      <c r="EV8" s="587" t="n"/>
      <c r="EW8" s="587" t="n"/>
      <c r="EX8" s="141" t="n"/>
      <c r="EY8" s="140" t="n"/>
      <c r="EZ8" s="140" t="n"/>
      <c r="FA8" s="140" t="n"/>
      <c r="FB8" s="140" t="n"/>
      <c r="FC8" s="147" t="n"/>
      <c r="FD8" s="74" t="n"/>
      <c r="FE8" s="75" t="n"/>
      <c r="FF8" s="76" t="n"/>
      <c r="FG8" s="76" t="n"/>
      <c r="FH8" s="91" t="n"/>
      <c r="FI8" s="92" t="n"/>
      <c r="FJ8" s="91" t="n"/>
      <c r="FK8" s="74" t="n"/>
      <c r="FL8" s="92" t="n"/>
      <c r="FM8" s="148" t="n"/>
      <c r="FN8" s="149" t="n"/>
      <c r="FO8" s="150" t="n"/>
      <c r="FP8" s="99" t="n"/>
      <c r="FQ8" s="100" t="n"/>
      <c r="FR8" s="100" t="n"/>
      <c r="FS8" s="100" t="n"/>
      <c r="FT8" s="100" t="n"/>
      <c r="FU8" s="100" t="n"/>
      <c r="FV8" s="100" t="n"/>
      <c r="FW8" s="100" t="n"/>
      <c r="FX8" s="100" t="n"/>
      <c r="FY8" s="100" t="n"/>
      <c r="FZ8" s="100" t="n"/>
      <c r="GA8" s="102" t="n"/>
      <c r="GB8" s="15" t="n"/>
      <c r="GC8" s="546" t="n"/>
      <c r="GD8" s="546" t="n"/>
      <c r="GE8" s="17" t="n"/>
      <c r="GF8" s="15" t="n"/>
      <c r="GG8" s="546" t="n"/>
      <c r="GH8" s="546" t="n"/>
      <c r="GI8" s="17" t="n"/>
      <c r="GJ8" s="31" t="n"/>
      <c r="GK8" s="349" t="n"/>
      <c r="GL8" s="349" t="n"/>
      <c r="GM8" s="45" t="n"/>
      <c r="GN8" s="351" t="n"/>
      <c r="GO8" s="31" t="n"/>
      <c r="GP8" s="45" t="n"/>
      <c r="GQ8" s="45" t="n"/>
      <c r="GR8" s="350" t="n"/>
      <c r="GS8" s="351" t="n"/>
      <c r="GT8" s="107" t="n"/>
      <c r="GU8" s="587" t="n"/>
      <c r="GV8" s="108" t="n"/>
      <c r="GW8" s="15" t="n"/>
      <c r="GX8" s="546" t="n"/>
      <c r="GY8" s="17" t="n"/>
      <c r="GZ8" s="15" t="n"/>
      <c r="HA8" s="546" t="n"/>
      <c r="HB8" s="546" t="n"/>
      <c r="HC8" s="17" t="n"/>
      <c r="HD8" s="31" t="n"/>
      <c r="HE8" s="45" t="n"/>
      <c r="HF8" s="45" t="n"/>
      <c r="HG8" s="45" t="n"/>
      <c r="HH8" s="45" t="n"/>
      <c r="HI8" s="45" t="n"/>
      <c r="HJ8" s="45" t="n"/>
      <c r="HK8" s="45" t="n"/>
      <c r="HL8" s="45" t="n"/>
      <c r="HM8" s="45" t="n"/>
      <c r="HN8" s="45" t="n"/>
      <c r="HO8" s="351" t="n"/>
      <c r="HP8" s="606" t="n"/>
      <c r="HQ8" s="65">
        <f>AVERAGE(F8,K8,L8)</f>
        <v/>
      </c>
      <c r="HR8" s="66">
        <f>AVERAGE(C8,#REF!,M8,O8,Q8,U8,Z8)</f>
        <v/>
      </c>
      <c r="HS8" s="66">
        <f>AVERAGE(R8)</f>
        <v/>
      </c>
      <c r="HT8" s="66">
        <f>AVERAGE(N8)</f>
        <v/>
      </c>
      <c r="HU8" s="66">
        <f>AVERAGE(V8,P8,#REF!)</f>
        <v/>
      </c>
      <c r="HV8" s="66" t="n"/>
      <c r="HW8" s="66">
        <f>AVERAGE(X8)</f>
        <v/>
      </c>
      <c r="HX8" s="66" t="n"/>
      <c r="HY8" s="66" t="n"/>
      <c r="HZ8" s="66">
        <f>AVERAGE(Y8)</f>
        <v/>
      </c>
    </row>
    <row r="9" ht="15.75" customHeight="1" s="590">
      <c r="A9" s="295" t="inlineStr">
        <is>
          <t>052-26-128005</t>
        </is>
      </c>
      <c r="B9" s="296" t="inlineStr">
        <is>
          <t>Shah nawaz</t>
        </is>
      </c>
      <c r="C9" s="288" t="n">
        <v>83.81</v>
      </c>
      <c r="D9" s="288" t="n">
        <v>61.39</v>
      </c>
      <c r="E9" s="220" t="n">
        <v>90</v>
      </c>
      <c r="F9" s="288" t="n">
        <v>83.81</v>
      </c>
      <c r="G9" s="288" t="n">
        <v>61.39</v>
      </c>
      <c r="H9" s="288" t="n">
        <v>7</v>
      </c>
      <c r="I9" s="306" t="n">
        <v>62</v>
      </c>
      <c r="J9" s="306" t="n">
        <v>20.5</v>
      </c>
      <c r="K9" s="220" t="n">
        <v>92.28</v>
      </c>
      <c r="L9" s="561" t="n"/>
      <c r="M9" s="583" t="n"/>
      <c r="N9" s="546" t="n"/>
      <c r="O9" s="115" t="n"/>
      <c r="P9" s="117" t="n"/>
      <c r="Q9" s="225" t="n"/>
      <c r="R9" s="225" t="n"/>
      <c r="S9" s="225" t="n"/>
      <c r="T9" s="225" t="n"/>
      <c r="U9" s="225" t="n"/>
      <c r="V9" s="225" t="n"/>
      <c r="W9" s="225" t="n"/>
      <c r="X9" s="225" t="n"/>
      <c r="Y9" s="117" t="n"/>
      <c r="Z9" s="117" t="n"/>
      <c r="AA9" s="114" t="n"/>
      <c r="AB9" s="117" t="n"/>
      <c r="AC9" s="128" t="n"/>
      <c r="AD9" s="128" t="n"/>
      <c r="AE9" s="128" t="n"/>
      <c r="AF9" s="128" t="n"/>
      <c r="AG9" s="543" t="n"/>
      <c r="AH9" s="543" t="n"/>
      <c r="AI9" s="127" t="n"/>
      <c r="AJ9" s="128" t="n"/>
      <c r="AK9" s="131" t="n"/>
      <c r="AL9" s="127" t="n"/>
      <c r="AM9" s="128" t="n"/>
      <c r="AN9" s="128" t="n"/>
      <c r="AO9" s="128" t="n"/>
      <c r="AP9" s="131" t="n"/>
      <c r="AQ9" s="127" t="n"/>
      <c r="AR9" s="128" t="n"/>
      <c r="AS9" s="128" t="n"/>
      <c r="AT9" s="128" t="n"/>
      <c r="AU9" s="131" t="n"/>
      <c r="AV9" s="127" t="n"/>
      <c r="AW9" s="128" t="n"/>
      <c r="AX9" s="128" t="n"/>
      <c r="AY9" s="131" t="n"/>
      <c r="AZ9" s="131" t="n"/>
      <c r="BA9" s="131" t="n"/>
      <c r="BB9" s="131" t="n"/>
      <c r="BC9" s="114" t="n"/>
      <c r="BD9" s="546" t="n"/>
      <c r="BE9" s="511" t="n"/>
      <c r="BF9" s="114" t="n"/>
      <c r="BG9" s="546" t="n"/>
      <c r="BH9" s="511" t="n"/>
      <c r="BI9" s="114" t="n"/>
      <c r="BJ9" s="546" t="n"/>
      <c r="BK9" s="546" t="n"/>
      <c r="BL9" s="546" t="n"/>
      <c r="BM9" s="546" t="n"/>
      <c r="BN9" s="546" t="n"/>
      <c r="BO9" s="511" t="n"/>
      <c r="BP9" s="546" t="n"/>
      <c r="BQ9" s="546" t="n"/>
      <c r="BR9" s="546" t="n"/>
      <c r="BS9" s="546" t="n"/>
      <c r="BT9" s="546" t="n"/>
      <c r="BU9" s="546" t="n"/>
      <c r="BV9" s="546" t="n"/>
      <c r="BW9" s="15" t="n"/>
      <c r="BX9" s="546" t="n"/>
      <c r="BY9" s="546" t="n"/>
      <c r="BZ9" s="546" t="n"/>
      <c r="CA9" s="546" t="n"/>
      <c r="CB9" s="546" t="n"/>
      <c r="CC9" s="15" t="n"/>
      <c r="CD9" s="546" t="n"/>
      <c r="CE9" s="546" t="n"/>
      <c r="CF9" s="17" t="n"/>
      <c r="CG9" s="546" t="n"/>
      <c r="CH9" s="546" t="n"/>
      <c r="CI9" s="546" t="n"/>
      <c r="CJ9" s="546" t="n"/>
      <c r="CK9" s="583" t="n"/>
      <c r="CL9" s="15" t="n"/>
      <c r="CM9" s="15" t="n"/>
      <c r="CN9" s="15" t="n"/>
      <c r="CO9" s="15" t="n"/>
      <c r="CP9" s="546" t="n"/>
      <c r="CQ9" s="17" t="n"/>
      <c r="CR9" s="74" t="n"/>
      <c r="CS9" s="75" t="n"/>
      <c r="CT9" s="76" t="n"/>
      <c r="CU9" s="76" t="n"/>
      <c r="CV9" s="91" t="n"/>
      <c r="CW9" s="546" t="n"/>
      <c r="CX9" s="546" t="n"/>
      <c r="CY9" s="546" t="n"/>
      <c r="CZ9" s="546" t="n"/>
      <c r="DA9" s="583" t="n"/>
      <c r="DB9" s="141" t="n"/>
      <c r="DC9" s="162" t="n"/>
      <c r="DD9" s="162" t="n"/>
      <c r="DE9" s="662" t="n"/>
      <c r="DF9" s="663" t="n"/>
      <c r="DG9" s="141" t="n"/>
      <c r="DH9" s="139" t="n"/>
      <c r="DI9" s="139" t="n"/>
      <c r="DJ9" s="139" t="n"/>
      <c r="DK9" s="147" t="n"/>
      <c r="DL9" s="664" t="n"/>
      <c r="DM9" s="162" t="n"/>
      <c r="DN9" s="162" t="n"/>
      <c r="DO9" s="162" t="n"/>
      <c r="DP9" s="162" t="n"/>
      <c r="DQ9" s="201" t="n"/>
      <c r="DR9" s="201" t="n"/>
      <c r="DS9" s="163" t="n"/>
      <c r="DT9" s="141" t="n"/>
      <c r="DU9" s="139" t="n"/>
      <c r="DV9" s="139" t="n"/>
      <c r="DW9" s="139" t="n"/>
      <c r="DX9" s="140" t="n"/>
      <c r="DY9" s="347" t="n"/>
      <c r="DZ9" s="147" t="n"/>
      <c r="EA9" s="31" t="n"/>
      <c r="EB9" s="45" t="n"/>
      <c r="EC9" s="665" t="n"/>
      <c r="ED9" s="45" t="n"/>
      <c r="EE9" s="351" t="n"/>
      <c r="EF9" s="107" t="n"/>
      <c r="EG9" s="139" t="n"/>
      <c r="EH9" s="139" t="n"/>
      <c r="EI9" s="139" t="n"/>
      <c r="EJ9" s="140" t="n"/>
      <c r="EK9" s="108" t="n"/>
      <c r="EL9" s="141" t="n"/>
      <c r="EM9" s="140" t="n"/>
      <c r="EN9" s="140" t="n"/>
      <c r="EO9" s="140" t="n"/>
      <c r="EP9" s="108" t="n"/>
      <c r="EQ9" s="666" t="n"/>
      <c r="ER9" s="107" t="n"/>
      <c r="ES9" s="140" t="n"/>
      <c r="ET9" s="140" t="n"/>
      <c r="EU9" s="107" t="n"/>
      <c r="EV9" s="587" t="n"/>
      <c r="EW9" s="587" t="n"/>
      <c r="EX9" s="141" t="n"/>
      <c r="EY9" s="140" t="n"/>
      <c r="EZ9" s="140" t="n"/>
      <c r="FA9" s="140" t="n"/>
      <c r="FB9" s="140" t="n"/>
      <c r="FC9" s="147" t="n"/>
      <c r="FD9" s="74" t="n"/>
      <c r="FE9" s="75" t="n"/>
      <c r="FF9" s="76" t="n"/>
      <c r="FG9" s="76" t="n"/>
      <c r="FH9" s="91" t="n"/>
      <c r="FI9" s="92" t="n"/>
      <c r="FJ9" s="91" t="n"/>
      <c r="FK9" s="74" t="n"/>
      <c r="FL9" s="92" t="n"/>
      <c r="FM9" s="148" t="n"/>
      <c r="FN9" s="149" t="n"/>
      <c r="FO9" s="150" t="n"/>
      <c r="FP9" s="99" t="n"/>
      <c r="FQ9" s="100" t="n"/>
      <c r="FR9" s="100" t="n"/>
      <c r="FS9" s="100" t="n"/>
      <c r="FT9" s="100" t="n"/>
      <c r="FU9" s="100" t="n"/>
      <c r="FV9" s="100" t="n"/>
      <c r="FW9" s="100" t="n"/>
      <c r="FX9" s="100" t="n"/>
      <c r="FY9" s="100" t="n"/>
      <c r="FZ9" s="100" t="n"/>
      <c r="GA9" s="102" t="n"/>
      <c r="GB9" s="15" t="n"/>
      <c r="GC9" s="546" t="n"/>
      <c r="GD9" s="546" t="n"/>
      <c r="GE9" s="17" t="n"/>
      <c r="GF9" s="15" t="n"/>
      <c r="GG9" s="546" t="n"/>
      <c r="GH9" s="546" t="n"/>
      <c r="GI9" s="17" t="n"/>
      <c r="GJ9" s="31" t="n"/>
      <c r="GK9" s="45" t="n"/>
      <c r="GL9" s="665" t="n"/>
      <c r="GM9" s="45" t="n"/>
      <c r="GN9" s="351" t="n"/>
      <c r="GO9" s="31" t="n"/>
      <c r="GP9" s="45" t="n"/>
      <c r="GQ9" s="45" t="n"/>
      <c r="GR9" s="667" t="n"/>
      <c r="GS9" s="668" t="n"/>
      <c r="GT9" s="107" t="n"/>
      <c r="GU9" s="587" t="n"/>
      <c r="GV9" s="108" t="n"/>
      <c r="GW9" s="15" t="n"/>
      <c r="GX9" s="546" t="n"/>
      <c r="GY9" s="17" t="n"/>
      <c r="GZ9" s="15" t="n"/>
      <c r="HA9" s="546" t="n"/>
      <c r="HB9" s="546" t="n"/>
      <c r="HC9" s="17" t="n"/>
      <c r="HD9" s="31" t="n"/>
      <c r="HE9" s="45" t="n"/>
      <c r="HF9" s="45" t="n"/>
      <c r="HG9" s="45" t="n"/>
      <c r="HH9" s="45" t="n"/>
      <c r="HI9" s="45" t="n"/>
      <c r="HJ9" s="45" t="n"/>
      <c r="HK9" s="45" t="n"/>
      <c r="HL9" s="45" t="n"/>
      <c r="HM9" s="45" t="n"/>
      <c r="HN9" s="45" t="n"/>
      <c r="HO9" s="351" t="n"/>
      <c r="HP9" s="606" t="n"/>
      <c r="HQ9" s="65">
        <f>AVERAGE(F9,K9,L9)</f>
        <v/>
      </c>
      <c r="HR9" s="66">
        <f>AVERAGE(C9,#REF!,M9,O9,Q9,U9,Z9)</f>
        <v/>
      </c>
      <c r="HS9" s="66">
        <f>AVERAGE(R9)</f>
        <v/>
      </c>
      <c r="HT9" s="66">
        <f>AVERAGE(N9)</f>
        <v/>
      </c>
      <c r="HU9" s="66">
        <f>AVERAGE(V9,P9,#REF!)</f>
        <v/>
      </c>
      <c r="HV9" s="66" t="n"/>
      <c r="HW9" s="66">
        <f>AVERAGE(X9)</f>
        <v/>
      </c>
      <c r="HX9" s="66" t="n"/>
      <c r="HY9" s="66" t="n"/>
      <c r="HZ9" s="66">
        <f>AVERAGE(Y9)</f>
        <v/>
      </c>
    </row>
    <row r="10" ht="15.75" customHeight="1" s="590">
      <c r="A10" s="295" t="inlineStr">
        <is>
          <t>052-26-128006</t>
        </is>
      </c>
      <c r="B10" s="296" t="inlineStr">
        <is>
          <t>Hamid Safeer</t>
        </is>
      </c>
      <c r="C10" s="288" t="n">
        <v>77.38</v>
      </c>
      <c r="D10" s="288" t="n">
        <v>70.28</v>
      </c>
      <c r="E10" s="220" t="n">
        <v>85.65000000000001</v>
      </c>
      <c r="F10" s="288" t="n">
        <v>77.38</v>
      </c>
      <c r="G10" s="288" t="n">
        <v>70.28</v>
      </c>
      <c r="H10" s="288" t="n">
        <v>69</v>
      </c>
      <c r="I10" s="306" t="n">
        <v>81.67</v>
      </c>
      <c r="J10" s="306" t="n">
        <v>79.23</v>
      </c>
      <c r="K10" s="220" t="n">
        <v>81.93000000000001</v>
      </c>
      <c r="L10" s="561" t="n"/>
      <c r="M10" s="583" t="n"/>
      <c r="N10" s="546" t="n"/>
      <c r="O10" s="115" t="n"/>
      <c r="P10" s="117" t="n"/>
      <c r="Q10" s="225" t="n"/>
      <c r="R10" s="225" t="n"/>
      <c r="S10" s="225" t="n"/>
      <c r="T10" s="225" t="n"/>
      <c r="U10" s="225" t="n"/>
      <c r="V10" s="225" t="n"/>
      <c r="W10" s="225" t="n"/>
      <c r="X10" s="225" t="n"/>
      <c r="Y10" s="117" t="n"/>
      <c r="Z10" s="117" t="n"/>
      <c r="AA10" s="114" t="n"/>
      <c r="AB10" s="117" t="n"/>
      <c r="AC10" s="128" t="n"/>
      <c r="AD10" s="128" t="n"/>
      <c r="AE10" s="128" t="n"/>
      <c r="AF10" s="128" t="n"/>
      <c r="AG10" s="543" t="n"/>
      <c r="AH10" s="543" t="n"/>
      <c r="AI10" s="127" t="n"/>
      <c r="AJ10" s="128" t="n"/>
      <c r="AK10" s="131" t="n"/>
      <c r="AL10" s="127" t="n"/>
      <c r="AM10" s="128" t="n"/>
      <c r="AN10" s="128" t="n"/>
      <c r="AO10" s="128" t="n"/>
      <c r="AP10" s="131" t="n"/>
      <c r="AQ10" s="127" t="n"/>
      <c r="AR10" s="128" t="n"/>
      <c r="AS10" s="128" t="n"/>
      <c r="AT10" s="128" t="n"/>
      <c r="AU10" s="131" t="n"/>
      <c r="AV10" s="127" t="n"/>
      <c r="AW10" s="128" t="n"/>
      <c r="AX10" s="128" t="n"/>
      <c r="AY10" s="131" t="n"/>
      <c r="AZ10" s="131" t="n"/>
      <c r="BA10" s="131" t="n"/>
      <c r="BB10" s="131" t="n"/>
      <c r="BC10" s="114" t="n"/>
      <c r="BD10" s="546" t="n"/>
      <c r="BE10" s="511" t="n"/>
      <c r="BF10" s="114" t="n"/>
      <c r="BG10" s="546" t="n"/>
      <c r="BH10" s="511" t="n"/>
      <c r="BI10" s="114" t="n"/>
      <c r="BJ10" s="546" t="n"/>
      <c r="BK10" s="546" t="n"/>
      <c r="BL10" s="546" t="n"/>
      <c r="BM10" s="546" t="n"/>
      <c r="BN10" s="546" t="n"/>
      <c r="BO10" s="511" t="n"/>
      <c r="BP10" s="546" t="n"/>
      <c r="BQ10" s="546" t="n"/>
      <c r="BR10" s="546" t="n"/>
      <c r="BS10" s="546" t="n"/>
      <c r="BT10" s="546" t="n"/>
      <c r="BU10" s="546" t="n"/>
      <c r="BV10" s="546" t="n"/>
      <c r="BW10" s="15" t="n"/>
      <c r="BX10" s="546" t="n"/>
      <c r="BY10" s="546" t="n"/>
      <c r="BZ10" s="546" t="n"/>
      <c r="CA10" s="546" t="n"/>
      <c r="CB10" s="546" t="n"/>
      <c r="CC10" s="15" t="n"/>
      <c r="CD10" s="546" t="n"/>
      <c r="CE10" s="546" t="n"/>
      <c r="CF10" s="17" t="n"/>
      <c r="CG10" s="546" t="n"/>
      <c r="CH10" s="546" t="n"/>
      <c r="CI10" s="546" t="n"/>
      <c r="CJ10" s="546" t="n"/>
      <c r="CK10" s="583" t="n"/>
      <c r="CL10" s="15" t="n"/>
      <c r="CM10" s="15" t="n"/>
      <c r="CN10" s="15" t="n"/>
      <c r="CO10" s="15" t="n"/>
      <c r="CP10" s="546" t="n"/>
      <c r="CQ10" s="17" t="n"/>
      <c r="CR10" s="74" t="n"/>
      <c r="CS10" s="75" t="n"/>
      <c r="CT10" s="76" t="n"/>
      <c r="CU10" s="76" t="n"/>
      <c r="CV10" s="91" t="n"/>
      <c r="CW10" s="546" t="n"/>
      <c r="CX10" s="546" t="n"/>
      <c r="CY10" s="546" t="n"/>
      <c r="CZ10" s="546" t="n"/>
      <c r="DA10" s="583" t="n"/>
      <c r="DB10" s="141" t="n"/>
      <c r="DC10" s="162" t="n"/>
      <c r="DD10" s="162" t="n"/>
      <c r="DE10" s="512" t="n"/>
      <c r="DF10" s="491" t="n"/>
      <c r="DG10" s="141" t="n"/>
      <c r="DH10" s="139" t="n"/>
      <c r="DI10" s="139" t="n"/>
      <c r="DJ10" s="139" t="n"/>
      <c r="DK10" s="347" t="n"/>
      <c r="DL10" s="348" t="n"/>
      <c r="DM10" s="162" t="n"/>
      <c r="DN10" s="162" t="n"/>
      <c r="DO10" s="162" t="n"/>
      <c r="DP10" s="162" t="n"/>
      <c r="DQ10" s="201" t="n"/>
      <c r="DR10" s="201" t="n"/>
      <c r="DS10" s="163" t="n"/>
      <c r="DT10" s="141" t="n"/>
      <c r="DU10" s="139" t="n"/>
      <c r="DV10" s="139" t="n"/>
      <c r="DW10" s="139" t="n"/>
      <c r="DX10" s="140" t="n"/>
      <c r="DY10" s="347" t="n"/>
      <c r="DZ10" s="147" t="n"/>
      <c r="EA10" s="31" t="n"/>
      <c r="EB10" s="349" t="n"/>
      <c r="EC10" s="349" t="n"/>
      <c r="ED10" s="45" t="n"/>
      <c r="EE10" s="351" t="n"/>
      <c r="EF10" s="107" t="n"/>
      <c r="EG10" s="139" t="n"/>
      <c r="EH10" s="139" t="n"/>
      <c r="EI10" s="139" t="n"/>
      <c r="EJ10" s="140" t="n"/>
      <c r="EK10" s="108" t="n"/>
      <c r="EL10" s="141" t="n"/>
      <c r="EM10" s="140" t="n"/>
      <c r="EN10" s="140" t="n"/>
      <c r="EO10" s="140" t="n"/>
      <c r="EP10" s="347" t="n"/>
      <c r="EQ10" s="348" t="n"/>
      <c r="ER10" s="107" t="n"/>
      <c r="ES10" s="140" t="n"/>
      <c r="ET10" s="140" t="n"/>
      <c r="EU10" s="107" t="n"/>
      <c r="EV10" s="587" t="n"/>
      <c r="EW10" s="587" t="n"/>
      <c r="EX10" s="141" t="n"/>
      <c r="EY10" s="140" t="n"/>
      <c r="EZ10" s="140" t="n"/>
      <c r="FA10" s="140" t="n"/>
      <c r="FB10" s="140" t="n"/>
      <c r="FC10" s="147" t="n"/>
      <c r="FD10" s="74" t="n"/>
      <c r="FE10" s="75" t="n"/>
      <c r="FF10" s="76" t="n"/>
      <c r="FG10" s="76" t="n"/>
      <c r="FH10" s="91" t="n"/>
      <c r="FI10" s="92" t="n"/>
      <c r="FJ10" s="91" t="n"/>
      <c r="FK10" s="74" t="n"/>
      <c r="FL10" s="92" t="n"/>
      <c r="FM10" s="148" t="n"/>
      <c r="FN10" s="149" t="n"/>
      <c r="FO10" s="150" t="n"/>
      <c r="FP10" s="99" t="n"/>
      <c r="FQ10" s="100" t="n"/>
      <c r="FR10" s="100" t="n"/>
      <c r="FS10" s="100" t="n"/>
      <c r="FT10" s="100" t="n"/>
      <c r="FU10" s="100" t="n"/>
      <c r="FV10" s="100" t="n"/>
      <c r="FW10" s="100" t="n"/>
      <c r="FX10" s="100" t="n"/>
      <c r="FY10" s="100" t="n"/>
      <c r="FZ10" s="100" t="n"/>
      <c r="GA10" s="102" t="n"/>
      <c r="GB10" s="15" t="n"/>
      <c r="GC10" s="546" t="n"/>
      <c r="GD10" s="546" t="n"/>
      <c r="GE10" s="17" t="n"/>
      <c r="GF10" s="15" t="n"/>
      <c r="GG10" s="546" t="n"/>
      <c r="GH10" s="546" t="n"/>
      <c r="GI10" s="17" t="n"/>
      <c r="GJ10" s="31" t="n"/>
      <c r="GK10" s="349" t="n"/>
      <c r="GL10" s="349" t="n"/>
      <c r="GM10" s="45" t="n"/>
      <c r="GN10" s="351" t="n"/>
      <c r="GO10" s="31" t="n"/>
      <c r="GP10" s="45" t="n"/>
      <c r="GQ10" s="45" t="n"/>
      <c r="GR10" s="350" t="n"/>
      <c r="GS10" s="351" t="n"/>
      <c r="GT10" s="107" t="n"/>
      <c r="GU10" s="587" t="n"/>
      <c r="GV10" s="108" t="n"/>
      <c r="GW10" s="15" t="n"/>
      <c r="GX10" s="546" t="n"/>
      <c r="GY10" s="17" t="n"/>
      <c r="GZ10" s="15" t="n"/>
      <c r="HA10" s="546" t="n"/>
      <c r="HB10" s="546" t="n"/>
      <c r="HC10" s="17" t="n"/>
      <c r="HD10" s="31" t="n"/>
      <c r="HE10" s="45" t="n"/>
      <c r="HF10" s="45" t="n"/>
      <c r="HG10" s="45" t="n"/>
      <c r="HH10" s="45" t="n"/>
      <c r="HI10" s="45" t="n"/>
      <c r="HJ10" s="45" t="n"/>
      <c r="HK10" s="45" t="n"/>
      <c r="HL10" s="45" t="n"/>
      <c r="HM10" s="45" t="n"/>
      <c r="HN10" s="45" t="n"/>
      <c r="HO10" s="351" t="n"/>
      <c r="HP10" s="606" t="n"/>
      <c r="HQ10" s="65">
        <f>AVERAGE(F10,K10,L10)</f>
        <v/>
      </c>
      <c r="HR10" s="66">
        <f>AVERAGE(C10,#REF!,M10,O10,Q10,U10,Z10)</f>
        <v/>
      </c>
      <c r="HS10" s="66">
        <f>AVERAGE(R10)</f>
        <v/>
      </c>
      <c r="HT10" s="66">
        <f>AVERAGE(N10)</f>
        <v/>
      </c>
      <c r="HU10" s="66">
        <f>AVERAGE(V10,P10,#REF!)</f>
        <v/>
      </c>
      <c r="HV10" s="66" t="n"/>
      <c r="HW10" s="66">
        <f>AVERAGE(X10)</f>
        <v/>
      </c>
      <c r="HX10" s="66" t="n"/>
      <c r="HY10" s="66" t="n"/>
      <c r="HZ10" s="66">
        <f>AVERAGE(Y10)</f>
        <v/>
      </c>
    </row>
    <row r="11" ht="15.75" customHeight="1" s="590">
      <c r="A11" s="295" t="inlineStr">
        <is>
          <t>052-26-128008</t>
        </is>
      </c>
      <c r="B11" s="296" t="inlineStr">
        <is>
          <t>Aazib Ilyas</t>
        </is>
      </c>
      <c r="C11" s="288" t="n">
        <v>83.33</v>
      </c>
      <c r="D11" s="288" t="n">
        <v>73.06</v>
      </c>
      <c r="E11" s="220" t="n">
        <v>85.65000000000001</v>
      </c>
      <c r="F11" s="288" t="n">
        <v>83.33</v>
      </c>
      <c r="G11" s="288" t="n">
        <v>73.06</v>
      </c>
      <c r="H11" s="288" t="n">
        <v>42</v>
      </c>
      <c r="I11" s="306" t="n">
        <v>48.67</v>
      </c>
      <c r="J11" s="306" t="n">
        <v>48.67</v>
      </c>
      <c r="K11" s="220" t="n">
        <v>85.95999999999999</v>
      </c>
      <c r="L11" s="561" t="n"/>
      <c r="M11" s="583" t="n"/>
      <c r="N11" s="546" t="n"/>
      <c r="O11" s="115" t="n"/>
      <c r="P11" s="117" t="n"/>
      <c r="Q11" s="225" t="n"/>
      <c r="R11" s="225" t="n"/>
      <c r="S11" s="225" t="n"/>
      <c r="T11" s="225" t="n"/>
      <c r="U11" s="225" t="n"/>
      <c r="V11" s="225" t="n"/>
      <c r="W11" s="225" t="n"/>
      <c r="X11" s="225" t="n"/>
      <c r="Y11" s="117" t="n"/>
      <c r="Z11" s="117" t="n"/>
      <c r="AA11" s="114" t="n"/>
      <c r="AB11" s="117" t="n"/>
      <c r="AC11" s="128" t="n"/>
      <c r="AD11" s="128" t="n"/>
      <c r="AE11" s="128" t="n"/>
      <c r="AF11" s="128" t="n"/>
      <c r="AG11" s="543" t="n"/>
      <c r="AH11" s="543" t="n"/>
      <c r="AI11" s="127" t="n"/>
      <c r="AJ11" s="128" t="n"/>
      <c r="AK11" s="131" t="n"/>
      <c r="AL11" s="127" t="n"/>
      <c r="AM11" s="128" t="n"/>
      <c r="AN11" s="128" t="n"/>
      <c r="AO11" s="128" t="n"/>
      <c r="AP11" s="131" t="n"/>
      <c r="AQ11" s="127" t="n"/>
      <c r="AR11" s="128" t="n"/>
      <c r="AS11" s="128" t="n"/>
      <c r="AT11" s="128" t="n"/>
      <c r="AU11" s="131" t="n"/>
      <c r="AV11" s="127" t="n"/>
      <c r="AW11" s="128" t="n"/>
      <c r="AX11" s="128" t="n"/>
      <c r="AY11" s="131" t="n"/>
      <c r="AZ11" s="131" t="n"/>
      <c r="BA11" s="131" t="n"/>
      <c r="BB11" s="131" t="n"/>
      <c r="BC11" s="114" t="n"/>
      <c r="BD11" s="546" t="n"/>
      <c r="BE11" s="511" t="n"/>
      <c r="BF11" s="114" t="n"/>
      <c r="BG11" s="546" t="n"/>
      <c r="BH11" s="511" t="n"/>
      <c r="BI11" s="114" t="n"/>
      <c r="BJ11" s="546" t="n"/>
      <c r="BK11" s="546" t="n"/>
      <c r="BL11" s="546" t="n"/>
      <c r="BM11" s="546" t="n"/>
      <c r="BN11" s="546" t="n"/>
      <c r="BO11" s="511" t="n"/>
      <c r="BP11" s="546" t="n"/>
      <c r="BQ11" s="546" t="n"/>
      <c r="BR11" s="546" t="n"/>
      <c r="BS11" s="546" t="n"/>
      <c r="BT11" s="546" t="n"/>
      <c r="BU11" s="546" t="n"/>
      <c r="BV11" s="546" t="n"/>
      <c r="BW11" s="15" t="n"/>
      <c r="BX11" s="546" t="n"/>
      <c r="BY11" s="546" t="n"/>
      <c r="BZ11" s="546" t="n"/>
      <c r="CA11" s="546" t="n"/>
      <c r="CB11" s="546" t="n"/>
      <c r="CC11" s="15" t="n"/>
      <c r="CD11" s="546" t="n"/>
      <c r="CE11" s="546" t="n"/>
      <c r="CF11" s="17" t="n"/>
      <c r="CG11" s="546" t="n"/>
      <c r="CH11" s="546" t="n"/>
      <c r="CI11" s="546" t="n"/>
      <c r="CJ11" s="546" t="n"/>
      <c r="CK11" s="583" t="n"/>
      <c r="CL11" s="15" t="n"/>
      <c r="CM11" s="15" t="n"/>
      <c r="CN11" s="15" t="n"/>
      <c r="CO11" s="15" t="n"/>
      <c r="CP11" s="546" t="n"/>
      <c r="CQ11" s="17" t="n"/>
      <c r="CR11" s="74" t="n"/>
      <c r="CS11" s="75" t="n"/>
      <c r="CT11" s="76" t="n"/>
      <c r="CU11" s="76" t="n"/>
      <c r="CV11" s="91" t="n"/>
      <c r="CW11" s="546" t="n"/>
      <c r="CX11" s="546" t="n"/>
      <c r="CY11" s="546" t="n"/>
      <c r="CZ11" s="546" t="n"/>
      <c r="DA11" s="583" t="n"/>
      <c r="DB11" s="141" t="n"/>
      <c r="DC11" s="162" t="n"/>
      <c r="DD11" s="162" t="n"/>
      <c r="DE11" s="512" t="n"/>
      <c r="DF11" s="491" t="n"/>
      <c r="DG11" s="141" t="n"/>
      <c r="DH11" s="139" t="n"/>
      <c r="DI11" s="139" t="n"/>
      <c r="DJ11" s="139" t="n"/>
      <c r="DK11" s="347" t="n"/>
      <c r="DL11" s="348" t="n"/>
      <c r="DM11" s="162" t="n"/>
      <c r="DN11" s="162" t="n"/>
      <c r="DO11" s="162" t="n"/>
      <c r="DP11" s="162" t="n"/>
      <c r="DQ11" s="201" t="n"/>
      <c r="DR11" s="201" t="n"/>
      <c r="DS11" s="163" t="n"/>
      <c r="DT11" s="141" t="n"/>
      <c r="DU11" s="139" t="n"/>
      <c r="DV11" s="139" t="n"/>
      <c r="DW11" s="139" t="n"/>
      <c r="DX11" s="140" t="n"/>
      <c r="DY11" s="347" t="n"/>
      <c r="DZ11" s="147" t="n"/>
      <c r="EA11" s="31" t="n"/>
      <c r="EB11" s="349" t="n"/>
      <c r="EC11" s="349" t="n"/>
      <c r="ED11" s="45" t="n"/>
      <c r="EE11" s="351" t="n"/>
      <c r="EF11" s="107" t="n"/>
      <c r="EG11" s="139" t="n"/>
      <c r="EH11" s="139" t="n"/>
      <c r="EI11" s="139" t="n"/>
      <c r="EJ11" s="140" t="n"/>
      <c r="EK11" s="108" t="n"/>
      <c r="EL11" s="141" t="n"/>
      <c r="EM11" s="140" t="n"/>
      <c r="EN11" s="140" t="n"/>
      <c r="EO11" s="140" t="n"/>
      <c r="EP11" s="347" t="n"/>
      <c r="EQ11" s="348" t="n"/>
      <c r="ER11" s="107" t="n"/>
      <c r="ES11" s="140" t="n"/>
      <c r="ET11" s="140" t="n"/>
      <c r="EU11" s="107" t="n"/>
      <c r="EV11" s="587" t="n"/>
      <c r="EW11" s="587" t="n"/>
      <c r="EX11" s="141" t="n"/>
      <c r="EY11" s="140" t="n"/>
      <c r="EZ11" s="140" t="n"/>
      <c r="FA11" s="140" t="n"/>
      <c r="FB11" s="140" t="n"/>
      <c r="FC11" s="147" t="n"/>
      <c r="FD11" s="74" t="n"/>
      <c r="FE11" s="75" t="n"/>
      <c r="FF11" s="76" t="n"/>
      <c r="FG11" s="76" t="n"/>
      <c r="FH11" s="91" t="n"/>
      <c r="FI11" s="92" t="n"/>
      <c r="FJ11" s="91" t="n"/>
      <c r="FK11" s="74" t="n"/>
      <c r="FL11" s="92" t="n"/>
      <c r="FM11" s="148" t="n"/>
      <c r="FN11" s="149" t="n"/>
      <c r="FO11" s="150" t="n"/>
      <c r="FP11" s="99" t="n"/>
      <c r="FQ11" s="100" t="n"/>
      <c r="FR11" s="100" t="n"/>
      <c r="FS11" s="100" t="n"/>
      <c r="FT11" s="100" t="n"/>
      <c r="FU11" s="100" t="n"/>
      <c r="FV11" s="100" t="n"/>
      <c r="FW11" s="100" t="n"/>
      <c r="FX11" s="100" t="n"/>
      <c r="FY11" s="100" t="n"/>
      <c r="FZ11" s="100" t="n"/>
      <c r="GA11" s="102" t="n"/>
      <c r="GB11" s="15" t="n"/>
      <c r="GC11" s="546" t="n"/>
      <c r="GD11" s="546" t="n"/>
      <c r="GE11" s="17" t="n"/>
      <c r="GF11" s="15" t="n"/>
      <c r="GG11" s="546" t="n"/>
      <c r="GH11" s="546" t="n"/>
      <c r="GI11" s="17" t="n"/>
      <c r="GJ11" s="31" t="n"/>
      <c r="GK11" s="349" t="n"/>
      <c r="GL11" s="349" t="n"/>
      <c r="GM11" s="45" t="n"/>
      <c r="GN11" s="351" t="n"/>
      <c r="GO11" s="31" t="n"/>
      <c r="GP11" s="45" t="n"/>
      <c r="GQ11" s="45" t="n"/>
      <c r="GR11" s="350" t="n"/>
      <c r="GS11" s="351" t="n"/>
      <c r="GT11" s="107" t="n"/>
      <c r="GU11" s="587" t="n"/>
      <c r="GV11" s="108" t="n"/>
      <c r="GW11" s="15" t="n"/>
      <c r="GX11" s="546" t="n"/>
      <c r="GY11" s="17" t="n"/>
      <c r="GZ11" s="15" t="n"/>
      <c r="HA11" s="546" t="n"/>
      <c r="HB11" s="546" t="n"/>
      <c r="HC11" s="17" t="n"/>
      <c r="HD11" s="31" t="n"/>
      <c r="HE11" s="45" t="n"/>
      <c r="HF11" s="45" t="n"/>
      <c r="HG11" s="45" t="n"/>
      <c r="HH11" s="45" t="n"/>
      <c r="HI11" s="45" t="n"/>
      <c r="HJ11" s="45" t="n"/>
      <c r="HK11" s="45" t="n"/>
      <c r="HL11" s="45" t="n"/>
      <c r="HM11" s="45" t="n"/>
      <c r="HN11" s="45" t="n"/>
      <c r="HO11" s="351" t="n"/>
      <c r="HP11" s="606" t="n"/>
      <c r="HQ11" s="65">
        <f>AVERAGE(F11,K11,L11)</f>
        <v/>
      </c>
      <c r="HR11" s="66">
        <f>AVERAGE(C11,#REF!,M11,O11,Q11,U11,Z11)</f>
        <v/>
      </c>
      <c r="HS11" s="66">
        <f>AVERAGE(R11)</f>
        <v/>
      </c>
      <c r="HT11" s="66">
        <f>AVERAGE(N11)</f>
        <v/>
      </c>
      <c r="HU11" s="66">
        <f>AVERAGE(V11,P11,#REF!)</f>
        <v/>
      </c>
      <c r="HV11" s="66" t="n"/>
      <c r="HW11" s="66">
        <f>AVERAGE(X11)</f>
        <v/>
      </c>
      <c r="HX11" s="66" t="n"/>
      <c r="HY11" s="66" t="n"/>
      <c r="HZ11" s="66">
        <f>AVERAGE(Y11)</f>
        <v/>
      </c>
    </row>
    <row r="12" ht="15.75" customHeight="1" s="590">
      <c r="A12" s="295" t="inlineStr">
        <is>
          <t>052-26-128012</t>
        </is>
      </c>
      <c r="B12" s="296" t="inlineStr">
        <is>
          <t>Alishba Rasheed</t>
        </is>
      </c>
      <c r="C12" s="288" t="n">
        <v>75.70999999999999</v>
      </c>
      <c r="D12" s="288" t="n">
        <v>69.44</v>
      </c>
      <c r="E12" s="220" t="n">
        <v>90</v>
      </c>
      <c r="F12" s="288" t="n">
        <v>75.70999999999999</v>
      </c>
      <c r="G12" s="288" t="n">
        <v>69.44</v>
      </c>
      <c r="H12" s="288" t="n">
        <v>53.43</v>
      </c>
      <c r="I12" s="306" t="n">
        <v>68</v>
      </c>
      <c r="J12" s="306" t="n">
        <v>68</v>
      </c>
      <c r="K12" s="220" t="n">
        <v>84.04000000000001</v>
      </c>
      <c r="L12" s="561" t="n"/>
      <c r="M12" s="583" t="n"/>
      <c r="N12" s="546" t="n"/>
      <c r="O12" s="115" t="n"/>
      <c r="P12" s="117" t="n"/>
      <c r="Q12" s="225" t="n"/>
      <c r="R12" s="225" t="n"/>
      <c r="S12" s="225" t="n"/>
      <c r="T12" s="225" t="n"/>
      <c r="U12" s="225" t="n"/>
      <c r="V12" s="225" t="n"/>
      <c r="W12" s="225" t="n"/>
      <c r="X12" s="225" t="n"/>
      <c r="Y12" s="117" t="n"/>
      <c r="Z12" s="117" t="n"/>
      <c r="AA12" s="114" t="n"/>
      <c r="AB12" s="117" t="n"/>
      <c r="AC12" s="128" t="n"/>
      <c r="AD12" s="128" t="n"/>
      <c r="AE12" s="128" t="n"/>
      <c r="AF12" s="128" t="n"/>
      <c r="AG12" s="543" t="n"/>
      <c r="AH12" s="543" t="n"/>
      <c r="AI12" s="127" t="n"/>
      <c r="AJ12" s="128" t="n"/>
      <c r="AK12" s="131" t="n"/>
      <c r="AL12" s="127" t="n"/>
      <c r="AM12" s="128" t="n"/>
      <c r="AN12" s="128" t="n"/>
      <c r="AO12" s="128" t="n"/>
      <c r="AP12" s="131" t="n"/>
      <c r="AQ12" s="127" t="n"/>
      <c r="AR12" s="128" t="n"/>
      <c r="AS12" s="128" t="n"/>
      <c r="AT12" s="128" t="n"/>
      <c r="AU12" s="131" t="n"/>
      <c r="AV12" s="127" t="n"/>
      <c r="AW12" s="128" t="n"/>
      <c r="AX12" s="128" t="n"/>
      <c r="AY12" s="131" t="n"/>
      <c r="AZ12" s="131" t="n"/>
      <c r="BA12" s="131" t="n"/>
      <c r="BB12" s="131" t="n"/>
      <c r="BC12" s="114" t="n"/>
      <c r="BD12" s="546" t="n"/>
      <c r="BE12" s="511" t="n"/>
      <c r="BF12" s="114" t="n"/>
      <c r="BG12" s="546" t="n"/>
      <c r="BH12" s="511" t="n"/>
      <c r="BI12" s="114" t="n"/>
      <c r="BJ12" s="546" t="n"/>
      <c r="BK12" s="546" t="n"/>
      <c r="BL12" s="546" t="n"/>
      <c r="BM12" s="546" t="n"/>
      <c r="BN12" s="546" t="n"/>
      <c r="BO12" s="511" t="n"/>
      <c r="BP12" s="546" t="n"/>
      <c r="BQ12" s="546" t="n"/>
      <c r="BR12" s="546" t="n"/>
      <c r="BS12" s="546" t="n"/>
      <c r="BT12" s="546" t="n"/>
      <c r="BU12" s="546" t="n"/>
      <c r="BV12" s="546" t="n"/>
      <c r="BW12" s="15" t="n"/>
      <c r="BX12" s="546" t="n"/>
      <c r="BY12" s="546" t="n"/>
      <c r="BZ12" s="546" t="n"/>
      <c r="CA12" s="546" t="n"/>
      <c r="CB12" s="546" t="n"/>
      <c r="CC12" s="15" t="n"/>
      <c r="CD12" s="546" t="n"/>
      <c r="CE12" s="546" t="n"/>
      <c r="CF12" s="17" t="n"/>
      <c r="CG12" s="546" t="n"/>
      <c r="CH12" s="546" t="n"/>
      <c r="CI12" s="546" t="n"/>
      <c r="CJ12" s="546" t="n"/>
      <c r="CK12" s="583" t="n"/>
      <c r="CL12" s="15" t="n"/>
      <c r="CM12" s="15" t="n"/>
      <c r="CN12" s="15" t="n"/>
      <c r="CO12" s="15" t="n"/>
      <c r="CP12" s="546" t="n"/>
      <c r="CQ12" s="17" t="n"/>
      <c r="CR12" s="74" t="n"/>
      <c r="CS12" s="75" t="n"/>
      <c r="CT12" s="76" t="n"/>
      <c r="CU12" s="76" t="n"/>
      <c r="CV12" s="91" t="n"/>
      <c r="CW12" s="546" t="n"/>
      <c r="CX12" s="546" t="n"/>
      <c r="CY12" s="546" t="n"/>
      <c r="CZ12" s="546" t="n"/>
      <c r="DA12" s="583" t="n"/>
      <c r="DB12" s="141" t="n"/>
      <c r="DC12" s="162" t="n"/>
      <c r="DD12" s="162" t="n"/>
      <c r="DE12" s="512" t="n"/>
      <c r="DF12" s="491" t="n"/>
      <c r="DG12" s="141" t="n"/>
      <c r="DH12" s="139" t="n"/>
      <c r="DI12" s="139" t="n"/>
      <c r="DJ12" s="139" t="n"/>
      <c r="DK12" s="347" t="n"/>
      <c r="DL12" s="348" t="n"/>
      <c r="DM12" s="162" t="n"/>
      <c r="DN12" s="162" t="n"/>
      <c r="DO12" s="162" t="n"/>
      <c r="DP12" s="162" t="n"/>
      <c r="DQ12" s="201" t="n"/>
      <c r="DR12" s="201" t="n"/>
      <c r="DS12" s="163" t="n"/>
      <c r="DT12" s="141" t="n"/>
      <c r="DU12" s="139" t="n"/>
      <c r="DV12" s="139" t="n"/>
      <c r="DW12" s="139" t="n"/>
      <c r="DX12" s="140" t="n"/>
      <c r="DY12" s="347" t="n"/>
      <c r="DZ12" s="147" t="n"/>
      <c r="EA12" s="31" t="n"/>
      <c r="EB12" s="349" t="n"/>
      <c r="EC12" s="349" t="n"/>
      <c r="ED12" s="45" t="n"/>
      <c r="EE12" s="351" t="n"/>
      <c r="EF12" s="107" t="n"/>
      <c r="EG12" s="139" t="n"/>
      <c r="EH12" s="139" t="n"/>
      <c r="EI12" s="139" t="n"/>
      <c r="EJ12" s="140" t="n"/>
      <c r="EK12" s="108" t="n"/>
      <c r="EL12" s="141" t="n"/>
      <c r="EM12" s="140" t="n"/>
      <c r="EN12" s="140" t="n"/>
      <c r="EO12" s="140" t="n"/>
      <c r="EP12" s="347" t="n"/>
      <c r="EQ12" s="348" t="n"/>
      <c r="ER12" s="107" t="n"/>
      <c r="ES12" s="140" t="n"/>
      <c r="ET12" s="140" t="n"/>
      <c r="EU12" s="107" t="n"/>
      <c r="EV12" s="587" t="n"/>
      <c r="EW12" s="587" t="n"/>
      <c r="EX12" s="141" t="n"/>
      <c r="EY12" s="140" t="n"/>
      <c r="EZ12" s="140" t="n"/>
      <c r="FA12" s="140" t="n"/>
      <c r="FB12" s="140" t="n"/>
      <c r="FC12" s="147" t="n"/>
      <c r="FD12" s="74" t="n"/>
      <c r="FE12" s="75" t="n"/>
      <c r="FF12" s="76" t="n"/>
      <c r="FG12" s="76" t="n"/>
      <c r="FH12" s="91" t="n"/>
      <c r="FI12" s="92" t="n"/>
      <c r="FJ12" s="91" t="n"/>
      <c r="FK12" s="74" t="n"/>
      <c r="FL12" s="92" t="n"/>
      <c r="FM12" s="148" t="n"/>
      <c r="FN12" s="149" t="n"/>
      <c r="FO12" s="150" t="n"/>
      <c r="FP12" s="99" t="n"/>
      <c r="FQ12" s="100" t="n"/>
      <c r="FR12" s="100" t="n"/>
      <c r="FS12" s="100" t="n"/>
      <c r="FT12" s="100" t="n"/>
      <c r="FU12" s="100" t="n"/>
      <c r="FV12" s="100" t="n"/>
      <c r="FW12" s="100" t="n"/>
      <c r="FX12" s="100" t="n"/>
      <c r="FY12" s="100" t="n"/>
      <c r="FZ12" s="100" t="n"/>
      <c r="GA12" s="102" t="n"/>
      <c r="GB12" s="15" t="n"/>
      <c r="GC12" s="546" t="n"/>
      <c r="GD12" s="546" t="n"/>
      <c r="GE12" s="17" t="n"/>
      <c r="GF12" s="15" t="n"/>
      <c r="GG12" s="546" t="n"/>
      <c r="GH12" s="546" t="n"/>
      <c r="GI12" s="17" t="n"/>
      <c r="GJ12" s="31" t="n"/>
      <c r="GK12" s="349" t="n"/>
      <c r="GL12" s="349" t="n"/>
      <c r="GM12" s="45" t="n"/>
      <c r="GN12" s="351" t="n"/>
      <c r="GO12" s="31" t="n"/>
      <c r="GP12" s="45" t="n"/>
      <c r="GQ12" s="45" t="n"/>
      <c r="GR12" s="350" t="n"/>
      <c r="GS12" s="351" t="n"/>
      <c r="GT12" s="107" t="n"/>
      <c r="GU12" s="587" t="n"/>
      <c r="GV12" s="108" t="n"/>
      <c r="GW12" s="15" t="n"/>
      <c r="GX12" s="546" t="n"/>
      <c r="GY12" s="17" t="n"/>
      <c r="GZ12" s="15" t="n"/>
      <c r="HA12" s="546" t="n"/>
      <c r="HB12" s="546" t="n"/>
      <c r="HC12" s="17" t="n"/>
      <c r="HD12" s="31" t="n"/>
      <c r="HE12" s="45" t="n"/>
      <c r="HF12" s="45" t="n"/>
      <c r="HG12" s="45" t="n"/>
      <c r="HH12" s="45" t="n"/>
      <c r="HI12" s="45" t="n"/>
      <c r="HJ12" s="45" t="n"/>
      <c r="HK12" s="45" t="n"/>
      <c r="HL12" s="45" t="n"/>
      <c r="HM12" s="45" t="n"/>
      <c r="HN12" s="45" t="n"/>
      <c r="HO12" s="351" t="n"/>
      <c r="HP12" s="606" t="n"/>
      <c r="HQ12" s="65">
        <f>AVERAGE(F12,K12,L12)</f>
        <v/>
      </c>
      <c r="HR12" s="66">
        <f>AVERAGE(C12,#REF!,M12,O12,Q12,U12,Z12)</f>
        <v/>
      </c>
      <c r="HS12" s="66">
        <f>AVERAGE(R12)</f>
        <v/>
      </c>
      <c r="HT12" s="66">
        <f>AVERAGE(N12)</f>
        <v/>
      </c>
      <c r="HU12" s="66">
        <f>AVERAGE(V12,P12,#REF!)</f>
        <v/>
      </c>
      <c r="HV12" s="66" t="n"/>
      <c r="HW12" s="66">
        <f>AVERAGE(X12)</f>
        <v/>
      </c>
      <c r="HX12" s="66" t="n"/>
      <c r="HY12" s="66" t="n"/>
      <c r="HZ12" s="66">
        <f>AVERAGE(Y12)</f>
        <v/>
      </c>
    </row>
    <row r="13" ht="15.75" customHeight="1" s="590">
      <c r="A13" s="295" t="inlineStr">
        <is>
          <t>052-26-128013</t>
        </is>
      </c>
      <c r="B13" s="296" t="inlineStr">
        <is>
          <t>ABDUR REHMAN</t>
        </is>
      </c>
      <c r="C13" s="288" t="n">
        <v>82.14</v>
      </c>
      <c r="D13" s="288" t="n">
        <v>66.94</v>
      </c>
      <c r="E13" s="220" t="n">
        <v>85.65000000000001</v>
      </c>
      <c r="F13" s="288" t="n">
        <v>82.14</v>
      </c>
      <c r="G13" s="288" t="n">
        <v>66.94</v>
      </c>
      <c r="H13" s="288" t="n">
        <v>50</v>
      </c>
      <c r="I13" s="306" t="n">
        <v>57.67</v>
      </c>
      <c r="J13" s="306" t="n">
        <v>50.23</v>
      </c>
      <c r="K13" s="220" t="n">
        <v>82.28</v>
      </c>
      <c r="L13" s="561" t="n"/>
      <c r="M13" s="583" t="n"/>
      <c r="N13" s="546" t="n"/>
      <c r="O13" s="115" t="n"/>
      <c r="P13" s="117" t="n"/>
      <c r="Q13" s="225" t="n"/>
      <c r="R13" s="225" t="n"/>
      <c r="S13" s="225" t="n"/>
      <c r="T13" s="225" t="n"/>
      <c r="U13" s="225" t="n"/>
      <c r="V13" s="225" t="n"/>
      <c r="W13" s="225" t="n"/>
      <c r="X13" s="225" t="n"/>
      <c r="Y13" s="117" t="n"/>
      <c r="Z13" s="117" t="n"/>
      <c r="AA13" s="114" t="n"/>
      <c r="AB13" s="117" t="n"/>
      <c r="AC13" s="115" t="n"/>
      <c r="AD13" s="115" t="n"/>
      <c r="AE13" s="115" t="n"/>
      <c r="AF13" s="115" t="n"/>
      <c r="AG13" s="510" t="n"/>
      <c r="AH13" s="510" t="n"/>
      <c r="AI13" s="127" t="n"/>
      <c r="AJ13" s="128" t="n"/>
      <c r="AK13" s="131" t="n"/>
      <c r="AL13" s="127" t="n"/>
      <c r="AM13" s="128" t="n"/>
      <c r="AN13" s="128" t="n"/>
      <c r="AO13" s="128" t="n"/>
      <c r="AP13" s="131" t="n"/>
      <c r="AQ13" s="127" t="n"/>
      <c r="AR13" s="128" t="n"/>
      <c r="AS13" s="128" t="n"/>
      <c r="AT13" s="128" t="n"/>
      <c r="AU13" s="131" t="n"/>
      <c r="AV13" s="127" t="n"/>
      <c r="AW13" s="128" t="n"/>
      <c r="AX13" s="128" t="n"/>
      <c r="AY13" s="131" t="n"/>
      <c r="AZ13" s="131" t="n"/>
      <c r="BA13" s="131" t="n"/>
      <c r="BB13" s="131" t="n"/>
      <c r="BC13" s="114" t="n"/>
      <c r="BD13" s="546" t="n"/>
      <c r="BE13" s="511" t="n"/>
      <c r="BF13" s="114" t="n"/>
      <c r="BG13" s="546" t="n"/>
      <c r="BH13" s="511" t="n"/>
      <c r="BI13" s="114" t="n"/>
      <c r="BJ13" s="546" t="n"/>
      <c r="BK13" s="546" t="n"/>
      <c r="BL13" s="546" t="n"/>
      <c r="BM13" s="546" t="n"/>
      <c r="BN13" s="546" t="n"/>
      <c r="BO13" s="511" t="n"/>
      <c r="BP13" s="546" t="n"/>
      <c r="BQ13" s="546" t="n"/>
      <c r="BR13" s="546" t="n"/>
      <c r="BS13" s="546" t="n"/>
      <c r="BT13" s="546" t="n"/>
      <c r="BU13" s="546" t="n"/>
      <c r="BV13" s="546" t="n"/>
      <c r="BW13" s="15" t="n"/>
      <c r="BX13" s="546" t="n"/>
      <c r="BY13" s="546" t="n"/>
      <c r="BZ13" s="546" t="n"/>
      <c r="CA13" s="546" t="n"/>
      <c r="CB13" s="546" t="n"/>
      <c r="CC13" s="15" t="n"/>
      <c r="CD13" s="546" t="n"/>
      <c r="CE13" s="546" t="n"/>
      <c r="CF13" s="17" t="n"/>
      <c r="CG13" s="546" t="n"/>
      <c r="CH13" s="546" t="n"/>
      <c r="CI13" s="546" t="n"/>
      <c r="CJ13" s="546" t="n"/>
      <c r="CK13" s="583" t="n"/>
      <c r="CL13" s="15" t="n"/>
      <c r="CM13" s="15" t="n"/>
      <c r="CN13" s="15" t="n"/>
      <c r="CO13" s="15" t="n"/>
      <c r="CP13" s="546" t="n"/>
      <c r="CQ13" s="17" t="n"/>
      <c r="CR13" s="74" t="n"/>
      <c r="CS13" s="75" t="n"/>
      <c r="CT13" s="76" t="n"/>
      <c r="CU13" s="76" t="n"/>
      <c r="CV13" s="91" t="n"/>
      <c r="CW13" s="546" t="n"/>
      <c r="CX13" s="546" t="n"/>
      <c r="CY13" s="546" t="n"/>
      <c r="CZ13" s="546" t="n"/>
      <c r="DA13" s="583" t="n"/>
      <c r="DB13" s="141" t="n"/>
      <c r="DC13" s="162" t="n"/>
      <c r="DD13" s="162" t="n"/>
      <c r="DE13" s="662" t="n"/>
      <c r="DF13" s="663" t="n"/>
      <c r="DG13" s="141" t="n"/>
      <c r="DH13" s="139" t="n"/>
      <c r="DI13" s="139" t="n"/>
      <c r="DJ13" s="139" t="n"/>
      <c r="DK13" s="147" t="n"/>
      <c r="DL13" s="664" t="n"/>
      <c r="DM13" s="162" t="n"/>
      <c r="DN13" s="162" t="n"/>
      <c r="DO13" s="162" t="n"/>
      <c r="DP13" s="162" t="n"/>
      <c r="DQ13" s="201" t="n"/>
      <c r="DR13" s="201" t="n"/>
      <c r="DS13" s="163" t="n"/>
      <c r="DT13" s="141" t="n"/>
      <c r="DU13" s="139" t="n"/>
      <c r="DV13" s="139" t="n"/>
      <c r="DW13" s="139" t="n"/>
      <c r="DX13" s="140" t="n"/>
      <c r="DY13" s="347" t="n"/>
      <c r="DZ13" s="147" t="n"/>
      <c r="EA13" s="31" t="n"/>
      <c r="EB13" s="45" t="n"/>
      <c r="EC13" s="665" t="n"/>
      <c r="ED13" s="45" t="n"/>
      <c r="EE13" s="351" t="n"/>
      <c r="EF13" s="107" t="n"/>
      <c r="EG13" s="139" t="n"/>
      <c r="EH13" s="139" t="n"/>
      <c r="EI13" s="139" t="n"/>
      <c r="EJ13" s="140" t="n"/>
      <c r="EK13" s="108" t="n"/>
      <c r="EL13" s="141" t="n"/>
      <c r="EM13" s="140" t="n"/>
      <c r="EN13" s="140" t="n"/>
      <c r="EO13" s="140" t="n"/>
      <c r="EP13" s="108" t="n"/>
      <c r="EQ13" s="666" t="n"/>
      <c r="ER13" s="107" t="n"/>
      <c r="ES13" s="140" t="n"/>
      <c r="ET13" s="140" t="n"/>
      <c r="EU13" s="107" t="n"/>
      <c r="EV13" s="587" t="n"/>
      <c r="EW13" s="587" t="n"/>
      <c r="EX13" s="141" t="n"/>
      <c r="EY13" s="140" t="n"/>
      <c r="EZ13" s="140" t="n"/>
      <c r="FA13" s="140" t="n"/>
      <c r="FB13" s="140" t="n"/>
      <c r="FC13" s="147" t="n"/>
      <c r="FD13" s="74" t="n"/>
      <c r="FE13" s="75" t="n"/>
      <c r="FF13" s="76" t="n"/>
      <c r="FG13" s="76" t="n"/>
      <c r="FH13" s="91" t="n"/>
      <c r="FI13" s="92" t="n"/>
      <c r="FJ13" s="91" t="n"/>
      <c r="FK13" s="74" t="n"/>
      <c r="FL13" s="92" t="n"/>
      <c r="FM13" s="148" t="n"/>
      <c r="FN13" s="149" t="n"/>
      <c r="FO13" s="150" t="n"/>
      <c r="FP13" s="99" t="n"/>
      <c r="FQ13" s="100" t="n"/>
      <c r="FR13" s="100" t="n"/>
      <c r="FS13" s="100" t="n"/>
      <c r="FT13" s="100" t="n"/>
      <c r="FU13" s="100" t="n"/>
      <c r="FV13" s="100" t="n"/>
      <c r="FW13" s="100" t="n"/>
      <c r="FX13" s="100" t="n"/>
      <c r="FY13" s="100" t="n"/>
      <c r="FZ13" s="100" t="n"/>
      <c r="GA13" s="102" t="n"/>
      <c r="GB13" s="15" t="n"/>
      <c r="GC13" s="546" t="n"/>
      <c r="GD13" s="546" t="n"/>
      <c r="GE13" s="17" t="n"/>
      <c r="GF13" s="15" t="n"/>
      <c r="GG13" s="546" t="n"/>
      <c r="GH13" s="546" t="n"/>
      <c r="GI13" s="17" t="n"/>
      <c r="GJ13" s="31" t="n"/>
      <c r="GK13" s="45" t="n"/>
      <c r="GL13" s="665" t="n"/>
      <c r="GM13" s="45" t="n"/>
      <c r="GN13" s="351" t="n"/>
      <c r="GO13" s="31" t="n"/>
      <c r="GP13" s="45" t="n"/>
      <c r="GQ13" s="45" t="n"/>
      <c r="GR13" s="667" t="n"/>
      <c r="GS13" s="668" t="n"/>
      <c r="GT13" s="107" t="n"/>
      <c r="GU13" s="587" t="n"/>
      <c r="GV13" s="108" t="n"/>
      <c r="GW13" s="15" t="n"/>
      <c r="GX13" s="546" t="n"/>
      <c r="GY13" s="17" t="n"/>
      <c r="GZ13" s="15" t="n"/>
      <c r="HA13" s="546" t="n"/>
      <c r="HB13" s="546" t="n"/>
      <c r="HC13" s="17" t="n"/>
      <c r="HD13" s="31" t="n"/>
      <c r="HE13" s="45" t="n"/>
      <c r="HF13" s="45" t="n"/>
      <c r="HG13" s="45" t="n"/>
      <c r="HH13" s="45" t="n"/>
      <c r="HI13" s="45" t="n"/>
      <c r="HJ13" s="45" t="n"/>
      <c r="HK13" s="45" t="n"/>
      <c r="HL13" s="45" t="n"/>
      <c r="HM13" s="45" t="n"/>
      <c r="HN13" s="45" t="n"/>
      <c r="HO13" s="351" t="n"/>
      <c r="HP13" s="606" t="n"/>
      <c r="HQ13" s="65">
        <f>AVERAGE(F13,K13,L13)</f>
        <v/>
      </c>
      <c r="HR13" s="66">
        <f>AVERAGE(C13,#REF!,M13,O13,Q13,U13,Z13)</f>
        <v/>
      </c>
      <c r="HS13" s="66">
        <f>AVERAGE(R13)</f>
        <v/>
      </c>
      <c r="HT13" s="66">
        <f>AVERAGE(N13)</f>
        <v/>
      </c>
      <c r="HU13" s="66">
        <f>AVERAGE(V13,P13,#REF!)</f>
        <v/>
      </c>
      <c r="HV13" s="66" t="n"/>
      <c r="HW13" s="66">
        <f>AVERAGE(X13)</f>
        <v/>
      </c>
      <c r="HX13" s="66" t="n"/>
      <c r="HY13" s="66" t="n"/>
      <c r="HZ13" s="66">
        <f>AVERAGE(Y13)</f>
        <v/>
      </c>
    </row>
    <row r="14" ht="15.75" customHeight="1" s="590">
      <c r="A14" s="295" t="inlineStr">
        <is>
          <t>052-26-128016</t>
        </is>
      </c>
      <c r="B14" s="296" t="inlineStr">
        <is>
          <t>Muzammil Ashraf</t>
        </is>
      </c>
      <c r="C14" s="288" t="n">
        <v>50</v>
      </c>
      <c r="D14" s="288" t="n">
        <v>54.44</v>
      </c>
      <c r="E14" s="220" t="n">
        <v>85.65000000000001</v>
      </c>
      <c r="F14" s="288" t="n">
        <v>50</v>
      </c>
      <c r="G14" s="288" t="n">
        <v>54.44</v>
      </c>
      <c r="H14" s="288" t="n">
        <v>82.29000000000001</v>
      </c>
      <c r="I14" s="306" t="n">
        <v>90</v>
      </c>
      <c r="J14" s="306" t="n">
        <v>90</v>
      </c>
      <c r="K14" s="220" t="n">
        <v>99.12</v>
      </c>
      <c r="L14" s="561" t="n"/>
      <c r="M14" s="583" t="n"/>
      <c r="N14" s="546" t="n"/>
      <c r="O14" s="115" t="n"/>
      <c r="P14" s="117" t="n"/>
      <c r="Q14" s="225" t="n"/>
      <c r="R14" s="225" t="n"/>
      <c r="S14" s="225" t="n"/>
      <c r="T14" s="225" t="n"/>
      <c r="U14" s="225" t="n"/>
      <c r="V14" s="225" t="n"/>
      <c r="W14" s="225" t="n"/>
      <c r="X14" s="225" t="n"/>
      <c r="Y14" s="117" t="n"/>
      <c r="Z14" s="117" t="n"/>
      <c r="AA14" s="114" t="n"/>
      <c r="AB14" s="117" t="n"/>
      <c r="AC14" s="115" t="n"/>
      <c r="AD14" s="115" t="n"/>
      <c r="AE14" s="115" t="n"/>
      <c r="AF14" s="115" t="n"/>
      <c r="AG14" s="510" t="n"/>
      <c r="AH14" s="510" t="n"/>
      <c r="AI14" s="127" t="n"/>
      <c r="AJ14" s="128" t="n"/>
      <c r="AK14" s="131" t="n"/>
      <c r="AL14" s="127" t="n"/>
      <c r="AM14" s="128" t="n"/>
      <c r="AN14" s="128" t="n"/>
      <c r="AO14" s="128" t="n"/>
      <c r="AP14" s="131" t="n"/>
      <c r="AQ14" s="127" t="n"/>
      <c r="AR14" s="128" t="n"/>
      <c r="AS14" s="128" t="n"/>
      <c r="AT14" s="128" t="n"/>
      <c r="AU14" s="131" t="n"/>
      <c r="AV14" s="127" t="n"/>
      <c r="AW14" s="128" t="n"/>
      <c r="AX14" s="128" t="n"/>
      <c r="AY14" s="131" t="n"/>
      <c r="AZ14" s="131" t="n"/>
      <c r="BA14" s="131" t="n"/>
      <c r="BB14" s="131" t="n"/>
      <c r="BC14" s="114" t="n"/>
      <c r="BD14" s="546" t="n"/>
      <c r="BE14" s="511" t="n"/>
      <c r="BF14" s="114" t="n"/>
      <c r="BG14" s="546" t="n"/>
      <c r="BH14" s="511" t="n"/>
      <c r="BI14" s="114" t="n"/>
      <c r="BJ14" s="546" t="n"/>
      <c r="BK14" s="546" t="n"/>
      <c r="BL14" s="546" t="n"/>
      <c r="BM14" s="546" t="n"/>
      <c r="BN14" s="546" t="n"/>
      <c r="BO14" s="511" t="n"/>
      <c r="BP14" s="546" t="n"/>
      <c r="BQ14" s="546" t="n"/>
      <c r="BR14" s="546" t="n"/>
      <c r="BS14" s="546" t="n"/>
      <c r="BT14" s="546" t="n"/>
      <c r="BU14" s="546" t="n"/>
      <c r="BV14" s="546" t="n"/>
      <c r="BW14" s="15" t="n"/>
      <c r="BX14" s="546" t="n"/>
      <c r="BY14" s="546" t="n"/>
      <c r="BZ14" s="546" t="n"/>
      <c r="CA14" s="546" t="n"/>
      <c r="CB14" s="546" t="n"/>
      <c r="CC14" s="15" t="n"/>
      <c r="CD14" s="546" t="n"/>
      <c r="CE14" s="546" t="n"/>
      <c r="CF14" s="17" t="n"/>
      <c r="CG14" s="546" t="n"/>
      <c r="CH14" s="546" t="n"/>
      <c r="CI14" s="546" t="n"/>
      <c r="CJ14" s="546" t="n"/>
      <c r="CK14" s="583" t="n"/>
      <c r="CL14" s="15" t="n"/>
      <c r="CM14" s="15" t="n"/>
      <c r="CN14" s="15" t="n"/>
      <c r="CO14" s="15" t="n"/>
      <c r="CP14" s="546" t="n"/>
      <c r="CQ14" s="17" t="n"/>
      <c r="CR14" s="74" t="n"/>
      <c r="CS14" s="75" t="n"/>
      <c r="CT14" s="76" t="n"/>
      <c r="CU14" s="76" t="n"/>
      <c r="CV14" s="91" t="n"/>
      <c r="CW14" s="546" t="n"/>
      <c r="CX14" s="546" t="n"/>
      <c r="CY14" s="546" t="n"/>
      <c r="CZ14" s="546" t="n"/>
      <c r="DA14" s="583" t="n"/>
      <c r="DB14" s="141" t="n"/>
      <c r="DC14" s="162" t="n"/>
      <c r="DD14" s="162" t="n"/>
      <c r="DE14" s="512" t="n"/>
      <c r="DF14" s="491" t="n"/>
      <c r="DG14" s="141" t="n"/>
      <c r="DH14" s="139" t="n"/>
      <c r="DI14" s="139" t="n"/>
      <c r="DJ14" s="139" t="n"/>
      <c r="DK14" s="347" t="n"/>
      <c r="DL14" s="348" t="n"/>
      <c r="DM14" s="162" t="n"/>
      <c r="DN14" s="162" t="n"/>
      <c r="DO14" s="162" t="n"/>
      <c r="DP14" s="162" t="n"/>
      <c r="DQ14" s="201" t="n"/>
      <c r="DR14" s="201" t="n"/>
      <c r="DS14" s="163" t="n"/>
      <c r="DT14" s="141" t="n"/>
      <c r="DU14" s="139" t="n"/>
      <c r="DV14" s="139" t="n"/>
      <c r="DW14" s="139" t="n"/>
      <c r="DX14" s="140" t="n"/>
      <c r="DY14" s="347" t="n"/>
      <c r="DZ14" s="147" t="n"/>
      <c r="EA14" s="31" t="n"/>
      <c r="EB14" s="349" t="n"/>
      <c r="EC14" s="349" t="n"/>
      <c r="ED14" s="45" t="n"/>
      <c r="EE14" s="351" t="n"/>
      <c r="EF14" s="107" t="n"/>
      <c r="EG14" s="139" t="n"/>
      <c r="EH14" s="139" t="n"/>
      <c r="EI14" s="139" t="n"/>
      <c r="EJ14" s="140" t="n"/>
      <c r="EK14" s="108" t="n"/>
      <c r="EL14" s="141" t="n"/>
      <c r="EM14" s="140" t="n"/>
      <c r="EN14" s="140" t="n"/>
      <c r="EO14" s="140" t="n"/>
      <c r="EP14" s="347" t="n"/>
      <c r="EQ14" s="348" t="n"/>
      <c r="ER14" s="107" t="n"/>
      <c r="ES14" s="140" t="n"/>
      <c r="ET14" s="140" t="n"/>
      <c r="EU14" s="107" t="n"/>
      <c r="EV14" s="587" t="n"/>
      <c r="EW14" s="587" t="n"/>
      <c r="EX14" s="141" t="n"/>
      <c r="EY14" s="140" t="n"/>
      <c r="EZ14" s="140" t="n"/>
      <c r="FA14" s="140" t="n"/>
      <c r="FB14" s="140" t="n"/>
      <c r="FC14" s="147" t="n"/>
      <c r="FD14" s="74" t="n"/>
      <c r="FE14" s="75" t="n"/>
      <c r="FF14" s="76" t="n"/>
      <c r="FG14" s="76" t="n"/>
      <c r="FH14" s="91" t="n"/>
      <c r="FI14" s="92" t="n"/>
      <c r="FJ14" s="91" t="n"/>
      <c r="FK14" s="74" t="n"/>
      <c r="FL14" s="92" t="n"/>
      <c r="FM14" s="148" t="n"/>
      <c r="FN14" s="149" t="n"/>
      <c r="FO14" s="150" t="n"/>
      <c r="FP14" s="99" t="n"/>
      <c r="FQ14" s="100" t="n"/>
      <c r="FR14" s="100" t="n"/>
      <c r="FS14" s="100" t="n"/>
      <c r="FT14" s="100" t="n"/>
      <c r="FU14" s="100" t="n"/>
      <c r="FV14" s="100" t="n"/>
      <c r="FW14" s="100" t="n"/>
      <c r="FX14" s="100" t="n"/>
      <c r="FY14" s="100" t="n"/>
      <c r="FZ14" s="100" t="n"/>
      <c r="GA14" s="102" t="n"/>
      <c r="GB14" s="15" t="n"/>
      <c r="GC14" s="546" t="n"/>
      <c r="GD14" s="546" t="n"/>
      <c r="GE14" s="17" t="n"/>
      <c r="GF14" s="15" t="n"/>
      <c r="GG14" s="546" t="n"/>
      <c r="GH14" s="546" t="n"/>
      <c r="GI14" s="17" t="n"/>
      <c r="GJ14" s="31" t="n"/>
      <c r="GK14" s="349" t="n"/>
      <c r="GL14" s="349" t="n"/>
      <c r="GM14" s="45" t="n"/>
      <c r="GN14" s="351" t="n"/>
      <c r="GO14" s="31" t="n"/>
      <c r="GP14" s="45" t="n"/>
      <c r="GQ14" s="45" t="n"/>
      <c r="GR14" s="350" t="n"/>
      <c r="GS14" s="351" t="n"/>
      <c r="GT14" s="107" t="n"/>
      <c r="GU14" s="587" t="n"/>
      <c r="GV14" s="108" t="n"/>
      <c r="GW14" s="15" t="n"/>
      <c r="GX14" s="546" t="n"/>
      <c r="GY14" s="17" t="n"/>
      <c r="GZ14" s="15" t="n"/>
      <c r="HA14" s="546" t="n"/>
      <c r="HB14" s="546" t="n"/>
      <c r="HC14" s="17" t="n"/>
      <c r="HD14" s="31" t="n"/>
      <c r="HE14" s="45" t="n"/>
      <c r="HF14" s="45" t="n"/>
      <c r="HG14" s="45" t="n"/>
      <c r="HH14" s="45" t="n"/>
      <c r="HI14" s="45" t="n"/>
      <c r="HJ14" s="45" t="n"/>
      <c r="HK14" s="45" t="n"/>
      <c r="HL14" s="45" t="n"/>
      <c r="HM14" s="45" t="n"/>
      <c r="HN14" s="45" t="n"/>
      <c r="HO14" s="351" t="n"/>
      <c r="HP14" s="606" t="n"/>
      <c r="HQ14" s="65">
        <f>AVERAGE(F14,K14,L14)</f>
        <v/>
      </c>
      <c r="HR14" s="66">
        <f>AVERAGE(C14,#REF!,M14,O14,Q14,U14,Z14)</f>
        <v/>
      </c>
      <c r="HS14" s="66">
        <f>AVERAGE(R14)</f>
        <v/>
      </c>
      <c r="HT14" s="66">
        <f>AVERAGE(N14)</f>
        <v/>
      </c>
      <c r="HU14" s="66">
        <f>AVERAGE(V14,P14,#REF!)</f>
        <v/>
      </c>
      <c r="HV14" s="66" t="n"/>
      <c r="HW14" s="66">
        <f>AVERAGE(X14)</f>
        <v/>
      </c>
      <c r="HX14" s="66" t="n"/>
      <c r="HY14" s="66" t="n"/>
      <c r="HZ14" s="66">
        <f>AVERAGE(Y14)</f>
        <v/>
      </c>
    </row>
    <row r="15" ht="15.75" customHeight="1" s="590">
      <c r="A15" s="295" t="inlineStr">
        <is>
          <t>052-26-128017</t>
        </is>
      </c>
      <c r="B15" s="296" t="inlineStr">
        <is>
          <t>TOUFEEQ UMAR</t>
        </is>
      </c>
      <c r="C15" s="288" t="n">
        <v>73.81</v>
      </c>
      <c r="D15" s="288" t="n">
        <v>66.94</v>
      </c>
      <c r="E15" s="220" t="n">
        <v>88.55</v>
      </c>
      <c r="F15" s="288" t="n">
        <v>73.81</v>
      </c>
      <c r="G15" s="288" t="n">
        <v>66.94</v>
      </c>
      <c r="H15" s="288" t="n">
        <v>56.43</v>
      </c>
      <c r="I15" s="306" t="n">
        <v>65.67</v>
      </c>
      <c r="J15" s="306" t="n">
        <v>65.67</v>
      </c>
      <c r="K15" s="220" t="n">
        <v>94.91</v>
      </c>
      <c r="L15" s="561" t="n"/>
      <c r="M15" s="583" t="n"/>
      <c r="N15" s="546" t="n"/>
      <c r="O15" s="115" t="n"/>
      <c r="P15" s="117" t="n"/>
      <c r="Q15" s="225" t="n"/>
      <c r="R15" s="225" t="n"/>
      <c r="S15" s="225" t="n"/>
      <c r="T15" s="225" t="n"/>
      <c r="U15" s="225" t="n"/>
      <c r="V15" s="225" t="n"/>
      <c r="W15" s="225" t="n"/>
      <c r="X15" s="225" t="n"/>
      <c r="Y15" s="117" t="n"/>
      <c r="Z15" s="117" t="n"/>
      <c r="AA15" s="114" t="n"/>
      <c r="AB15" s="117" t="n"/>
      <c r="AC15" s="115" t="n"/>
      <c r="AD15" s="115" t="n"/>
      <c r="AE15" s="115" t="n"/>
      <c r="AF15" s="115" t="n"/>
      <c r="AG15" s="510" t="n"/>
      <c r="AH15" s="510" t="n"/>
      <c r="AI15" s="127" t="n"/>
      <c r="AJ15" s="128" t="n"/>
      <c r="AK15" s="131" t="n"/>
      <c r="AL15" s="127" t="n"/>
      <c r="AM15" s="128" t="n"/>
      <c r="AN15" s="128" t="n"/>
      <c r="AO15" s="128" t="n"/>
      <c r="AP15" s="131" t="n"/>
      <c r="AQ15" s="127" t="n"/>
      <c r="AR15" s="128" t="n"/>
      <c r="AS15" s="128" t="n"/>
      <c r="AT15" s="128" t="n"/>
      <c r="AU15" s="131" t="n"/>
      <c r="AV15" s="127" t="n"/>
      <c r="AW15" s="128" t="n"/>
      <c r="AX15" s="128" t="n"/>
      <c r="AY15" s="131" t="n"/>
      <c r="AZ15" s="131" t="n"/>
      <c r="BA15" s="131" t="n"/>
      <c r="BB15" s="131" t="n"/>
      <c r="BC15" s="114" t="n"/>
      <c r="BD15" s="546" t="n"/>
      <c r="BE15" s="511" t="n"/>
      <c r="BF15" s="114" t="n"/>
      <c r="BG15" s="546" t="n"/>
      <c r="BH15" s="511" t="n"/>
      <c r="BI15" s="114" t="n"/>
      <c r="BJ15" s="546" t="n"/>
      <c r="BK15" s="546" t="n"/>
      <c r="BL15" s="546" t="n"/>
      <c r="BM15" s="546" t="n"/>
      <c r="BN15" s="546" t="n"/>
      <c r="BO15" s="511" t="n"/>
      <c r="BP15" s="546" t="n"/>
      <c r="BQ15" s="546" t="n"/>
      <c r="BR15" s="546" t="n"/>
      <c r="BS15" s="546" t="n"/>
      <c r="BT15" s="546" t="n"/>
      <c r="BU15" s="546" t="n"/>
      <c r="BV15" s="546" t="n"/>
      <c r="BW15" s="15" t="n"/>
      <c r="BX15" s="546" t="n"/>
      <c r="BY15" s="546" t="n"/>
      <c r="BZ15" s="546" t="n"/>
      <c r="CA15" s="546" t="n"/>
      <c r="CB15" s="546" t="n"/>
      <c r="CC15" s="15" t="n"/>
      <c r="CD15" s="546" t="n"/>
      <c r="CE15" s="546" t="n"/>
      <c r="CF15" s="17" t="n"/>
      <c r="CG15" s="546" t="n"/>
      <c r="CH15" s="546" t="n"/>
      <c r="CI15" s="546" t="n"/>
      <c r="CJ15" s="546" t="n"/>
      <c r="CK15" s="583" t="n"/>
      <c r="CL15" s="15" t="n"/>
      <c r="CM15" s="15" t="n"/>
      <c r="CN15" s="15" t="n"/>
      <c r="CO15" s="15" t="n"/>
      <c r="CP15" s="546" t="n"/>
      <c r="CQ15" s="17" t="n"/>
      <c r="CR15" s="74" t="n"/>
      <c r="CS15" s="75" t="n"/>
      <c r="CT15" s="76" t="n"/>
      <c r="CU15" s="76" t="n"/>
      <c r="CV15" s="91" t="n"/>
      <c r="CW15" s="546" t="n"/>
      <c r="CX15" s="546" t="n"/>
      <c r="CY15" s="546" t="n"/>
      <c r="CZ15" s="546" t="n"/>
      <c r="DA15" s="583" t="n"/>
      <c r="DB15" s="141" t="n"/>
      <c r="DC15" s="162" t="n"/>
      <c r="DD15" s="162" t="n"/>
      <c r="DE15" s="512" t="n"/>
      <c r="DF15" s="491" t="n"/>
      <c r="DG15" s="141" t="n"/>
      <c r="DH15" s="139" t="n"/>
      <c r="DI15" s="139" t="n"/>
      <c r="DJ15" s="139" t="n"/>
      <c r="DK15" s="347" t="n"/>
      <c r="DL15" s="348" t="n"/>
      <c r="DM15" s="162" t="n"/>
      <c r="DN15" s="162" t="n"/>
      <c r="DO15" s="162" t="n"/>
      <c r="DP15" s="162" t="n"/>
      <c r="DQ15" s="201" t="n"/>
      <c r="DR15" s="201" t="n"/>
      <c r="DS15" s="163" t="n"/>
      <c r="DT15" s="141" t="n"/>
      <c r="DU15" s="139" t="n"/>
      <c r="DV15" s="139" t="n"/>
      <c r="DW15" s="139" t="n"/>
      <c r="DX15" s="140" t="n"/>
      <c r="DY15" s="347" t="n"/>
      <c r="DZ15" s="147" t="n"/>
      <c r="EA15" s="31" t="n"/>
      <c r="EB15" s="349" t="n"/>
      <c r="EC15" s="349" t="n"/>
      <c r="ED15" s="45" t="n"/>
      <c r="EE15" s="351" t="n"/>
      <c r="EF15" s="107" t="n"/>
      <c r="EG15" s="139" t="n"/>
      <c r="EH15" s="139" t="n"/>
      <c r="EI15" s="139" t="n"/>
      <c r="EJ15" s="140" t="n"/>
      <c r="EK15" s="108" t="n"/>
      <c r="EL15" s="141" t="n"/>
      <c r="EM15" s="140" t="n"/>
      <c r="EN15" s="140" t="n"/>
      <c r="EO15" s="140" t="n"/>
      <c r="EP15" s="347" t="n"/>
      <c r="EQ15" s="348" t="n"/>
      <c r="ER15" s="107" t="n"/>
      <c r="ES15" s="140" t="n"/>
      <c r="ET15" s="140" t="n"/>
      <c r="EU15" s="107" t="n"/>
      <c r="EV15" s="587" t="n"/>
      <c r="EW15" s="587" t="n"/>
      <c r="EX15" s="141" t="n"/>
      <c r="EY15" s="140" t="n"/>
      <c r="EZ15" s="140" t="n"/>
      <c r="FA15" s="140" t="n"/>
      <c r="FB15" s="140" t="n"/>
      <c r="FC15" s="147" t="n"/>
      <c r="FD15" s="74" t="n"/>
      <c r="FE15" s="75" t="n"/>
      <c r="FF15" s="76" t="n"/>
      <c r="FG15" s="76" t="n"/>
      <c r="FH15" s="91" t="n"/>
      <c r="FI15" s="92" t="n"/>
      <c r="FJ15" s="91" t="n"/>
      <c r="FK15" s="74" t="n"/>
      <c r="FL15" s="92" t="n"/>
      <c r="FM15" s="148" t="n"/>
      <c r="FN15" s="149" t="n"/>
      <c r="FO15" s="150" t="n"/>
      <c r="FP15" s="99" t="n"/>
      <c r="FQ15" s="100" t="n"/>
      <c r="FR15" s="100" t="n"/>
      <c r="FS15" s="100" t="n"/>
      <c r="FT15" s="100" t="n"/>
      <c r="FU15" s="100" t="n"/>
      <c r="FV15" s="100" t="n"/>
      <c r="FW15" s="100" t="n"/>
      <c r="FX15" s="100" t="n"/>
      <c r="FY15" s="100" t="n"/>
      <c r="FZ15" s="100" t="n"/>
      <c r="GA15" s="102" t="n"/>
      <c r="GB15" s="15" t="n"/>
      <c r="GC15" s="546" t="n"/>
      <c r="GD15" s="546" t="n"/>
      <c r="GE15" s="17" t="n"/>
      <c r="GF15" s="15" t="n"/>
      <c r="GG15" s="546" t="n"/>
      <c r="GH15" s="546" t="n"/>
      <c r="GI15" s="17" t="n"/>
      <c r="GJ15" s="31" t="n"/>
      <c r="GK15" s="349" t="n"/>
      <c r="GL15" s="349" t="n"/>
      <c r="GM15" s="45" t="n"/>
      <c r="GN15" s="351" t="n"/>
      <c r="GO15" s="31" t="n"/>
      <c r="GP15" s="45" t="n"/>
      <c r="GQ15" s="45" t="n"/>
      <c r="GR15" s="350" t="n"/>
      <c r="GS15" s="351" t="n"/>
      <c r="GT15" s="107" t="n"/>
      <c r="GU15" s="587" t="n"/>
      <c r="GV15" s="108" t="n"/>
      <c r="GW15" s="15" t="n"/>
      <c r="GX15" s="546" t="n"/>
      <c r="GY15" s="17" t="n"/>
      <c r="GZ15" s="15" t="n"/>
      <c r="HA15" s="546" t="n"/>
      <c r="HB15" s="546" t="n"/>
      <c r="HC15" s="17" t="n"/>
      <c r="HD15" s="31" t="n"/>
      <c r="HE15" s="45" t="n"/>
      <c r="HF15" s="45" t="n"/>
      <c r="HG15" s="45" t="n"/>
      <c r="HH15" s="45" t="n"/>
      <c r="HI15" s="45" t="n"/>
      <c r="HJ15" s="45" t="n"/>
      <c r="HK15" s="45" t="n"/>
      <c r="HL15" s="45" t="n"/>
      <c r="HM15" s="45" t="n"/>
      <c r="HN15" s="45" t="n"/>
      <c r="HO15" s="351" t="n"/>
      <c r="HP15" s="606" t="n"/>
      <c r="HQ15" s="65">
        <f>AVERAGE(F15,K15,L15)</f>
        <v/>
      </c>
      <c r="HR15" s="66">
        <f>AVERAGE(C15,#REF!,M15,O15,Q15,U15,Z15)</f>
        <v/>
      </c>
      <c r="HS15" s="66">
        <f>AVERAGE(R15)</f>
        <v/>
      </c>
      <c r="HT15" s="66">
        <f>AVERAGE(N15)</f>
        <v/>
      </c>
      <c r="HU15" s="66">
        <f>AVERAGE(V15,P15,#REF!)</f>
        <v/>
      </c>
      <c r="HV15" s="66" t="n"/>
      <c r="HW15" s="66">
        <f>AVERAGE(X15)</f>
        <v/>
      </c>
      <c r="HX15" s="66" t="n"/>
      <c r="HY15" s="66" t="n"/>
      <c r="HZ15" s="66">
        <f>AVERAGE(Y15)</f>
        <v/>
      </c>
    </row>
    <row r="16" ht="15.75" customHeight="1" s="590">
      <c r="A16" s="295" t="inlineStr">
        <is>
          <t>052-26-128020</t>
        </is>
      </c>
      <c r="B16" s="296" t="inlineStr">
        <is>
          <t>Adil Kamal</t>
        </is>
      </c>
      <c r="C16" s="288" t="n">
        <v>61.9</v>
      </c>
      <c r="D16" s="288" t="n">
        <v>70.83</v>
      </c>
      <c r="E16" s="220" t="n">
        <v>78.41</v>
      </c>
      <c r="F16" s="288" t="n">
        <v>61.9</v>
      </c>
      <c r="G16" s="288" t="n">
        <v>70.83</v>
      </c>
      <c r="H16" s="288" t="n">
        <v>84.29000000000001</v>
      </c>
      <c r="I16" s="306" t="n">
        <v>85</v>
      </c>
      <c r="J16" s="306" t="n">
        <v>85</v>
      </c>
      <c r="K16" s="220" t="n">
        <v>87.37</v>
      </c>
      <c r="L16" s="561" t="n"/>
      <c r="M16" s="583" t="n"/>
      <c r="N16" s="546" t="n"/>
      <c r="O16" s="115" t="n"/>
      <c r="P16" s="117" t="n"/>
      <c r="Q16" s="225" t="n"/>
      <c r="R16" s="225" t="n"/>
      <c r="S16" s="225" t="n"/>
      <c r="T16" s="225" t="n"/>
      <c r="U16" s="225" t="n"/>
      <c r="V16" s="225" t="n"/>
      <c r="W16" s="225" t="n"/>
      <c r="X16" s="225" t="n"/>
      <c r="Y16" s="117" t="n"/>
      <c r="Z16" s="117" t="n"/>
      <c r="AA16" s="114" t="n"/>
      <c r="AB16" s="117" t="n"/>
      <c r="AC16" s="115" t="n"/>
      <c r="AD16" s="115" t="n"/>
      <c r="AE16" s="115" t="n"/>
      <c r="AF16" s="115" t="n"/>
      <c r="AG16" s="510" t="n"/>
      <c r="AH16" s="510" t="n"/>
      <c r="AI16" s="127" t="n"/>
      <c r="AJ16" s="128" t="n"/>
      <c r="AK16" s="131" t="n"/>
      <c r="AL16" s="127" t="n"/>
      <c r="AM16" s="128" t="n"/>
      <c r="AN16" s="128" t="n"/>
      <c r="AO16" s="128" t="n"/>
      <c r="AP16" s="131" t="n"/>
      <c r="AQ16" s="127" t="n"/>
      <c r="AR16" s="128" t="n"/>
      <c r="AS16" s="128" t="n"/>
      <c r="AT16" s="128" t="n"/>
      <c r="AU16" s="131" t="n"/>
      <c r="AV16" s="127" t="n"/>
      <c r="AW16" s="128" t="n"/>
      <c r="AX16" s="128" t="n"/>
      <c r="AY16" s="131" t="n"/>
      <c r="AZ16" s="131" t="n"/>
      <c r="BA16" s="131" t="n"/>
      <c r="BB16" s="131" t="n"/>
      <c r="BC16" s="114" t="n"/>
      <c r="BD16" s="546" t="n"/>
      <c r="BE16" s="511" t="n"/>
      <c r="BF16" s="114" t="n"/>
      <c r="BG16" s="546" t="n"/>
      <c r="BH16" s="511" t="n"/>
      <c r="BI16" s="114" t="n"/>
      <c r="BJ16" s="546" t="n"/>
      <c r="BK16" s="546" t="n"/>
      <c r="BL16" s="546" t="n"/>
      <c r="BM16" s="546" t="n"/>
      <c r="BN16" s="546" t="n"/>
      <c r="BO16" s="511" t="n"/>
      <c r="BP16" s="546" t="n"/>
      <c r="BQ16" s="546" t="n"/>
      <c r="BR16" s="546" t="n"/>
      <c r="BS16" s="546" t="n"/>
      <c r="BT16" s="546" t="n"/>
      <c r="BU16" s="546" t="n"/>
      <c r="BV16" s="546" t="n"/>
      <c r="BW16" s="15" t="n"/>
      <c r="BX16" s="546" t="n"/>
      <c r="BY16" s="546" t="n"/>
      <c r="BZ16" s="546" t="n"/>
      <c r="CA16" s="546" t="n"/>
      <c r="CB16" s="546" t="n"/>
      <c r="CC16" s="15" t="n"/>
      <c r="CD16" s="546" t="n"/>
      <c r="CE16" s="546" t="n"/>
      <c r="CF16" s="17" t="n"/>
      <c r="CG16" s="546" t="n"/>
      <c r="CH16" s="546" t="n"/>
      <c r="CI16" s="546" t="n"/>
      <c r="CJ16" s="546" t="n"/>
      <c r="CK16" s="583" t="n"/>
      <c r="CL16" s="15" t="n"/>
      <c r="CM16" s="15" t="n"/>
      <c r="CN16" s="15" t="n"/>
      <c r="CO16" s="15" t="n"/>
      <c r="CP16" s="546" t="n"/>
      <c r="CQ16" s="17" t="n"/>
      <c r="CR16" s="74" t="n"/>
      <c r="CS16" s="75" t="n"/>
      <c r="CT16" s="76" t="n"/>
      <c r="CU16" s="76" t="n"/>
      <c r="CV16" s="91" t="n"/>
      <c r="CW16" s="546" t="n"/>
      <c r="CX16" s="546" t="n"/>
      <c r="CY16" s="546" t="n"/>
      <c r="CZ16" s="546" t="n"/>
      <c r="DA16" s="583" t="n"/>
      <c r="DB16" s="141" t="n"/>
      <c r="DC16" s="162" t="n"/>
      <c r="DD16" s="162" t="n"/>
      <c r="DE16" s="512" t="n"/>
      <c r="DF16" s="491" t="n"/>
      <c r="DG16" s="141" t="n"/>
      <c r="DH16" s="139" t="n"/>
      <c r="DI16" s="139" t="n"/>
      <c r="DJ16" s="139" t="n"/>
      <c r="DK16" s="347" t="n"/>
      <c r="DL16" s="348" t="n"/>
      <c r="DM16" s="162" t="n"/>
      <c r="DN16" s="162" t="n"/>
      <c r="DO16" s="162" t="n"/>
      <c r="DP16" s="162" t="n"/>
      <c r="DQ16" s="201" t="n"/>
      <c r="DR16" s="201" t="n"/>
      <c r="DS16" s="163" t="n"/>
      <c r="DT16" s="141" t="n"/>
      <c r="DU16" s="139" t="n"/>
      <c r="DV16" s="139" t="n"/>
      <c r="DW16" s="139" t="n"/>
      <c r="DX16" s="140" t="n"/>
      <c r="DY16" s="347" t="n"/>
      <c r="DZ16" s="147" t="n"/>
      <c r="EA16" s="31" t="n"/>
      <c r="EB16" s="349" t="n"/>
      <c r="EC16" s="349" t="n"/>
      <c r="ED16" s="45" t="n"/>
      <c r="EE16" s="351" t="n"/>
      <c r="EF16" s="107" t="n"/>
      <c r="EG16" s="139" t="n"/>
      <c r="EH16" s="139" t="n"/>
      <c r="EI16" s="139" t="n"/>
      <c r="EJ16" s="140" t="n"/>
      <c r="EK16" s="108" t="n"/>
      <c r="EL16" s="141" t="n"/>
      <c r="EM16" s="140" t="n"/>
      <c r="EN16" s="140" t="n"/>
      <c r="EO16" s="140" t="n"/>
      <c r="EP16" s="347" t="n"/>
      <c r="EQ16" s="348" t="n"/>
      <c r="ER16" s="107" t="n"/>
      <c r="ES16" s="140" t="n"/>
      <c r="ET16" s="140" t="n"/>
      <c r="EU16" s="107" t="n"/>
      <c r="EV16" s="587" t="n"/>
      <c r="EW16" s="587" t="n"/>
      <c r="EX16" s="141" t="n"/>
      <c r="EY16" s="140" t="n"/>
      <c r="EZ16" s="140" t="n"/>
      <c r="FA16" s="140" t="n"/>
      <c r="FB16" s="140" t="n"/>
      <c r="FC16" s="147" t="n"/>
      <c r="FD16" s="74" t="n"/>
      <c r="FE16" s="75" t="n"/>
      <c r="FF16" s="76" t="n"/>
      <c r="FG16" s="76" t="n"/>
      <c r="FH16" s="91" t="n"/>
      <c r="FI16" s="92" t="n"/>
      <c r="FJ16" s="91" t="n"/>
      <c r="FK16" s="74" t="n"/>
      <c r="FL16" s="92" t="n"/>
      <c r="FM16" s="148" t="n"/>
      <c r="FN16" s="149" t="n"/>
      <c r="FO16" s="150" t="n"/>
      <c r="FP16" s="99" t="n"/>
      <c r="FQ16" s="100" t="n"/>
      <c r="FR16" s="100" t="n"/>
      <c r="FS16" s="100" t="n"/>
      <c r="FT16" s="100" t="n"/>
      <c r="FU16" s="100" t="n"/>
      <c r="FV16" s="100" t="n"/>
      <c r="FW16" s="100" t="n"/>
      <c r="FX16" s="100" t="n"/>
      <c r="FY16" s="100" t="n"/>
      <c r="FZ16" s="100" t="n"/>
      <c r="GA16" s="102" t="n"/>
      <c r="GB16" s="15" t="n"/>
      <c r="GC16" s="546" t="n"/>
      <c r="GD16" s="546" t="n"/>
      <c r="GE16" s="17" t="n"/>
      <c r="GF16" s="15" t="n"/>
      <c r="GG16" s="546" t="n"/>
      <c r="GH16" s="546" t="n"/>
      <c r="GI16" s="17" t="n"/>
      <c r="GJ16" s="31" t="n"/>
      <c r="GK16" s="349" t="n"/>
      <c r="GL16" s="349" t="n"/>
      <c r="GM16" s="45" t="n"/>
      <c r="GN16" s="351" t="n"/>
      <c r="GO16" s="31" t="n"/>
      <c r="GP16" s="45" t="n"/>
      <c r="GQ16" s="45" t="n"/>
      <c r="GR16" s="350" t="n"/>
      <c r="GS16" s="351" t="n"/>
      <c r="GT16" s="107" t="n"/>
      <c r="GU16" s="587" t="n"/>
      <c r="GV16" s="108" t="n"/>
      <c r="GW16" s="15" t="n"/>
      <c r="GX16" s="546" t="n"/>
      <c r="GY16" s="17" t="n"/>
      <c r="GZ16" s="15" t="n"/>
      <c r="HA16" s="546" t="n"/>
      <c r="HB16" s="546" t="n"/>
      <c r="HC16" s="17" t="n"/>
      <c r="HD16" s="31" t="n"/>
      <c r="HE16" s="45" t="n"/>
      <c r="HF16" s="45" t="n"/>
      <c r="HG16" s="45" t="n"/>
      <c r="HH16" s="45" t="n"/>
      <c r="HI16" s="45" t="n"/>
      <c r="HJ16" s="45" t="n"/>
      <c r="HK16" s="45" t="n"/>
      <c r="HL16" s="45" t="n"/>
      <c r="HM16" s="45" t="n"/>
      <c r="HN16" s="45" t="n"/>
      <c r="HO16" s="351" t="n"/>
      <c r="HP16" s="606" t="n"/>
      <c r="HQ16" s="65">
        <f>AVERAGE(F16,K16,L16)</f>
        <v/>
      </c>
      <c r="HR16" s="66">
        <f>AVERAGE(C16,#REF!,M16,O16,Q16,U16,Z16)</f>
        <v/>
      </c>
      <c r="HS16" s="66">
        <f>AVERAGE(R16)</f>
        <v/>
      </c>
      <c r="HT16" s="66">
        <f>AVERAGE(N16)</f>
        <v/>
      </c>
      <c r="HU16" s="66">
        <f>AVERAGE(V16,P16,#REF!)</f>
        <v/>
      </c>
      <c r="HV16" s="66" t="n"/>
      <c r="HW16" s="66">
        <f>AVERAGE(X16)</f>
        <v/>
      </c>
      <c r="HX16" s="66" t="n"/>
      <c r="HY16" s="66" t="n"/>
      <c r="HZ16" s="66">
        <f>AVERAGE(Y16)</f>
        <v/>
      </c>
    </row>
    <row r="17" ht="15.75" customHeight="1" s="590">
      <c r="A17" s="295" t="inlineStr">
        <is>
          <t>052-26-128023</t>
        </is>
      </c>
      <c r="B17" s="296" t="inlineStr">
        <is>
          <t>IBADUR RAHMAN</t>
        </is>
      </c>
      <c r="C17" s="288" t="n">
        <v>64.29000000000001</v>
      </c>
      <c r="D17" s="288" t="n">
        <v>68.61</v>
      </c>
      <c r="E17" s="220" t="n">
        <v>85.65000000000001</v>
      </c>
      <c r="F17" s="288" t="n">
        <v>64.29000000000001</v>
      </c>
      <c r="G17" s="288" t="n">
        <v>68.61</v>
      </c>
      <c r="H17" s="288" t="n">
        <v>50.43</v>
      </c>
      <c r="I17" s="306" t="n">
        <v>50.67</v>
      </c>
      <c r="J17" s="306" t="n">
        <v>50.62</v>
      </c>
      <c r="K17" s="220" t="n">
        <v>90.18000000000001</v>
      </c>
      <c r="L17" s="561" t="n"/>
      <c r="M17" s="583" t="n"/>
      <c r="N17" s="546" t="n"/>
      <c r="O17" s="115" t="n"/>
      <c r="P17" s="117" t="n"/>
      <c r="Q17" s="225" t="n"/>
      <c r="R17" s="225" t="n"/>
      <c r="S17" s="225" t="n"/>
      <c r="T17" s="225" t="n"/>
      <c r="U17" s="225" t="n"/>
      <c r="V17" s="225" t="n"/>
      <c r="W17" s="225" t="n"/>
      <c r="X17" s="225" t="n"/>
      <c r="Y17" s="117" t="n"/>
      <c r="Z17" s="117" t="n"/>
      <c r="AA17" s="114" t="n"/>
      <c r="AB17" s="117" t="n"/>
      <c r="AC17" s="115" t="n"/>
      <c r="AD17" s="115" t="n"/>
      <c r="AE17" s="115" t="n"/>
      <c r="AF17" s="115" t="n"/>
      <c r="AG17" s="510" t="n"/>
      <c r="AH17" s="510" t="n"/>
      <c r="AI17" s="127" t="n"/>
      <c r="AJ17" s="128" t="n"/>
      <c r="AK17" s="131" t="n"/>
      <c r="AL17" s="127" t="n"/>
      <c r="AM17" s="128" t="n"/>
      <c r="AN17" s="128" t="n"/>
      <c r="AO17" s="128" t="n"/>
      <c r="AP17" s="131" t="n"/>
      <c r="AQ17" s="127" t="n"/>
      <c r="AR17" s="128" t="n"/>
      <c r="AS17" s="128" t="n"/>
      <c r="AT17" s="128" t="n"/>
      <c r="AU17" s="131" t="n"/>
      <c r="AV17" s="127" t="n"/>
      <c r="AW17" s="128" t="n"/>
      <c r="AX17" s="128" t="n"/>
      <c r="AY17" s="131" t="n"/>
      <c r="AZ17" s="131" t="n"/>
      <c r="BA17" s="131" t="n"/>
      <c r="BB17" s="131" t="n"/>
      <c r="BC17" s="114" t="n"/>
      <c r="BD17" s="546" t="n"/>
      <c r="BE17" s="511" t="n"/>
      <c r="BF17" s="114" t="n"/>
      <c r="BG17" s="546" t="n"/>
      <c r="BH17" s="511" t="n"/>
      <c r="BI17" s="114" t="n"/>
      <c r="BJ17" s="546" t="n"/>
      <c r="BK17" s="546" t="n"/>
      <c r="BL17" s="546" t="n"/>
      <c r="BM17" s="546" t="n"/>
      <c r="BN17" s="546" t="n"/>
      <c r="BO17" s="511" t="n"/>
      <c r="BP17" s="546" t="n"/>
      <c r="BQ17" s="546" t="n"/>
      <c r="BR17" s="546" t="n"/>
      <c r="BS17" s="546" t="n"/>
      <c r="BT17" s="546" t="n"/>
      <c r="BU17" s="546" t="n"/>
      <c r="BV17" s="546" t="n"/>
      <c r="BW17" s="15" t="n"/>
      <c r="BX17" s="546" t="n"/>
      <c r="BY17" s="546" t="n"/>
      <c r="BZ17" s="546" t="n"/>
      <c r="CA17" s="546" t="n"/>
      <c r="CB17" s="546" t="n"/>
      <c r="CC17" s="15" t="n"/>
      <c r="CD17" s="546" t="n"/>
      <c r="CE17" s="546" t="n"/>
      <c r="CF17" s="17" t="n"/>
      <c r="CG17" s="546" t="n"/>
      <c r="CH17" s="546" t="n"/>
      <c r="CI17" s="546" t="n"/>
      <c r="CJ17" s="546" t="n"/>
      <c r="CK17" s="583" t="n"/>
      <c r="CL17" s="15" t="n"/>
      <c r="CM17" s="15" t="n"/>
      <c r="CN17" s="15" t="n"/>
      <c r="CO17" s="15" t="n"/>
      <c r="CP17" s="546" t="n"/>
      <c r="CQ17" s="17" t="n"/>
      <c r="CR17" s="74" t="n"/>
      <c r="CS17" s="75" t="n"/>
      <c r="CT17" s="76" t="n"/>
      <c r="CU17" s="76" t="n"/>
      <c r="CV17" s="91" t="n"/>
      <c r="CW17" s="546" t="n"/>
      <c r="CX17" s="546" t="n"/>
      <c r="CY17" s="546" t="n"/>
      <c r="CZ17" s="546" t="n"/>
      <c r="DA17" s="583" t="n"/>
      <c r="DB17" s="141" t="n"/>
      <c r="DC17" s="162" t="n"/>
      <c r="DD17" s="162" t="n"/>
      <c r="DE17" s="512" t="n"/>
      <c r="DF17" s="491" t="n"/>
      <c r="DG17" s="141" t="n"/>
      <c r="DH17" s="139" t="n"/>
      <c r="DI17" s="139" t="n"/>
      <c r="DJ17" s="139" t="n"/>
      <c r="DK17" s="347" t="n"/>
      <c r="DL17" s="348" t="n"/>
      <c r="DM17" s="162" t="n"/>
      <c r="DN17" s="162" t="n"/>
      <c r="DO17" s="162" t="n"/>
      <c r="DP17" s="162" t="n"/>
      <c r="DQ17" s="201" t="n"/>
      <c r="DR17" s="201" t="n"/>
      <c r="DS17" s="163" t="n"/>
      <c r="DT17" s="141" t="n"/>
      <c r="DU17" s="139" t="n"/>
      <c r="DV17" s="139" t="n"/>
      <c r="DW17" s="139" t="n"/>
      <c r="DX17" s="140" t="n"/>
      <c r="DY17" s="347" t="n"/>
      <c r="DZ17" s="147" t="n"/>
      <c r="EA17" s="31" t="n"/>
      <c r="EB17" s="349" t="n"/>
      <c r="EC17" s="349" t="n"/>
      <c r="ED17" s="45" t="n"/>
      <c r="EE17" s="351" t="n"/>
      <c r="EF17" s="107" t="n"/>
      <c r="EG17" s="139" t="n"/>
      <c r="EH17" s="139" t="n"/>
      <c r="EI17" s="139" t="n"/>
      <c r="EJ17" s="140" t="n"/>
      <c r="EK17" s="108" t="n"/>
      <c r="EL17" s="141" t="n"/>
      <c r="EM17" s="140" t="n"/>
      <c r="EN17" s="140" t="n"/>
      <c r="EO17" s="140" t="n"/>
      <c r="EP17" s="347" t="n"/>
      <c r="EQ17" s="348" t="n"/>
      <c r="ER17" s="107" t="n"/>
      <c r="ES17" s="140" t="n"/>
      <c r="ET17" s="140" t="n"/>
      <c r="EU17" s="107" t="n"/>
      <c r="EV17" s="587" t="n"/>
      <c r="EW17" s="587" t="n"/>
      <c r="EX17" s="141" t="n"/>
      <c r="EY17" s="140" t="n"/>
      <c r="EZ17" s="140" t="n"/>
      <c r="FA17" s="140" t="n"/>
      <c r="FB17" s="140" t="n"/>
      <c r="FC17" s="147" t="n"/>
      <c r="FD17" s="74" t="n"/>
      <c r="FE17" s="75" t="n"/>
      <c r="FF17" s="76" t="n"/>
      <c r="FG17" s="76" t="n"/>
      <c r="FH17" s="91" t="n"/>
      <c r="FI17" s="92" t="n"/>
      <c r="FJ17" s="91" t="n"/>
      <c r="FK17" s="74" t="n"/>
      <c r="FL17" s="92" t="n"/>
      <c r="FM17" s="148" t="n"/>
      <c r="FN17" s="149" t="n"/>
      <c r="FO17" s="150" t="n"/>
      <c r="FP17" s="99" t="n"/>
      <c r="FQ17" s="100" t="n"/>
      <c r="FR17" s="100" t="n"/>
      <c r="FS17" s="100" t="n"/>
      <c r="FT17" s="100" t="n"/>
      <c r="FU17" s="100" t="n"/>
      <c r="FV17" s="100" t="n"/>
      <c r="FW17" s="100" t="n"/>
      <c r="FX17" s="100" t="n"/>
      <c r="FY17" s="100" t="n"/>
      <c r="FZ17" s="100" t="n"/>
      <c r="GA17" s="102" t="n"/>
      <c r="GB17" s="15" t="n"/>
      <c r="GC17" s="546" t="n"/>
      <c r="GD17" s="546" t="n"/>
      <c r="GE17" s="17" t="n"/>
      <c r="GF17" s="15" t="n"/>
      <c r="GG17" s="546" t="n"/>
      <c r="GH17" s="546" t="n"/>
      <c r="GI17" s="17" t="n"/>
      <c r="GJ17" s="31" t="n"/>
      <c r="GK17" s="349" t="n"/>
      <c r="GL17" s="349" t="n"/>
      <c r="GM17" s="45" t="n"/>
      <c r="GN17" s="351" t="n"/>
      <c r="GO17" s="31" t="n"/>
      <c r="GP17" s="45" t="n"/>
      <c r="GQ17" s="45" t="n"/>
      <c r="GR17" s="350" t="n"/>
      <c r="GS17" s="351" t="n"/>
      <c r="GT17" s="107" t="n"/>
      <c r="GU17" s="587" t="n"/>
      <c r="GV17" s="108" t="n"/>
      <c r="GW17" s="15" t="n"/>
      <c r="GX17" s="546" t="n"/>
      <c r="GY17" s="17" t="n"/>
      <c r="GZ17" s="15" t="n"/>
      <c r="HA17" s="546" t="n"/>
      <c r="HB17" s="546" t="n"/>
      <c r="HC17" s="17" t="n"/>
      <c r="HD17" s="31" t="n"/>
      <c r="HE17" s="45" t="n"/>
      <c r="HF17" s="45" t="n"/>
      <c r="HG17" s="45" t="n"/>
      <c r="HH17" s="45" t="n"/>
      <c r="HI17" s="45" t="n"/>
      <c r="HJ17" s="45" t="n"/>
      <c r="HK17" s="45" t="n"/>
      <c r="HL17" s="45" t="n"/>
      <c r="HM17" s="45" t="n"/>
      <c r="HN17" s="45" t="n"/>
      <c r="HO17" s="351" t="n"/>
      <c r="HP17" s="606" t="n"/>
      <c r="HQ17" s="65">
        <f>AVERAGE(F17,K17,L17)</f>
        <v/>
      </c>
      <c r="HR17" s="66">
        <f>AVERAGE(C17,#REF!,M17,O17,Q17,U17,Z17)</f>
        <v/>
      </c>
      <c r="HS17" s="66">
        <f>AVERAGE(R17)</f>
        <v/>
      </c>
      <c r="HT17" s="66">
        <f>AVERAGE(N17)</f>
        <v/>
      </c>
      <c r="HU17" s="66">
        <f>AVERAGE(V17,P17,#REF!)</f>
        <v/>
      </c>
      <c r="HV17" s="66" t="n"/>
      <c r="HW17" s="66">
        <f>AVERAGE(X17)</f>
        <v/>
      </c>
      <c r="HX17" s="66" t="n"/>
      <c r="HY17" s="66" t="n"/>
      <c r="HZ17" s="66">
        <f>AVERAGE(Y17)</f>
        <v/>
      </c>
    </row>
    <row r="18" ht="15.75" customHeight="1" s="590">
      <c r="A18" s="295" t="inlineStr">
        <is>
          <t>052-26-128026</t>
        </is>
      </c>
      <c r="B18" s="296" t="inlineStr">
        <is>
          <t>Rao Saim Naeem</t>
        </is>
      </c>
      <c r="C18" s="288" t="n">
        <v>100</v>
      </c>
      <c r="D18" s="288" t="n">
        <v>74.44</v>
      </c>
      <c r="E18" s="220" t="n">
        <v>85.65000000000001</v>
      </c>
      <c r="F18" s="288" t="n">
        <v>100</v>
      </c>
      <c r="G18" s="288" t="n">
        <v>74.44</v>
      </c>
      <c r="H18" s="288" t="n">
        <v>32</v>
      </c>
      <c r="I18" s="306" t="n">
        <v>63</v>
      </c>
      <c r="J18" s="306" t="n">
        <v>22.87</v>
      </c>
      <c r="K18" s="220" t="n">
        <v>90.7</v>
      </c>
      <c r="L18" s="561" t="n"/>
      <c r="M18" s="583" t="n"/>
      <c r="N18" s="546" t="n"/>
      <c r="O18" s="115" t="n"/>
      <c r="P18" s="117" t="n"/>
      <c r="Q18" s="225" t="n"/>
      <c r="R18" s="225" t="n"/>
      <c r="S18" s="225" t="n"/>
      <c r="T18" s="225" t="n"/>
      <c r="U18" s="225" t="n"/>
      <c r="V18" s="225" t="n"/>
      <c r="W18" s="225" t="n"/>
      <c r="X18" s="225" t="n"/>
      <c r="Y18" s="117" t="n"/>
      <c r="Z18" s="117" t="n"/>
      <c r="AA18" s="114" t="n"/>
      <c r="AB18" s="117" t="n"/>
      <c r="AC18" s="115" t="n"/>
      <c r="AD18" s="115" t="n"/>
      <c r="AE18" s="115" t="n"/>
      <c r="AF18" s="115" t="n"/>
      <c r="AG18" s="510" t="n"/>
      <c r="AH18" s="510" t="n"/>
      <c r="AI18" s="127" t="n"/>
      <c r="AJ18" s="128" t="n"/>
      <c r="AK18" s="131" t="n"/>
      <c r="AL18" s="127" t="n"/>
      <c r="AM18" s="128" t="n"/>
      <c r="AN18" s="128" t="n"/>
      <c r="AO18" s="128" t="n"/>
      <c r="AP18" s="131" t="n"/>
      <c r="AQ18" s="127" t="n"/>
      <c r="AR18" s="128" t="n"/>
      <c r="AS18" s="128" t="n"/>
      <c r="AT18" s="128" t="n"/>
      <c r="AU18" s="131" t="n"/>
      <c r="AV18" s="127" t="n"/>
      <c r="AW18" s="128" t="n"/>
      <c r="AX18" s="128" t="n"/>
      <c r="AY18" s="131" t="n"/>
      <c r="AZ18" s="131" t="n"/>
      <c r="BA18" s="131" t="n"/>
      <c r="BB18" s="131" t="n"/>
      <c r="BC18" s="114" t="n"/>
      <c r="BD18" s="546" t="n"/>
      <c r="BE18" s="511" t="n"/>
      <c r="BF18" s="114" t="n"/>
      <c r="BG18" s="546" t="n"/>
      <c r="BH18" s="511" t="n"/>
      <c r="BI18" s="114" t="n"/>
      <c r="BJ18" s="546" t="n"/>
      <c r="BK18" s="546" t="n"/>
      <c r="BL18" s="546" t="n"/>
      <c r="BM18" s="546" t="n"/>
      <c r="BN18" s="546" t="n"/>
      <c r="BO18" s="511" t="n"/>
      <c r="BP18" s="546" t="n"/>
      <c r="BQ18" s="546" t="n"/>
      <c r="BR18" s="546" t="n"/>
      <c r="BS18" s="546" t="n"/>
      <c r="BT18" s="546" t="n"/>
      <c r="BU18" s="546" t="n"/>
      <c r="BV18" s="546" t="n"/>
      <c r="BW18" s="15" t="n"/>
      <c r="BX18" s="546" t="n"/>
      <c r="BY18" s="546" t="n"/>
      <c r="BZ18" s="546" t="n"/>
      <c r="CA18" s="546" t="n"/>
      <c r="CB18" s="546" t="n"/>
      <c r="CC18" s="15" t="n"/>
      <c r="CD18" s="546" t="n"/>
      <c r="CE18" s="546" t="n"/>
      <c r="CF18" s="17" t="n"/>
      <c r="CG18" s="546" t="n"/>
      <c r="CH18" s="546" t="n"/>
      <c r="CI18" s="546" t="n"/>
      <c r="CJ18" s="546" t="n"/>
      <c r="CK18" s="583" t="n"/>
      <c r="CL18" s="15" t="n"/>
      <c r="CM18" s="15" t="n"/>
      <c r="CN18" s="15" t="n"/>
      <c r="CO18" s="15" t="n"/>
      <c r="CP18" s="546" t="n"/>
      <c r="CQ18" s="17" t="n"/>
      <c r="CR18" s="74" t="n"/>
      <c r="CS18" s="75" t="n"/>
      <c r="CT18" s="76" t="n"/>
      <c r="CU18" s="76" t="n"/>
      <c r="CV18" s="91" t="n"/>
      <c r="CW18" s="546" t="n"/>
      <c r="CX18" s="546" t="n"/>
      <c r="CY18" s="546" t="n"/>
      <c r="CZ18" s="546" t="n"/>
      <c r="DA18" s="583" t="n"/>
      <c r="DB18" s="141" t="n"/>
      <c r="DC18" s="162" t="n"/>
      <c r="DD18" s="162" t="n"/>
      <c r="DE18" s="662" t="n"/>
      <c r="DF18" s="663" t="n"/>
      <c r="DG18" s="141" t="n"/>
      <c r="DH18" s="139" t="n"/>
      <c r="DI18" s="139" t="n"/>
      <c r="DJ18" s="139" t="n"/>
      <c r="DK18" s="147" t="n"/>
      <c r="DL18" s="664" t="n"/>
      <c r="DM18" s="162" t="n"/>
      <c r="DN18" s="162" t="n"/>
      <c r="DO18" s="162" t="n"/>
      <c r="DP18" s="162" t="n"/>
      <c r="DQ18" s="201" t="n"/>
      <c r="DR18" s="201" t="n"/>
      <c r="DS18" s="163" t="n"/>
      <c r="DT18" s="141" t="n"/>
      <c r="DU18" s="139" t="n"/>
      <c r="DV18" s="139" t="n"/>
      <c r="DW18" s="139" t="n"/>
      <c r="DX18" s="140" t="n"/>
      <c r="DY18" s="347" t="n"/>
      <c r="DZ18" s="147" t="n"/>
      <c r="EA18" s="31" t="n"/>
      <c r="EB18" s="45" t="n"/>
      <c r="EC18" s="665" t="n"/>
      <c r="ED18" s="45" t="n"/>
      <c r="EE18" s="351" t="n"/>
      <c r="EF18" s="107" t="n"/>
      <c r="EG18" s="139" t="n"/>
      <c r="EH18" s="139" t="n"/>
      <c r="EI18" s="139" t="n"/>
      <c r="EJ18" s="140" t="n"/>
      <c r="EK18" s="108" t="n"/>
      <c r="EL18" s="141" t="n"/>
      <c r="EM18" s="140" t="n"/>
      <c r="EN18" s="140" t="n"/>
      <c r="EO18" s="140" t="n"/>
      <c r="EP18" s="108" t="n"/>
      <c r="EQ18" s="666" t="n"/>
      <c r="ER18" s="107" t="n"/>
      <c r="ES18" s="140" t="n"/>
      <c r="ET18" s="140" t="n"/>
      <c r="EU18" s="107" t="n"/>
      <c r="EV18" s="587" t="n"/>
      <c r="EW18" s="587" t="n"/>
      <c r="EX18" s="141" t="n"/>
      <c r="EY18" s="140" t="n"/>
      <c r="EZ18" s="140" t="n"/>
      <c r="FA18" s="140" t="n"/>
      <c r="FB18" s="140" t="n"/>
      <c r="FC18" s="147" t="n"/>
      <c r="FD18" s="74" t="n"/>
      <c r="FE18" s="75" t="n"/>
      <c r="FF18" s="76" t="n"/>
      <c r="FG18" s="76" t="n"/>
      <c r="FH18" s="91" t="n"/>
      <c r="FI18" s="92" t="n"/>
      <c r="FJ18" s="91" t="n"/>
      <c r="FK18" s="74" t="n"/>
      <c r="FL18" s="92" t="n"/>
      <c r="FM18" s="148" t="n"/>
      <c r="FN18" s="149" t="n"/>
      <c r="FO18" s="150" t="n"/>
      <c r="FP18" s="99" t="n"/>
      <c r="FQ18" s="100" t="n"/>
      <c r="FR18" s="100" t="n"/>
      <c r="FS18" s="100" t="n"/>
      <c r="FT18" s="100" t="n"/>
      <c r="FU18" s="100" t="n"/>
      <c r="FV18" s="100" t="n"/>
      <c r="FW18" s="100" t="n"/>
      <c r="FX18" s="100" t="n"/>
      <c r="FY18" s="100" t="n"/>
      <c r="FZ18" s="100" t="n"/>
      <c r="GA18" s="102" t="n"/>
      <c r="GB18" s="15" t="n"/>
      <c r="GC18" s="546" t="n"/>
      <c r="GD18" s="546" t="n"/>
      <c r="GE18" s="17" t="n"/>
      <c r="GF18" s="15" t="n"/>
      <c r="GG18" s="546" t="n"/>
      <c r="GH18" s="546" t="n"/>
      <c r="GI18" s="17" t="n"/>
      <c r="GJ18" s="31" t="n"/>
      <c r="GK18" s="45" t="n"/>
      <c r="GL18" s="665" t="n"/>
      <c r="GM18" s="45" t="n"/>
      <c r="GN18" s="351" t="n"/>
      <c r="GO18" s="31" t="n"/>
      <c r="GP18" s="45" t="n"/>
      <c r="GQ18" s="45" t="n"/>
      <c r="GR18" s="667" t="n"/>
      <c r="GS18" s="668" t="n"/>
      <c r="GT18" s="107" t="n"/>
      <c r="GU18" s="587" t="n"/>
      <c r="GV18" s="108" t="n"/>
      <c r="GW18" s="15" t="n"/>
      <c r="GX18" s="546" t="n"/>
      <c r="GY18" s="17" t="n"/>
      <c r="GZ18" s="15" t="n"/>
      <c r="HA18" s="546" t="n"/>
      <c r="HB18" s="546" t="n"/>
      <c r="HC18" s="17" t="n"/>
      <c r="HD18" s="31" t="n"/>
      <c r="HE18" s="45" t="n"/>
      <c r="HF18" s="45" t="n"/>
      <c r="HG18" s="45" t="n"/>
      <c r="HH18" s="45" t="n"/>
      <c r="HI18" s="45" t="n"/>
      <c r="HJ18" s="45" t="n"/>
      <c r="HK18" s="45" t="n"/>
      <c r="HL18" s="45" t="n"/>
      <c r="HM18" s="45" t="n"/>
      <c r="HN18" s="45" t="n"/>
      <c r="HO18" s="351" t="n"/>
      <c r="HP18" s="606" t="n"/>
      <c r="HQ18" s="65">
        <f>AVERAGE(F18,K18,L18)</f>
        <v/>
      </c>
      <c r="HR18" s="66">
        <f>AVERAGE(C18,#REF!,M18,O18,Q18,U18,Z18)</f>
        <v/>
      </c>
      <c r="HS18" s="66">
        <f>AVERAGE(R18)</f>
        <v/>
      </c>
      <c r="HT18" s="66">
        <f>AVERAGE(N18)</f>
        <v/>
      </c>
      <c r="HU18" s="66">
        <f>AVERAGE(V18,P18,#REF!)</f>
        <v/>
      </c>
      <c r="HV18" s="66" t="n"/>
      <c r="HW18" s="66">
        <f>AVERAGE(X18)</f>
        <v/>
      </c>
      <c r="HX18" s="66" t="n"/>
      <c r="HY18" s="66" t="n"/>
      <c r="HZ18" s="66">
        <f>AVERAGE(Y18)</f>
        <v/>
      </c>
    </row>
    <row r="19" ht="15.75" customHeight="1" s="590">
      <c r="A19" s="295" t="inlineStr">
        <is>
          <t>052-26-128029</t>
        </is>
      </c>
      <c r="B19" s="296" t="inlineStr">
        <is>
          <t>Muneeb Ahmed</t>
        </is>
      </c>
      <c r="C19" s="288" t="n">
        <v>91.67</v>
      </c>
      <c r="D19" s="288" t="n">
        <v>71.11</v>
      </c>
      <c r="E19" s="220" t="n">
        <v>85.65000000000001</v>
      </c>
      <c r="F19" s="288" t="n">
        <v>91.67</v>
      </c>
      <c r="G19" s="288" t="n">
        <v>71.11</v>
      </c>
      <c r="H19" s="288" t="n">
        <v>50.71</v>
      </c>
      <c r="I19" s="306" t="n">
        <v>51.67</v>
      </c>
      <c r="J19" s="306" t="n">
        <v>50.23</v>
      </c>
      <c r="K19" s="220" t="n">
        <v>97.02</v>
      </c>
      <c r="L19" s="561" t="n"/>
      <c r="M19" s="583" t="n"/>
      <c r="N19" s="546" t="n"/>
      <c r="O19" s="115" t="n"/>
      <c r="P19" s="117" t="n"/>
      <c r="Q19" s="225" t="n"/>
      <c r="R19" s="225" t="n"/>
      <c r="S19" s="225" t="n"/>
      <c r="T19" s="225" t="n"/>
      <c r="U19" s="225" t="n"/>
      <c r="V19" s="225" t="n"/>
      <c r="W19" s="225" t="n"/>
      <c r="X19" s="225" t="n"/>
      <c r="Y19" s="117" t="n"/>
      <c r="Z19" s="117" t="n"/>
      <c r="AA19" s="114" t="n"/>
      <c r="AB19" s="117" t="n"/>
      <c r="AC19" s="115" t="n"/>
      <c r="AD19" s="115" t="n"/>
      <c r="AE19" s="115" t="n"/>
      <c r="AF19" s="115" t="n"/>
      <c r="AG19" s="510" t="n"/>
      <c r="AH19" s="510" t="n"/>
      <c r="AI19" s="127" t="n"/>
      <c r="AJ19" s="128" t="n"/>
      <c r="AK19" s="131" t="n"/>
      <c r="AL19" s="127" t="n"/>
      <c r="AM19" s="128" t="n"/>
      <c r="AN19" s="128" t="n"/>
      <c r="AO19" s="128" t="n"/>
      <c r="AP19" s="131" t="n"/>
      <c r="AQ19" s="127" t="n"/>
      <c r="AR19" s="128" t="n"/>
      <c r="AS19" s="128" t="n"/>
      <c r="AT19" s="128" t="n"/>
      <c r="AU19" s="131" t="n"/>
      <c r="AV19" s="127" t="n"/>
      <c r="AW19" s="128" t="n"/>
      <c r="AX19" s="128" t="n"/>
      <c r="AY19" s="131" t="n"/>
      <c r="AZ19" s="131" t="n"/>
      <c r="BA19" s="131" t="n"/>
      <c r="BB19" s="131" t="n"/>
      <c r="BC19" s="114" t="n"/>
      <c r="BD19" s="546" t="n"/>
      <c r="BE19" s="511" t="n"/>
      <c r="BF19" s="114" t="n"/>
      <c r="BG19" s="546" t="n"/>
      <c r="BH19" s="511" t="n"/>
      <c r="BI19" s="114" t="n"/>
      <c r="BJ19" s="546" t="n"/>
      <c r="BK19" s="546" t="n"/>
      <c r="BL19" s="546" t="n"/>
      <c r="BM19" s="546" t="n"/>
      <c r="BN19" s="546" t="n"/>
      <c r="BO19" s="511" t="n"/>
      <c r="BP19" s="546" t="n"/>
      <c r="BQ19" s="546" t="n"/>
      <c r="BR19" s="546" t="n"/>
      <c r="BS19" s="546" t="n"/>
      <c r="BT19" s="546" t="n"/>
      <c r="BU19" s="546" t="n"/>
      <c r="BV19" s="546" t="n"/>
      <c r="BW19" s="15" t="n"/>
      <c r="BX19" s="546" t="n"/>
      <c r="BY19" s="546" t="n"/>
      <c r="BZ19" s="546" t="n"/>
      <c r="CA19" s="546" t="n"/>
      <c r="CB19" s="546" t="n"/>
      <c r="CC19" s="15" t="n"/>
      <c r="CD19" s="546" t="n"/>
      <c r="CE19" s="546" t="n"/>
      <c r="CF19" s="17" t="n"/>
      <c r="CG19" s="546" t="n"/>
      <c r="CH19" s="546" t="n"/>
      <c r="CI19" s="546" t="n"/>
      <c r="CJ19" s="546" t="n"/>
      <c r="CK19" s="583" t="n"/>
      <c r="CL19" s="15" t="n"/>
      <c r="CM19" s="15" t="n"/>
      <c r="CN19" s="15" t="n"/>
      <c r="CO19" s="15" t="n"/>
      <c r="CP19" s="546" t="n"/>
      <c r="CQ19" s="17" t="n"/>
      <c r="CR19" s="74" t="n"/>
      <c r="CS19" s="75" t="n"/>
      <c r="CT19" s="76" t="n"/>
      <c r="CU19" s="76" t="n"/>
      <c r="CV19" s="91" t="n"/>
      <c r="CW19" s="546" t="n"/>
      <c r="CX19" s="546" t="n"/>
      <c r="CY19" s="546" t="n"/>
      <c r="CZ19" s="546" t="n"/>
      <c r="DA19" s="583" t="n"/>
      <c r="DB19" s="141" t="n"/>
      <c r="DC19" s="162" t="n"/>
      <c r="DD19" s="162" t="n"/>
      <c r="DE19" s="512" t="n"/>
      <c r="DF19" s="491" t="n"/>
      <c r="DG19" s="141" t="n"/>
      <c r="DH19" s="139" t="n"/>
      <c r="DI19" s="139" t="n"/>
      <c r="DJ19" s="139" t="n"/>
      <c r="DK19" s="347" t="n"/>
      <c r="DL19" s="348" t="n"/>
      <c r="DM19" s="162" t="n"/>
      <c r="DN19" s="162" t="n"/>
      <c r="DO19" s="162" t="n"/>
      <c r="DP19" s="162" t="n"/>
      <c r="DQ19" s="201" t="n"/>
      <c r="DR19" s="201" t="n"/>
      <c r="DS19" s="163" t="n"/>
      <c r="DT19" s="141" t="n"/>
      <c r="DU19" s="139" t="n"/>
      <c r="DV19" s="139" t="n"/>
      <c r="DW19" s="139" t="n"/>
      <c r="DX19" s="140" t="n"/>
      <c r="DY19" s="347" t="n"/>
      <c r="DZ19" s="147" t="n"/>
      <c r="EA19" s="31" t="n"/>
      <c r="EB19" s="349" t="n"/>
      <c r="EC19" s="349" t="n"/>
      <c r="ED19" s="45" t="n"/>
      <c r="EE19" s="351" t="n"/>
      <c r="EF19" s="107" t="n"/>
      <c r="EG19" s="139" t="n"/>
      <c r="EH19" s="139" t="n"/>
      <c r="EI19" s="139" t="n"/>
      <c r="EJ19" s="140" t="n"/>
      <c r="EK19" s="108" t="n"/>
      <c r="EL19" s="141" t="n"/>
      <c r="EM19" s="140" t="n"/>
      <c r="EN19" s="140" t="n"/>
      <c r="EO19" s="140" t="n"/>
      <c r="EP19" s="347" t="n"/>
      <c r="EQ19" s="348" t="n"/>
      <c r="ER19" s="107" t="n"/>
      <c r="ES19" s="140" t="n"/>
      <c r="ET19" s="140" t="n"/>
      <c r="EU19" s="107" t="n"/>
      <c r="EV19" s="587" t="n"/>
      <c r="EW19" s="587" t="n"/>
      <c r="EX19" s="141" t="n"/>
      <c r="EY19" s="140" t="n"/>
      <c r="EZ19" s="140" t="n"/>
      <c r="FA19" s="140" t="n"/>
      <c r="FB19" s="140" t="n"/>
      <c r="FC19" s="147" t="n"/>
      <c r="FD19" s="74" t="n"/>
      <c r="FE19" s="75" t="n"/>
      <c r="FF19" s="76" t="n"/>
      <c r="FG19" s="76" t="n"/>
      <c r="FH19" s="91" t="n"/>
      <c r="FI19" s="92" t="n"/>
      <c r="FJ19" s="91" t="n"/>
      <c r="FK19" s="74" t="n"/>
      <c r="FL19" s="92" t="n"/>
      <c r="FM19" s="148" t="n"/>
      <c r="FN19" s="149" t="n"/>
      <c r="FO19" s="150" t="n"/>
      <c r="FP19" s="99" t="n"/>
      <c r="FQ19" s="100" t="n"/>
      <c r="FR19" s="100" t="n"/>
      <c r="FS19" s="100" t="n"/>
      <c r="FT19" s="100" t="n"/>
      <c r="FU19" s="100" t="n"/>
      <c r="FV19" s="100" t="n"/>
      <c r="FW19" s="100" t="n"/>
      <c r="FX19" s="100" t="n"/>
      <c r="FY19" s="100" t="n"/>
      <c r="FZ19" s="100" t="n"/>
      <c r="GA19" s="102" t="n"/>
      <c r="GB19" s="15" t="n"/>
      <c r="GC19" s="546" t="n"/>
      <c r="GD19" s="546" t="n"/>
      <c r="GE19" s="17" t="n"/>
      <c r="GF19" s="15" t="n"/>
      <c r="GG19" s="546" t="n"/>
      <c r="GH19" s="546" t="n"/>
      <c r="GI19" s="17" t="n"/>
      <c r="GJ19" s="31" t="n"/>
      <c r="GK19" s="349" t="n"/>
      <c r="GL19" s="349" t="n"/>
      <c r="GM19" s="45" t="n"/>
      <c r="GN19" s="351" t="n"/>
      <c r="GO19" s="31" t="n"/>
      <c r="GP19" s="45" t="n"/>
      <c r="GQ19" s="45" t="n"/>
      <c r="GR19" s="350" t="n"/>
      <c r="GS19" s="351" t="n"/>
      <c r="GT19" s="107" t="n"/>
      <c r="GU19" s="587" t="n"/>
      <c r="GV19" s="108" t="n"/>
      <c r="GW19" s="15" t="n"/>
      <c r="GX19" s="546" t="n"/>
      <c r="GY19" s="17" t="n"/>
      <c r="GZ19" s="15" t="n"/>
      <c r="HA19" s="546" t="n"/>
      <c r="HB19" s="546" t="n"/>
      <c r="HC19" s="17" t="n"/>
      <c r="HD19" s="31" t="n"/>
      <c r="HE19" s="45" t="n"/>
      <c r="HF19" s="45" t="n"/>
      <c r="HG19" s="45" t="n"/>
      <c r="HH19" s="45" t="n"/>
      <c r="HI19" s="45" t="n"/>
      <c r="HJ19" s="45" t="n"/>
      <c r="HK19" s="45" t="n"/>
      <c r="HL19" s="45" t="n"/>
      <c r="HM19" s="45" t="n"/>
      <c r="HN19" s="45" t="n"/>
      <c r="HO19" s="351" t="n"/>
      <c r="HP19" s="606" t="n"/>
      <c r="HQ19" s="65">
        <f>AVERAGE(F19,K19,L19)</f>
        <v/>
      </c>
      <c r="HR19" s="66">
        <f>AVERAGE(C19,#REF!,M19,O19,Q19,U19,Z19)</f>
        <v/>
      </c>
      <c r="HS19" s="66">
        <f>AVERAGE(R19)</f>
        <v/>
      </c>
      <c r="HT19" s="66">
        <f>AVERAGE(N19)</f>
        <v/>
      </c>
      <c r="HU19" s="66">
        <f>AVERAGE(V19,P19,#REF!)</f>
        <v/>
      </c>
      <c r="HV19" s="66" t="n"/>
      <c r="HW19" s="66">
        <f>AVERAGE(X19)</f>
        <v/>
      </c>
      <c r="HX19" s="66" t="n"/>
      <c r="HY19" s="66" t="n"/>
      <c r="HZ19" s="66">
        <f>AVERAGE(Y19)</f>
        <v/>
      </c>
    </row>
    <row r="20" ht="15.75" customHeight="1" s="590">
      <c r="A20" s="295" t="inlineStr">
        <is>
          <t>052-26-128035</t>
        </is>
      </c>
      <c r="B20" s="296" t="inlineStr">
        <is>
          <t>Muhammad hassan hamayoun</t>
        </is>
      </c>
      <c r="C20" s="288" t="n">
        <v>73.81</v>
      </c>
      <c r="D20" s="288" t="n">
        <v>66.94</v>
      </c>
      <c r="E20" s="220" t="n">
        <v>85.65000000000001</v>
      </c>
      <c r="F20" s="288" t="n">
        <v>73.81</v>
      </c>
      <c r="G20" s="288" t="n">
        <v>66.94</v>
      </c>
      <c r="H20" s="288" t="n">
        <v>81.43000000000001</v>
      </c>
      <c r="I20" s="306" t="n">
        <v>91</v>
      </c>
      <c r="J20" s="306" t="n">
        <v>91</v>
      </c>
      <c r="K20" s="220" t="n">
        <v>77.19</v>
      </c>
      <c r="L20" s="561" t="n"/>
      <c r="M20" s="583" t="n"/>
      <c r="N20" s="546" t="n"/>
      <c r="O20" s="115" t="n"/>
      <c r="P20" s="117" t="n"/>
      <c r="Q20" s="225" t="n"/>
      <c r="R20" s="225" t="n"/>
      <c r="S20" s="225" t="n"/>
      <c r="T20" s="225" t="n"/>
      <c r="U20" s="225" t="n"/>
      <c r="V20" s="225" t="n"/>
      <c r="W20" s="225" t="n"/>
      <c r="X20" s="225" t="n"/>
      <c r="Y20" s="117" t="n"/>
      <c r="Z20" s="117" t="n"/>
      <c r="AA20" s="114" t="n"/>
      <c r="AB20" s="117" t="n"/>
      <c r="AC20" s="115" t="n"/>
      <c r="AD20" s="115" t="n"/>
      <c r="AE20" s="115" t="n"/>
      <c r="AF20" s="115" t="n"/>
      <c r="AG20" s="510" t="n"/>
      <c r="AH20" s="510" t="n"/>
      <c r="AI20" s="127" t="n"/>
      <c r="AJ20" s="128" t="n"/>
      <c r="AK20" s="131" t="n"/>
      <c r="AL20" s="127" t="n"/>
      <c r="AM20" s="128" t="n"/>
      <c r="AN20" s="128" t="n"/>
      <c r="AO20" s="128" t="n"/>
      <c r="AP20" s="131" t="n"/>
      <c r="AQ20" s="127" t="n"/>
      <c r="AR20" s="128" t="n"/>
      <c r="AS20" s="128" t="n"/>
      <c r="AT20" s="128" t="n"/>
      <c r="AU20" s="131" t="n"/>
      <c r="AV20" s="127" t="n"/>
      <c r="AW20" s="128" t="n"/>
      <c r="AX20" s="128" t="n"/>
      <c r="AY20" s="131" t="n"/>
      <c r="AZ20" s="131" t="n"/>
      <c r="BA20" s="131" t="n"/>
      <c r="BB20" s="131" t="n"/>
      <c r="BC20" s="114" t="n"/>
      <c r="BD20" s="546" t="n"/>
      <c r="BE20" s="511" t="n"/>
      <c r="BF20" s="114" t="n"/>
      <c r="BG20" s="546" t="n"/>
      <c r="BH20" s="511" t="n"/>
      <c r="BI20" s="114" t="n"/>
      <c r="BJ20" s="546" t="n"/>
      <c r="BK20" s="546" t="n"/>
      <c r="BL20" s="546" t="n"/>
      <c r="BM20" s="546" t="n"/>
      <c r="BN20" s="546" t="n"/>
      <c r="BO20" s="511" t="n"/>
      <c r="BP20" s="546" t="n"/>
      <c r="BQ20" s="546" t="n"/>
      <c r="BR20" s="546" t="n"/>
      <c r="BS20" s="546" t="n"/>
      <c r="BT20" s="546" t="n"/>
      <c r="BU20" s="546" t="n"/>
      <c r="BV20" s="546" t="n"/>
      <c r="BW20" s="15" t="n"/>
      <c r="BX20" s="546" t="n"/>
      <c r="BY20" s="546" t="n"/>
      <c r="BZ20" s="546" t="n"/>
      <c r="CA20" s="546" t="n"/>
      <c r="CB20" s="546" t="n"/>
      <c r="CC20" s="15" t="n"/>
      <c r="CD20" s="546" t="n"/>
      <c r="CE20" s="546" t="n"/>
      <c r="CF20" s="17" t="n"/>
      <c r="CG20" s="546" t="n"/>
      <c r="CH20" s="546" t="n"/>
      <c r="CI20" s="546" t="n"/>
      <c r="CJ20" s="546" t="n"/>
      <c r="CK20" s="583" t="n"/>
      <c r="CL20" s="15" t="n"/>
      <c r="CM20" s="15" t="n"/>
      <c r="CN20" s="15" t="n"/>
      <c r="CO20" s="15" t="n"/>
      <c r="CP20" s="546" t="n"/>
      <c r="CQ20" s="17" t="n"/>
      <c r="CR20" s="74" t="n"/>
      <c r="CS20" s="75" t="n"/>
      <c r="CT20" s="76" t="n"/>
      <c r="CU20" s="76" t="n"/>
      <c r="CV20" s="91" t="n"/>
      <c r="CW20" s="546" t="n"/>
      <c r="CX20" s="546" t="n"/>
      <c r="CY20" s="546" t="n"/>
      <c r="CZ20" s="546" t="n"/>
      <c r="DA20" s="583" t="n"/>
      <c r="DB20" s="141" t="n"/>
      <c r="DC20" s="162" t="n"/>
      <c r="DD20" s="162" t="n"/>
      <c r="DE20" s="512" t="n"/>
      <c r="DF20" s="491" t="n"/>
      <c r="DG20" s="141" t="n"/>
      <c r="DH20" s="139" t="n"/>
      <c r="DI20" s="139" t="n"/>
      <c r="DJ20" s="139" t="n"/>
      <c r="DK20" s="347" t="n"/>
      <c r="DL20" s="348" t="n"/>
      <c r="DM20" s="162" t="n"/>
      <c r="DN20" s="162" t="n"/>
      <c r="DO20" s="162" t="n"/>
      <c r="DP20" s="162" t="n"/>
      <c r="DQ20" s="201" t="n"/>
      <c r="DR20" s="201" t="n"/>
      <c r="DS20" s="163" t="n"/>
      <c r="DT20" s="141" t="n"/>
      <c r="DU20" s="139" t="n"/>
      <c r="DV20" s="139" t="n"/>
      <c r="DW20" s="139" t="n"/>
      <c r="DX20" s="140" t="n"/>
      <c r="DY20" s="347" t="n"/>
      <c r="DZ20" s="147" t="n"/>
      <c r="EA20" s="31" t="n"/>
      <c r="EB20" s="349" t="n"/>
      <c r="EC20" s="349" t="n"/>
      <c r="ED20" s="45" t="n"/>
      <c r="EE20" s="351" t="n"/>
      <c r="EF20" s="107" t="n"/>
      <c r="EG20" s="139" t="n"/>
      <c r="EH20" s="139" t="n"/>
      <c r="EI20" s="139" t="n"/>
      <c r="EJ20" s="140" t="n"/>
      <c r="EK20" s="108" t="n"/>
      <c r="EL20" s="141" t="n"/>
      <c r="EM20" s="140" t="n"/>
      <c r="EN20" s="140" t="n"/>
      <c r="EO20" s="140" t="n"/>
      <c r="EP20" s="347" t="n"/>
      <c r="EQ20" s="348" t="n"/>
      <c r="ER20" s="107" t="n"/>
      <c r="ES20" s="140" t="n"/>
      <c r="ET20" s="140" t="n"/>
      <c r="EU20" s="107" t="n"/>
      <c r="EV20" s="587" t="n"/>
      <c r="EW20" s="587" t="n"/>
      <c r="EX20" s="141" t="n"/>
      <c r="EY20" s="140" t="n"/>
      <c r="EZ20" s="140" t="n"/>
      <c r="FA20" s="140" t="n"/>
      <c r="FB20" s="140" t="n"/>
      <c r="FC20" s="147" t="n"/>
      <c r="FD20" s="74" t="n"/>
      <c r="FE20" s="75" t="n"/>
      <c r="FF20" s="76" t="n"/>
      <c r="FG20" s="76" t="n"/>
      <c r="FH20" s="91" t="n"/>
      <c r="FI20" s="92" t="n"/>
      <c r="FJ20" s="91" t="n"/>
      <c r="FK20" s="74" t="n"/>
      <c r="FL20" s="92" t="n"/>
      <c r="FM20" s="148" t="n"/>
      <c r="FN20" s="149" t="n"/>
      <c r="FO20" s="150" t="n"/>
      <c r="FP20" s="99" t="n"/>
      <c r="FQ20" s="100" t="n"/>
      <c r="FR20" s="100" t="n"/>
      <c r="FS20" s="100" t="n"/>
      <c r="FT20" s="100" t="n"/>
      <c r="FU20" s="100" t="n"/>
      <c r="FV20" s="100" t="n"/>
      <c r="FW20" s="100" t="n"/>
      <c r="FX20" s="100" t="n"/>
      <c r="FY20" s="100" t="n"/>
      <c r="FZ20" s="100" t="n"/>
      <c r="GA20" s="102" t="n"/>
      <c r="GB20" s="15" t="n"/>
      <c r="GC20" s="546" t="n"/>
      <c r="GD20" s="546" t="n"/>
      <c r="GE20" s="17" t="n"/>
      <c r="GF20" s="15" t="n"/>
      <c r="GG20" s="546" t="n"/>
      <c r="GH20" s="546" t="n"/>
      <c r="GI20" s="17" t="n"/>
      <c r="GJ20" s="31" t="n"/>
      <c r="GK20" s="349" t="n"/>
      <c r="GL20" s="349" t="n"/>
      <c r="GM20" s="45" t="n"/>
      <c r="GN20" s="351" t="n"/>
      <c r="GO20" s="31" t="n"/>
      <c r="GP20" s="45" t="n"/>
      <c r="GQ20" s="45" t="n"/>
      <c r="GR20" s="350" t="n"/>
      <c r="GS20" s="351" t="n"/>
      <c r="GT20" s="107" t="n"/>
      <c r="GU20" s="587" t="n"/>
      <c r="GV20" s="108" t="n"/>
      <c r="GW20" s="15" t="n"/>
      <c r="GX20" s="546" t="n"/>
      <c r="GY20" s="17" t="n"/>
      <c r="GZ20" s="15" t="n"/>
      <c r="HA20" s="546" t="n"/>
      <c r="HB20" s="546" t="n"/>
      <c r="HC20" s="17" t="n"/>
      <c r="HD20" s="31" t="n"/>
      <c r="HE20" s="45" t="n"/>
      <c r="HF20" s="45" t="n"/>
      <c r="HG20" s="45" t="n"/>
      <c r="HH20" s="45" t="n"/>
      <c r="HI20" s="45" t="n"/>
      <c r="HJ20" s="45" t="n"/>
      <c r="HK20" s="45" t="n"/>
      <c r="HL20" s="45" t="n"/>
      <c r="HM20" s="45" t="n"/>
      <c r="HN20" s="45" t="n"/>
      <c r="HO20" s="351" t="n"/>
      <c r="HP20" s="606" t="n"/>
      <c r="HQ20" s="65">
        <f>AVERAGE(F20,K20,L20)</f>
        <v/>
      </c>
      <c r="HR20" s="66">
        <f>AVERAGE(C20,#REF!,M20,O20,Q20,U20,Z20)</f>
        <v/>
      </c>
      <c r="HS20" s="66">
        <f>AVERAGE(R20)</f>
        <v/>
      </c>
      <c r="HT20" s="66">
        <f>AVERAGE(N20)</f>
        <v/>
      </c>
      <c r="HU20" s="66">
        <f>AVERAGE(V20,P20,#REF!)</f>
        <v/>
      </c>
      <c r="HV20" s="66" t="n"/>
      <c r="HW20" s="66">
        <f>AVERAGE(X20)</f>
        <v/>
      </c>
      <c r="HX20" s="66" t="n"/>
      <c r="HY20" s="66" t="n"/>
      <c r="HZ20" s="66">
        <f>AVERAGE(Y20)</f>
        <v/>
      </c>
    </row>
    <row r="21" ht="15.75" customHeight="1" s="590">
      <c r="A21" s="295" t="inlineStr">
        <is>
          <t>052-26-128036</t>
        </is>
      </c>
      <c r="B21" s="296" t="inlineStr">
        <is>
          <t>ADIL ALI</t>
        </is>
      </c>
      <c r="C21" s="288" t="n">
        <v>85.70999999999999</v>
      </c>
      <c r="D21" s="288" t="n">
        <v>68.89</v>
      </c>
      <c r="E21" s="220" t="n">
        <v>87.09999999999999</v>
      </c>
      <c r="F21" s="288" t="n">
        <v>85.70999999999999</v>
      </c>
      <c r="G21" s="288" t="n">
        <v>68.89</v>
      </c>
      <c r="H21" s="288" t="n">
        <v>79.43000000000001</v>
      </c>
      <c r="I21" s="306" t="n">
        <v>87.33</v>
      </c>
      <c r="J21" s="306" t="n">
        <v>87.33</v>
      </c>
      <c r="K21" s="220" t="n">
        <v>84.56</v>
      </c>
      <c r="L21" s="561" t="n"/>
      <c r="M21" s="583" t="n"/>
      <c r="N21" s="546" t="n"/>
      <c r="O21" s="115" t="n"/>
      <c r="P21" s="117" t="n"/>
      <c r="Q21" s="225" t="n"/>
      <c r="R21" s="225" t="n"/>
      <c r="S21" s="225" t="n"/>
      <c r="T21" s="225" t="n"/>
      <c r="U21" s="225" t="n"/>
      <c r="V21" s="225" t="n"/>
      <c r="W21" s="225" t="n"/>
      <c r="X21" s="225" t="n"/>
      <c r="Y21" s="117" t="n"/>
      <c r="Z21" s="117" t="n"/>
      <c r="AA21" s="114" t="n"/>
      <c r="AB21" s="117" t="n"/>
      <c r="AC21" s="115" t="n"/>
      <c r="AD21" s="115" t="n"/>
      <c r="AE21" s="115" t="n"/>
      <c r="AF21" s="115" t="n"/>
      <c r="AG21" s="510" t="n"/>
      <c r="AH21" s="510" t="n"/>
      <c r="AI21" s="127" t="n"/>
      <c r="AJ21" s="128" t="n"/>
      <c r="AK21" s="131" t="n"/>
      <c r="AL21" s="127" t="n"/>
      <c r="AM21" s="128" t="n"/>
      <c r="AN21" s="128" t="n"/>
      <c r="AO21" s="128" t="n"/>
      <c r="AP21" s="131" t="n"/>
      <c r="AQ21" s="127" t="n"/>
      <c r="AR21" s="128" t="n"/>
      <c r="AS21" s="128" t="n"/>
      <c r="AT21" s="128" t="n"/>
      <c r="AU21" s="131" t="n"/>
      <c r="AV21" s="127" t="n"/>
      <c r="AW21" s="128" t="n"/>
      <c r="AX21" s="128" t="n"/>
      <c r="AY21" s="131" t="n"/>
      <c r="AZ21" s="131" t="n"/>
      <c r="BA21" s="131" t="n"/>
      <c r="BB21" s="131" t="n"/>
      <c r="BC21" s="114" t="n"/>
      <c r="BD21" s="546" t="n"/>
      <c r="BE21" s="511" t="n"/>
      <c r="BF21" s="114" t="n"/>
      <c r="BG21" s="546" t="n"/>
      <c r="BH21" s="511" t="n"/>
      <c r="BI21" s="114" t="n"/>
      <c r="BJ21" s="546" t="n"/>
      <c r="BK21" s="546" t="n"/>
      <c r="BL21" s="546" t="n"/>
      <c r="BM21" s="546" t="n"/>
      <c r="BN21" s="546" t="n"/>
      <c r="BO21" s="511" t="n"/>
      <c r="BP21" s="546" t="n"/>
      <c r="BQ21" s="546" t="n"/>
      <c r="BR21" s="546" t="n"/>
      <c r="BS21" s="546" t="n"/>
      <c r="BT21" s="546" t="n"/>
      <c r="BU21" s="546" t="n"/>
      <c r="BV21" s="546" t="n"/>
      <c r="BW21" s="15" t="n"/>
      <c r="BX21" s="546" t="n"/>
      <c r="BY21" s="546" t="n"/>
      <c r="BZ21" s="546" t="n"/>
      <c r="CA21" s="546" t="n"/>
      <c r="CB21" s="546" t="n"/>
      <c r="CC21" s="15" t="n"/>
      <c r="CD21" s="546" t="n"/>
      <c r="CE21" s="546" t="n"/>
      <c r="CF21" s="17" t="n"/>
      <c r="CG21" s="546" t="n"/>
      <c r="CH21" s="546" t="n"/>
      <c r="CI21" s="546" t="n"/>
      <c r="CJ21" s="546" t="n"/>
      <c r="CK21" s="583" t="n"/>
      <c r="CL21" s="15" t="n"/>
      <c r="CM21" s="15" t="n"/>
      <c r="CN21" s="15" t="n"/>
      <c r="CO21" s="15" t="n"/>
      <c r="CP21" s="546" t="n"/>
      <c r="CQ21" s="17" t="n"/>
      <c r="CR21" s="74" t="n"/>
      <c r="CS21" s="75" t="n"/>
      <c r="CT21" s="76" t="n"/>
      <c r="CU21" s="76" t="n"/>
      <c r="CV21" s="91" t="n"/>
      <c r="CW21" s="546" t="n"/>
      <c r="CX21" s="546" t="n"/>
      <c r="CY21" s="546" t="n"/>
      <c r="CZ21" s="546" t="n"/>
      <c r="DA21" s="583" t="n"/>
      <c r="DB21" s="141" t="n"/>
      <c r="DC21" s="162" t="n"/>
      <c r="DD21" s="162" t="n"/>
      <c r="DE21" s="512" t="n"/>
      <c r="DF21" s="491" t="n"/>
      <c r="DG21" s="141" t="n"/>
      <c r="DH21" s="139" t="n"/>
      <c r="DI21" s="139" t="n"/>
      <c r="DJ21" s="139" t="n"/>
      <c r="DK21" s="347" t="n"/>
      <c r="DL21" s="348" t="n"/>
      <c r="DM21" s="162" t="n"/>
      <c r="DN21" s="162" t="n"/>
      <c r="DO21" s="162" t="n"/>
      <c r="DP21" s="162" t="n"/>
      <c r="DQ21" s="201" t="n"/>
      <c r="DR21" s="201" t="n"/>
      <c r="DS21" s="163" t="n"/>
      <c r="DT21" s="141" t="n"/>
      <c r="DU21" s="139" t="n"/>
      <c r="DV21" s="139" t="n"/>
      <c r="DW21" s="139" t="n"/>
      <c r="DX21" s="140" t="n"/>
      <c r="DY21" s="347" t="n"/>
      <c r="DZ21" s="147" t="n"/>
      <c r="EA21" s="31" t="n"/>
      <c r="EB21" s="349" t="n"/>
      <c r="EC21" s="349" t="n"/>
      <c r="ED21" s="45" t="n"/>
      <c r="EE21" s="351" t="n"/>
      <c r="EF21" s="107" t="n"/>
      <c r="EG21" s="139" t="n"/>
      <c r="EH21" s="139" t="n"/>
      <c r="EI21" s="139" t="n"/>
      <c r="EJ21" s="140" t="n"/>
      <c r="EK21" s="108" t="n"/>
      <c r="EL21" s="141" t="n"/>
      <c r="EM21" s="140" t="n"/>
      <c r="EN21" s="140" t="n"/>
      <c r="EO21" s="140" t="n"/>
      <c r="EP21" s="347" t="n"/>
      <c r="EQ21" s="348" t="n"/>
      <c r="ER21" s="107" t="n"/>
      <c r="ES21" s="140" t="n"/>
      <c r="ET21" s="140" t="n"/>
      <c r="EU21" s="107" t="n"/>
      <c r="EV21" s="587" t="n"/>
      <c r="EW21" s="587" t="n"/>
      <c r="EX21" s="141" t="n"/>
      <c r="EY21" s="140" t="n"/>
      <c r="EZ21" s="140" t="n"/>
      <c r="FA21" s="140" t="n"/>
      <c r="FB21" s="140" t="n"/>
      <c r="FC21" s="147" t="n"/>
      <c r="FD21" s="74" t="n"/>
      <c r="FE21" s="75" t="n"/>
      <c r="FF21" s="76" t="n"/>
      <c r="FG21" s="76" t="n"/>
      <c r="FH21" s="91" t="n"/>
      <c r="FI21" s="92" t="n"/>
      <c r="FJ21" s="91" t="n"/>
      <c r="FK21" s="74" t="n"/>
      <c r="FL21" s="92" t="n"/>
      <c r="FM21" s="148" t="n"/>
      <c r="FN21" s="149" t="n"/>
      <c r="FO21" s="150" t="n"/>
      <c r="FP21" s="99" t="n"/>
      <c r="FQ21" s="100" t="n"/>
      <c r="FR21" s="100" t="n"/>
      <c r="FS21" s="100" t="n"/>
      <c r="FT21" s="100" t="n"/>
      <c r="FU21" s="100" t="n"/>
      <c r="FV21" s="100" t="n"/>
      <c r="FW21" s="100" t="n"/>
      <c r="FX21" s="100" t="n"/>
      <c r="FY21" s="100" t="n"/>
      <c r="FZ21" s="100" t="n"/>
      <c r="GA21" s="102" t="n"/>
      <c r="GB21" s="15" t="n"/>
      <c r="GC21" s="546" t="n"/>
      <c r="GD21" s="546" t="n"/>
      <c r="GE21" s="17" t="n"/>
      <c r="GF21" s="15" t="n"/>
      <c r="GG21" s="546" t="n"/>
      <c r="GH21" s="546" t="n"/>
      <c r="GI21" s="17" t="n"/>
      <c r="GJ21" s="31" t="n"/>
      <c r="GK21" s="349" t="n"/>
      <c r="GL21" s="349" t="n"/>
      <c r="GM21" s="45" t="n"/>
      <c r="GN21" s="351" t="n"/>
      <c r="GO21" s="31" t="n"/>
      <c r="GP21" s="45" t="n"/>
      <c r="GQ21" s="45" t="n"/>
      <c r="GR21" s="350" t="n"/>
      <c r="GS21" s="351" t="n"/>
      <c r="GT21" s="107" t="n"/>
      <c r="GU21" s="587" t="n"/>
      <c r="GV21" s="108" t="n"/>
      <c r="GW21" s="15" t="n"/>
      <c r="GX21" s="546" t="n"/>
      <c r="GY21" s="17" t="n"/>
      <c r="GZ21" s="15" t="n"/>
      <c r="HA21" s="546" t="n"/>
      <c r="HB21" s="546" t="n"/>
      <c r="HC21" s="17" t="n"/>
      <c r="HD21" s="31" t="n"/>
      <c r="HE21" s="45" t="n"/>
      <c r="HF21" s="45" t="n"/>
      <c r="HG21" s="45" t="n"/>
      <c r="HH21" s="45" t="n"/>
      <c r="HI21" s="45" t="n"/>
      <c r="HJ21" s="45" t="n"/>
      <c r="HK21" s="45" t="n"/>
      <c r="HL21" s="45" t="n"/>
      <c r="HM21" s="45" t="n"/>
      <c r="HN21" s="45" t="n"/>
      <c r="HO21" s="351" t="n"/>
      <c r="HP21" s="606" t="n"/>
      <c r="HQ21" s="65">
        <f>AVERAGE(F21,K21,L21)</f>
        <v/>
      </c>
      <c r="HR21" s="66">
        <f>AVERAGE(C21,#REF!,M21,O21,Q21,U21,Z21)</f>
        <v/>
      </c>
      <c r="HS21" s="66">
        <f>AVERAGE(R21)</f>
        <v/>
      </c>
      <c r="HT21" s="66">
        <f>AVERAGE(N21)</f>
        <v/>
      </c>
      <c r="HU21" s="66">
        <f>AVERAGE(V21,P21,#REF!)</f>
        <v/>
      </c>
      <c r="HV21" s="66" t="n"/>
      <c r="HW21" s="66">
        <f>AVERAGE(X21)</f>
        <v/>
      </c>
      <c r="HX21" s="66" t="n"/>
      <c r="HY21" s="66" t="n"/>
      <c r="HZ21" s="66">
        <f>AVERAGE(Y21)</f>
        <v/>
      </c>
    </row>
    <row r="22" ht="15.75" customHeight="1" s="590">
      <c r="A22" s="295" t="inlineStr">
        <is>
          <t>052-26-128037</t>
        </is>
      </c>
      <c r="B22" s="296" t="inlineStr">
        <is>
          <t>AQSA TAHIR</t>
        </is>
      </c>
      <c r="C22" s="288" t="n">
        <v>85.70999999999999</v>
      </c>
      <c r="D22" s="288" t="n">
        <v>70</v>
      </c>
      <c r="E22" s="220" t="n">
        <v>88.55</v>
      </c>
      <c r="F22" s="288" t="n">
        <v>85.70999999999999</v>
      </c>
      <c r="G22" s="288" t="n">
        <v>70</v>
      </c>
      <c r="H22" s="288" t="n">
        <v>82.29000000000001</v>
      </c>
      <c r="I22" s="306" t="n">
        <v>69</v>
      </c>
      <c r="J22" s="306" t="n">
        <v>69</v>
      </c>
      <c r="K22" s="220" t="n">
        <v>83.16</v>
      </c>
      <c r="L22" s="561" t="n"/>
      <c r="M22" s="583" t="n"/>
      <c r="N22" s="546" t="n"/>
      <c r="O22" s="115" t="n"/>
      <c r="P22" s="117" t="n"/>
      <c r="Q22" s="225" t="n"/>
      <c r="R22" s="225" t="n"/>
      <c r="S22" s="225" t="n"/>
      <c r="T22" s="225" t="n"/>
      <c r="U22" s="225" t="n"/>
      <c r="V22" s="225" t="n"/>
      <c r="W22" s="225" t="n"/>
      <c r="X22" s="225" t="n"/>
      <c r="Y22" s="117" t="n"/>
      <c r="Z22" s="117" t="n"/>
      <c r="AA22" s="114" t="n"/>
      <c r="AB22" s="117" t="n"/>
      <c r="AC22" s="115" t="n"/>
      <c r="AD22" s="115" t="n"/>
      <c r="AE22" s="115" t="n"/>
      <c r="AF22" s="115" t="n"/>
      <c r="AG22" s="510" t="n"/>
      <c r="AH22" s="510" t="n"/>
      <c r="AI22" s="127" t="n"/>
      <c r="AJ22" s="128" t="n"/>
      <c r="AK22" s="131" t="n"/>
      <c r="AL22" s="127" t="n"/>
      <c r="AM22" s="128" t="n"/>
      <c r="AN22" s="128" t="n"/>
      <c r="AO22" s="128" t="n"/>
      <c r="AP22" s="131" t="n"/>
      <c r="AQ22" s="127" t="n"/>
      <c r="AR22" s="128" t="n"/>
      <c r="AS22" s="128" t="n"/>
      <c r="AT22" s="128" t="n"/>
      <c r="AU22" s="131" t="n"/>
      <c r="AV22" s="127" t="n"/>
      <c r="AW22" s="128" t="n"/>
      <c r="AX22" s="128" t="n"/>
      <c r="AY22" s="131" t="n"/>
      <c r="AZ22" s="131" t="n"/>
      <c r="BA22" s="131" t="n"/>
      <c r="BB22" s="131" t="n"/>
      <c r="BC22" s="114" t="n"/>
      <c r="BD22" s="546" t="n"/>
      <c r="BE22" s="511" t="n"/>
      <c r="BF22" s="114" t="n"/>
      <c r="BG22" s="546" t="n"/>
      <c r="BH22" s="511" t="n"/>
      <c r="BI22" s="114" t="n"/>
      <c r="BJ22" s="546" t="n"/>
      <c r="BK22" s="546" t="n"/>
      <c r="BL22" s="546" t="n"/>
      <c r="BM22" s="546" t="n"/>
      <c r="BN22" s="546" t="n"/>
      <c r="BO22" s="511" t="n"/>
      <c r="BP22" s="546" t="n"/>
      <c r="BQ22" s="546" t="n"/>
      <c r="BR22" s="546" t="n"/>
      <c r="BS22" s="546" t="n"/>
      <c r="BT22" s="546" t="n"/>
      <c r="BU22" s="546" t="n"/>
      <c r="BV22" s="546" t="n"/>
      <c r="BW22" s="15" t="n"/>
      <c r="BX22" s="546" t="n"/>
      <c r="BY22" s="546" t="n"/>
      <c r="BZ22" s="546" t="n"/>
      <c r="CA22" s="546" t="n"/>
      <c r="CB22" s="546" t="n"/>
      <c r="CC22" s="15" t="n"/>
      <c r="CD22" s="546" t="n"/>
      <c r="CE22" s="546" t="n"/>
      <c r="CF22" s="17" t="n"/>
      <c r="CG22" s="546" t="n"/>
      <c r="CH22" s="546" t="n"/>
      <c r="CI22" s="546" t="n"/>
      <c r="CJ22" s="546" t="n"/>
      <c r="CK22" s="583" t="n"/>
      <c r="CL22" s="15" t="n"/>
      <c r="CM22" s="15" t="n"/>
      <c r="CN22" s="15" t="n"/>
      <c r="CO22" s="15" t="n"/>
      <c r="CP22" s="546" t="n"/>
      <c r="CQ22" s="17" t="n"/>
      <c r="CR22" s="74" t="n"/>
      <c r="CS22" s="75" t="n"/>
      <c r="CT22" s="76" t="n"/>
      <c r="CU22" s="76" t="n"/>
      <c r="CV22" s="91" t="n"/>
      <c r="CW22" s="546" t="n"/>
      <c r="CX22" s="546" t="n"/>
      <c r="CY22" s="546" t="n"/>
      <c r="CZ22" s="546" t="n"/>
      <c r="DA22" s="583" t="n"/>
      <c r="DB22" s="141" t="n"/>
      <c r="DC22" s="162" t="n"/>
      <c r="DD22" s="162" t="n"/>
      <c r="DE22" s="512" t="n"/>
      <c r="DF22" s="491" t="n"/>
      <c r="DG22" s="141" t="n"/>
      <c r="DH22" s="139" t="n"/>
      <c r="DI22" s="139" t="n"/>
      <c r="DJ22" s="139" t="n"/>
      <c r="DK22" s="347" t="n"/>
      <c r="DL22" s="348" t="n"/>
      <c r="DM22" s="162" t="n"/>
      <c r="DN22" s="162" t="n"/>
      <c r="DO22" s="162" t="n"/>
      <c r="DP22" s="162" t="n"/>
      <c r="DQ22" s="201" t="n"/>
      <c r="DR22" s="201" t="n"/>
      <c r="DS22" s="163" t="n"/>
      <c r="DT22" s="141" t="n"/>
      <c r="DU22" s="139" t="n"/>
      <c r="DV22" s="139" t="n"/>
      <c r="DW22" s="139" t="n"/>
      <c r="DX22" s="140" t="n"/>
      <c r="DY22" s="347" t="n"/>
      <c r="DZ22" s="147" t="n"/>
      <c r="EA22" s="31" t="n"/>
      <c r="EB22" s="349" t="n"/>
      <c r="EC22" s="349" t="n"/>
      <c r="ED22" s="45" t="n"/>
      <c r="EE22" s="351" t="n"/>
      <c r="EF22" s="107" t="n"/>
      <c r="EG22" s="139" t="n"/>
      <c r="EH22" s="139" t="n"/>
      <c r="EI22" s="139" t="n"/>
      <c r="EJ22" s="140" t="n"/>
      <c r="EK22" s="108" t="n"/>
      <c r="EL22" s="141" t="n"/>
      <c r="EM22" s="140" t="n"/>
      <c r="EN22" s="140" t="n"/>
      <c r="EO22" s="140" t="n"/>
      <c r="EP22" s="347" t="n"/>
      <c r="EQ22" s="348" t="n"/>
      <c r="ER22" s="107" t="n"/>
      <c r="ES22" s="140" t="n"/>
      <c r="ET22" s="140" t="n"/>
      <c r="EU22" s="107" t="n"/>
      <c r="EV22" s="587" t="n"/>
      <c r="EW22" s="587" t="n"/>
      <c r="EX22" s="141" t="n"/>
      <c r="EY22" s="140" t="n"/>
      <c r="EZ22" s="140" t="n"/>
      <c r="FA22" s="140" t="n"/>
      <c r="FB22" s="140" t="n"/>
      <c r="FC22" s="147" t="n"/>
      <c r="FD22" s="74" t="n"/>
      <c r="FE22" s="75" t="n"/>
      <c r="FF22" s="76" t="n"/>
      <c r="FG22" s="76" t="n"/>
      <c r="FH22" s="91" t="n"/>
      <c r="FI22" s="92" t="n"/>
      <c r="FJ22" s="91" t="n"/>
      <c r="FK22" s="74" t="n"/>
      <c r="FL22" s="92" t="n"/>
      <c r="FM22" s="148" t="n"/>
      <c r="FN22" s="149" t="n"/>
      <c r="FO22" s="150" t="n"/>
      <c r="FP22" s="99" t="n"/>
      <c r="FQ22" s="100" t="n"/>
      <c r="FR22" s="100" t="n"/>
      <c r="FS22" s="100" t="n"/>
      <c r="FT22" s="100" t="n"/>
      <c r="FU22" s="100" t="n"/>
      <c r="FV22" s="100" t="n"/>
      <c r="FW22" s="100" t="n"/>
      <c r="FX22" s="100" t="n"/>
      <c r="FY22" s="100" t="n"/>
      <c r="FZ22" s="100" t="n"/>
      <c r="GA22" s="102" t="n"/>
      <c r="GB22" s="15" t="n"/>
      <c r="GC22" s="546" t="n"/>
      <c r="GD22" s="546" t="n"/>
      <c r="GE22" s="17" t="n"/>
      <c r="GF22" s="15" t="n"/>
      <c r="GG22" s="546" t="n"/>
      <c r="GH22" s="546" t="n"/>
      <c r="GI22" s="17" t="n"/>
      <c r="GJ22" s="31" t="n"/>
      <c r="GK22" s="349" t="n"/>
      <c r="GL22" s="349" t="n"/>
      <c r="GM22" s="45" t="n"/>
      <c r="GN22" s="351" t="n"/>
      <c r="GO22" s="31" t="n"/>
      <c r="GP22" s="45" t="n"/>
      <c r="GQ22" s="45" t="n"/>
      <c r="GR22" s="350" t="n"/>
      <c r="GS22" s="351" t="n"/>
      <c r="GT22" s="107" t="n"/>
      <c r="GU22" s="587" t="n"/>
      <c r="GV22" s="108" t="n"/>
      <c r="GW22" s="15" t="n"/>
      <c r="GX22" s="546" t="n"/>
      <c r="GY22" s="17" t="n"/>
      <c r="GZ22" s="15" t="n"/>
      <c r="HA22" s="546" t="n"/>
      <c r="HB22" s="546" t="n"/>
      <c r="HC22" s="17" t="n"/>
      <c r="HD22" s="31" t="n"/>
      <c r="HE22" s="45" t="n"/>
      <c r="HF22" s="45" t="n"/>
      <c r="HG22" s="45" t="n"/>
      <c r="HH22" s="45" t="n"/>
      <c r="HI22" s="45" t="n"/>
      <c r="HJ22" s="45" t="n"/>
      <c r="HK22" s="45" t="n"/>
      <c r="HL22" s="45" t="n"/>
      <c r="HM22" s="45" t="n"/>
      <c r="HN22" s="45" t="n"/>
      <c r="HO22" s="351" t="n"/>
      <c r="HP22" s="606" t="n"/>
      <c r="HQ22" s="65">
        <f>AVERAGE(F22,K22,L22)</f>
        <v/>
      </c>
      <c r="HR22" s="66">
        <f>AVERAGE(C22,#REF!,M22,O22,Q22,U22,Z22)</f>
        <v/>
      </c>
      <c r="HS22" s="66">
        <f>AVERAGE(R22)</f>
        <v/>
      </c>
      <c r="HT22" s="66">
        <f>AVERAGE(N22)</f>
        <v/>
      </c>
      <c r="HU22" s="66">
        <f>AVERAGE(V22,P22,#REF!)</f>
        <v/>
      </c>
      <c r="HV22" s="66" t="n"/>
      <c r="HW22" s="66">
        <f>AVERAGE(X22)</f>
        <v/>
      </c>
      <c r="HX22" s="66" t="n"/>
      <c r="HY22" s="66" t="n"/>
      <c r="HZ22" s="66">
        <f>AVERAGE(Y22)</f>
        <v/>
      </c>
    </row>
    <row r="23" ht="15.75" customHeight="1" s="590">
      <c r="A23" s="295" t="inlineStr">
        <is>
          <t>052-26-128042</t>
        </is>
      </c>
      <c r="B23" s="296" t="inlineStr">
        <is>
          <t>Rahman ali</t>
        </is>
      </c>
      <c r="C23" s="288" t="n">
        <v>82.14</v>
      </c>
      <c r="D23" s="288" t="n">
        <v>66.94</v>
      </c>
      <c r="E23" s="220" t="n">
        <v>85.65000000000001</v>
      </c>
      <c r="F23" s="288" t="n">
        <v>82.14</v>
      </c>
      <c r="G23" s="288" t="n">
        <v>66.94</v>
      </c>
      <c r="H23" s="288" t="n">
        <v>85</v>
      </c>
      <c r="I23" s="306" t="n">
        <v>91</v>
      </c>
      <c r="J23" s="306" t="n">
        <v>91</v>
      </c>
      <c r="K23" s="220" t="n">
        <v>74.91</v>
      </c>
      <c r="L23" s="561" t="n"/>
      <c r="M23" s="583" t="n"/>
      <c r="N23" s="546" t="n"/>
      <c r="O23" s="115" t="n"/>
      <c r="P23" s="117" t="n"/>
      <c r="Q23" s="202" t="n"/>
      <c r="R23" s="543" t="n"/>
      <c r="S23" s="548" t="n"/>
      <c r="T23" s="548" t="n"/>
      <c r="U23" s="225" t="n"/>
      <c r="V23" s="225" t="n"/>
      <c r="W23" s="225" t="n"/>
      <c r="X23" s="225" t="n"/>
      <c r="Y23" s="117" t="n"/>
      <c r="Z23" s="117" t="n"/>
      <c r="AA23" s="114" t="n"/>
      <c r="AB23" s="117" t="n"/>
      <c r="AC23" s="115" t="n"/>
      <c r="AD23" s="115" t="n"/>
      <c r="AE23" s="115" t="n"/>
      <c r="AF23" s="115" t="n"/>
      <c r="AG23" s="510" t="n"/>
      <c r="AH23" s="510" t="n"/>
      <c r="AI23" s="127" t="n"/>
      <c r="AJ23" s="128" t="n"/>
      <c r="AK23" s="131" t="n"/>
      <c r="AL23" s="127" t="n"/>
      <c r="AM23" s="128" t="n"/>
      <c r="AN23" s="128" t="n"/>
      <c r="AO23" s="128" t="n"/>
      <c r="AP23" s="131" t="n"/>
      <c r="AQ23" s="127" t="n"/>
      <c r="AR23" s="128" t="n"/>
      <c r="AS23" s="128" t="n"/>
      <c r="AT23" s="128" t="n"/>
      <c r="AU23" s="131" t="n"/>
      <c r="AV23" s="127" t="n"/>
      <c r="AW23" s="128" t="n"/>
      <c r="AX23" s="128" t="n"/>
      <c r="AY23" s="131" t="n"/>
      <c r="AZ23" s="131" t="n"/>
      <c r="BA23" s="131" t="n"/>
      <c r="BB23" s="131" t="n"/>
      <c r="BC23" s="114" t="n"/>
      <c r="BD23" s="546" t="n"/>
      <c r="BE23" s="511" t="n"/>
      <c r="BF23" s="114" t="n"/>
      <c r="BG23" s="546" t="n"/>
      <c r="BH23" s="511" t="n"/>
      <c r="BI23" s="114" t="n"/>
      <c r="BJ23" s="546" t="n"/>
      <c r="BK23" s="546" t="n"/>
      <c r="BL23" s="546" t="n"/>
      <c r="BM23" s="546" t="n"/>
      <c r="BN23" s="546" t="n"/>
      <c r="BO23" s="511" t="n"/>
      <c r="BP23" s="546" t="n"/>
      <c r="BQ23" s="546" t="n"/>
      <c r="BR23" s="546" t="n"/>
      <c r="BS23" s="546" t="n"/>
      <c r="BT23" s="546" t="n"/>
      <c r="BU23" s="546" t="n"/>
      <c r="BV23" s="546" t="n"/>
      <c r="BW23" s="15" t="n"/>
      <c r="BX23" s="546" t="n"/>
      <c r="BY23" s="546" t="n"/>
      <c r="BZ23" s="546" t="n"/>
      <c r="CA23" s="546" t="n"/>
      <c r="CB23" s="546" t="n"/>
      <c r="CC23" s="15" t="n"/>
      <c r="CD23" s="546" t="n"/>
      <c r="CE23" s="546" t="n"/>
      <c r="CF23" s="17" t="n"/>
      <c r="CG23" s="546" t="n"/>
      <c r="CH23" s="546" t="n"/>
      <c r="CI23" s="546" t="n"/>
      <c r="CJ23" s="546" t="n"/>
      <c r="CK23" s="583" t="n"/>
      <c r="CL23" s="15" t="n"/>
      <c r="CM23" s="15" t="n"/>
      <c r="CN23" s="15" t="n"/>
      <c r="CO23" s="15" t="n"/>
      <c r="CP23" s="546" t="n"/>
      <c r="CQ23" s="17" t="n"/>
      <c r="CR23" s="74" t="n"/>
      <c r="CS23" s="75" t="n"/>
      <c r="CT23" s="76" t="n"/>
      <c r="CU23" s="76" t="n"/>
      <c r="CV23" s="91" t="n"/>
      <c r="CW23" s="546" t="n"/>
      <c r="CX23" s="546" t="n"/>
      <c r="CY23" s="546" t="n"/>
      <c r="CZ23" s="546" t="n"/>
      <c r="DA23" s="583" t="n"/>
      <c r="DB23" s="141" t="n"/>
      <c r="DC23" s="162" t="n"/>
      <c r="DD23" s="162" t="n"/>
      <c r="DE23" s="662" t="n"/>
      <c r="DF23" s="663" t="n"/>
      <c r="DG23" s="141" t="n"/>
      <c r="DH23" s="139" t="n"/>
      <c r="DI23" s="139" t="n"/>
      <c r="DJ23" s="139" t="n"/>
      <c r="DK23" s="147" t="n"/>
      <c r="DL23" s="664" t="n"/>
      <c r="DM23" s="162" t="n"/>
      <c r="DN23" s="162" t="n"/>
      <c r="DO23" s="162" t="n"/>
      <c r="DP23" s="162" t="n"/>
      <c r="DQ23" s="201" t="n"/>
      <c r="DR23" s="201" t="n"/>
      <c r="DS23" s="163" t="n"/>
      <c r="DT23" s="141" t="n"/>
      <c r="DU23" s="139" t="n"/>
      <c r="DV23" s="139" t="n"/>
      <c r="DW23" s="139" t="n"/>
      <c r="DX23" s="140" t="n"/>
      <c r="DY23" s="347" t="n"/>
      <c r="DZ23" s="147" t="n"/>
      <c r="EA23" s="31" t="n"/>
      <c r="EB23" s="45" t="n"/>
      <c r="EC23" s="665" t="n"/>
      <c r="ED23" s="45" t="n"/>
      <c r="EE23" s="351" t="n"/>
      <c r="EF23" s="107" t="n"/>
      <c r="EG23" s="139" t="n"/>
      <c r="EH23" s="139" t="n"/>
      <c r="EI23" s="139" t="n"/>
      <c r="EJ23" s="140" t="n"/>
      <c r="EK23" s="108" t="n"/>
      <c r="EL23" s="141" t="n"/>
      <c r="EM23" s="140" t="n"/>
      <c r="EN23" s="140" t="n"/>
      <c r="EO23" s="140" t="n"/>
      <c r="EP23" s="108" t="n"/>
      <c r="EQ23" s="666" t="n"/>
      <c r="ER23" s="107" t="n"/>
      <c r="ES23" s="140" t="n"/>
      <c r="ET23" s="140" t="n"/>
      <c r="EU23" s="107" t="n"/>
      <c r="EV23" s="587" t="n"/>
      <c r="EW23" s="587" t="n"/>
      <c r="EX23" s="141" t="n"/>
      <c r="EY23" s="140" t="n"/>
      <c r="EZ23" s="140" t="n"/>
      <c r="FA23" s="140" t="n"/>
      <c r="FB23" s="140" t="n"/>
      <c r="FC23" s="147" t="n"/>
      <c r="FD23" s="74" t="n"/>
      <c r="FE23" s="75" t="n"/>
      <c r="FF23" s="76" t="n"/>
      <c r="FG23" s="76" t="n"/>
      <c r="FH23" s="91" t="n"/>
      <c r="FI23" s="92" t="n"/>
      <c r="FJ23" s="91" t="n"/>
      <c r="FK23" s="74" t="n"/>
      <c r="FL23" s="92" t="n"/>
      <c r="FM23" s="148" t="n"/>
      <c r="FN23" s="149" t="n"/>
      <c r="FO23" s="150" t="n"/>
      <c r="FP23" s="99" t="n"/>
      <c r="FQ23" s="100" t="n"/>
      <c r="FR23" s="100" t="n"/>
      <c r="FS23" s="100" t="n"/>
      <c r="FT23" s="100" t="n"/>
      <c r="FU23" s="100" t="n"/>
      <c r="FV23" s="100" t="n"/>
      <c r="FW23" s="100" t="n"/>
      <c r="FX23" s="100" t="n"/>
      <c r="FY23" s="100" t="n"/>
      <c r="FZ23" s="100" t="n"/>
      <c r="GA23" s="102" t="n"/>
      <c r="GB23" s="15" t="n"/>
      <c r="GC23" s="546" t="n"/>
      <c r="GD23" s="546" t="n"/>
      <c r="GE23" s="17" t="n"/>
      <c r="GF23" s="15" t="n"/>
      <c r="GG23" s="546" t="n"/>
      <c r="GH23" s="546" t="n"/>
      <c r="GI23" s="17" t="n"/>
      <c r="GJ23" s="31" t="n"/>
      <c r="GK23" s="45" t="n"/>
      <c r="GL23" s="665" t="n"/>
      <c r="GM23" s="45" t="n"/>
      <c r="GN23" s="351" t="n"/>
      <c r="GO23" s="31" t="n"/>
      <c r="GP23" s="45" t="n"/>
      <c r="GQ23" s="45" t="n"/>
      <c r="GR23" s="667" t="n"/>
      <c r="GS23" s="668" t="n"/>
      <c r="GT23" s="107" t="n"/>
      <c r="GU23" s="587" t="n"/>
      <c r="GV23" s="108" t="n"/>
      <c r="GW23" s="15" t="n"/>
      <c r="GX23" s="546" t="n"/>
      <c r="GY23" s="17" t="n"/>
      <c r="GZ23" s="15" t="n"/>
      <c r="HA23" s="546" t="n"/>
      <c r="HB23" s="546" t="n"/>
      <c r="HC23" s="17" t="n"/>
      <c r="HD23" s="31" t="n"/>
      <c r="HE23" s="45" t="n"/>
      <c r="HF23" s="45" t="n"/>
      <c r="HG23" s="45" t="n"/>
      <c r="HH23" s="45" t="n"/>
      <c r="HI23" s="45" t="n"/>
      <c r="HJ23" s="45" t="n"/>
      <c r="HK23" s="45" t="n"/>
      <c r="HL23" s="45" t="n"/>
      <c r="HM23" s="45" t="n"/>
      <c r="HN23" s="45" t="n"/>
      <c r="HO23" s="351" t="n"/>
      <c r="HP23" s="606" t="n"/>
      <c r="HQ23" s="65">
        <f>AVERAGE(F23,K23,L23)</f>
        <v/>
      </c>
      <c r="HR23" s="66">
        <f>AVERAGE(C23,#REF!,M23,O23,Q23,U23,Z23)</f>
        <v/>
      </c>
      <c r="HS23" s="66">
        <f>AVERAGE(R23)</f>
        <v/>
      </c>
      <c r="HT23" s="66">
        <f>AVERAGE(N23)</f>
        <v/>
      </c>
      <c r="HU23" s="66">
        <f>AVERAGE(V23,P23,#REF!)</f>
        <v/>
      </c>
      <c r="HV23" s="66" t="n"/>
      <c r="HW23" s="66">
        <f>AVERAGE(X23)</f>
        <v/>
      </c>
      <c r="HX23" s="66" t="n"/>
      <c r="HY23" s="66" t="n"/>
      <c r="HZ23" s="66">
        <f>AVERAGE(Y23)</f>
        <v/>
      </c>
    </row>
    <row r="24" ht="15.75" customHeight="1" s="590">
      <c r="A24" s="295" t="inlineStr">
        <is>
          <t>052-26-128052</t>
        </is>
      </c>
      <c r="B24" s="296" t="inlineStr">
        <is>
          <t>Muhammad Bilal Hussain</t>
        </is>
      </c>
      <c r="C24" s="288" t="n">
        <v>65.48</v>
      </c>
      <c r="D24" s="288" t="n">
        <v>67.22</v>
      </c>
      <c r="E24" s="220" t="n">
        <v>85.65000000000001</v>
      </c>
      <c r="F24" s="288" t="n">
        <v>65.48</v>
      </c>
      <c r="G24" s="288" t="n">
        <v>67.22</v>
      </c>
      <c r="H24" s="288" t="n">
        <v>77.70999999999999</v>
      </c>
      <c r="I24" s="306" t="n">
        <v>95</v>
      </c>
      <c r="J24" s="306" t="n">
        <v>95</v>
      </c>
      <c r="K24" s="220" t="n">
        <v>81.05</v>
      </c>
      <c r="L24" s="561" t="n"/>
      <c r="M24" s="583" t="n"/>
      <c r="N24" s="546" t="n"/>
      <c r="O24" s="115" t="n"/>
      <c r="P24" s="117" t="n"/>
      <c r="Q24" s="202" t="n"/>
      <c r="R24" s="225" t="n"/>
      <c r="S24" s="548" t="n"/>
      <c r="T24" s="548" t="n"/>
      <c r="U24" s="225" t="n"/>
      <c r="V24" s="225" t="n"/>
      <c r="W24" s="225" t="n"/>
      <c r="X24" s="225" t="n"/>
      <c r="Y24" s="117" t="n"/>
      <c r="Z24" s="117" t="n"/>
      <c r="AA24" s="114" t="n"/>
      <c r="AB24" s="117" t="n"/>
      <c r="AC24" s="115" t="n"/>
      <c r="AD24" s="115" t="n"/>
      <c r="AE24" s="115" t="n"/>
      <c r="AF24" s="115" t="n"/>
      <c r="AG24" s="510" t="n"/>
      <c r="AH24" s="510" t="n"/>
      <c r="AI24" s="127" t="n"/>
      <c r="AJ24" s="128" t="n"/>
      <c r="AK24" s="131" t="n"/>
      <c r="AL24" s="127" t="n"/>
      <c r="AM24" s="128" t="n"/>
      <c r="AN24" s="128" t="n"/>
      <c r="AO24" s="128" t="n"/>
      <c r="AP24" s="131" t="n"/>
      <c r="AQ24" s="127" t="n"/>
      <c r="AR24" s="128" t="n"/>
      <c r="AS24" s="128" t="n"/>
      <c r="AT24" s="128" t="n"/>
      <c r="AU24" s="131" t="n"/>
      <c r="AV24" s="127" t="n"/>
      <c r="AW24" s="128" t="n"/>
      <c r="AX24" s="128" t="n"/>
      <c r="AY24" s="131" t="n"/>
      <c r="AZ24" s="131" t="n"/>
      <c r="BA24" s="131" t="n"/>
      <c r="BB24" s="131" t="n"/>
      <c r="BC24" s="114" t="n"/>
      <c r="BD24" s="546" t="n"/>
      <c r="BE24" s="511" t="n"/>
      <c r="BF24" s="114" t="n"/>
      <c r="BG24" s="546" t="n"/>
      <c r="BH24" s="511" t="n"/>
      <c r="BI24" s="114" t="n"/>
      <c r="BJ24" s="546" t="n"/>
      <c r="BK24" s="546" t="n"/>
      <c r="BL24" s="546" t="n"/>
      <c r="BM24" s="546" t="n"/>
      <c r="BN24" s="546" t="n"/>
      <c r="BO24" s="511" t="n"/>
      <c r="BP24" s="546" t="n"/>
      <c r="BQ24" s="546" t="n"/>
      <c r="BR24" s="546" t="n"/>
      <c r="BS24" s="546" t="n"/>
      <c r="BT24" s="546" t="n"/>
      <c r="BU24" s="546" t="n"/>
      <c r="BV24" s="546" t="n"/>
      <c r="BW24" s="15" t="n"/>
      <c r="BX24" s="546" t="n"/>
      <c r="BY24" s="546" t="n"/>
      <c r="BZ24" s="546" t="n"/>
      <c r="CA24" s="546" t="n"/>
      <c r="CB24" s="546" t="n"/>
      <c r="CC24" s="15" t="n"/>
      <c r="CD24" s="546" t="n"/>
      <c r="CE24" s="546" t="n"/>
      <c r="CF24" s="17" t="n"/>
      <c r="CG24" s="546" t="n"/>
      <c r="CH24" s="546" t="n"/>
      <c r="CI24" s="546" t="n"/>
      <c r="CJ24" s="546" t="n"/>
      <c r="CK24" s="583" t="n"/>
      <c r="CL24" s="15" t="n"/>
      <c r="CM24" s="15" t="n"/>
      <c r="CN24" s="15" t="n"/>
      <c r="CO24" s="15" t="n"/>
      <c r="CP24" s="546" t="n"/>
      <c r="CQ24" s="17" t="n"/>
      <c r="CR24" s="74" t="n"/>
      <c r="CS24" s="75" t="n"/>
      <c r="CT24" s="76" t="n"/>
      <c r="CU24" s="76" t="n"/>
      <c r="CV24" s="91" t="n"/>
      <c r="CW24" s="546" t="n"/>
      <c r="CX24" s="546" t="n"/>
      <c r="CY24" s="546" t="n"/>
      <c r="CZ24" s="546" t="n"/>
      <c r="DA24" s="583" t="n"/>
      <c r="DB24" s="141" t="n"/>
      <c r="DC24" s="162" t="n"/>
      <c r="DD24" s="162" t="n"/>
      <c r="DE24" s="662" t="n"/>
      <c r="DF24" s="663" t="n"/>
      <c r="DG24" s="141" t="n"/>
      <c r="DH24" s="139" t="n"/>
      <c r="DI24" s="139" t="n"/>
      <c r="DJ24" s="139" t="n"/>
      <c r="DK24" s="147" t="n"/>
      <c r="DL24" s="664" t="n"/>
      <c r="DM24" s="162" t="n"/>
      <c r="DN24" s="162" t="n"/>
      <c r="DO24" s="162" t="n"/>
      <c r="DP24" s="162" t="n"/>
      <c r="DQ24" s="201" t="n"/>
      <c r="DR24" s="201" t="n"/>
      <c r="DS24" s="163" t="n"/>
      <c r="DT24" s="141" t="n"/>
      <c r="DU24" s="139" t="n"/>
      <c r="DV24" s="139" t="n"/>
      <c r="DW24" s="139" t="n"/>
      <c r="DX24" s="140" t="n"/>
      <c r="DY24" s="347" t="n"/>
      <c r="DZ24" s="147" t="n"/>
      <c r="EA24" s="31" t="n"/>
      <c r="EB24" s="45" t="n"/>
      <c r="EC24" s="665" t="n"/>
      <c r="ED24" s="45" t="n"/>
      <c r="EE24" s="351" t="n"/>
      <c r="EF24" s="107" t="n"/>
      <c r="EG24" s="139" t="n"/>
      <c r="EH24" s="139" t="n"/>
      <c r="EI24" s="139" t="n"/>
      <c r="EJ24" s="140" t="n"/>
      <c r="EK24" s="108" t="n"/>
      <c r="EL24" s="141" t="n"/>
      <c r="EM24" s="140" t="n"/>
      <c r="EN24" s="140" t="n"/>
      <c r="EO24" s="140" t="n"/>
      <c r="EP24" s="108" t="n"/>
      <c r="EQ24" s="666" t="n"/>
      <c r="ER24" s="107" t="n"/>
      <c r="ES24" s="140" t="n"/>
      <c r="ET24" s="140" t="n"/>
      <c r="EU24" s="107" t="n"/>
      <c r="EV24" s="587" t="n"/>
      <c r="EW24" s="587" t="n"/>
      <c r="EX24" s="141" t="n"/>
      <c r="EY24" s="140" t="n"/>
      <c r="EZ24" s="140" t="n"/>
      <c r="FA24" s="140" t="n"/>
      <c r="FB24" s="140" t="n"/>
      <c r="FC24" s="147" t="n"/>
      <c r="FD24" s="74" t="n"/>
      <c r="FE24" s="75" t="n"/>
      <c r="FF24" s="76" t="n"/>
      <c r="FG24" s="76" t="n"/>
      <c r="FH24" s="91" t="n"/>
      <c r="FI24" s="92" t="n"/>
      <c r="FJ24" s="91" t="n"/>
      <c r="FK24" s="74" t="n"/>
      <c r="FL24" s="92" t="n"/>
      <c r="FM24" s="148" t="n"/>
      <c r="FN24" s="149" t="n"/>
      <c r="FO24" s="150" t="n"/>
      <c r="FP24" s="99" t="n"/>
      <c r="FQ24" s="100" t="n"/>
      <c r="FR24" s="100" t="n"/>
      <c r="FS24" s="100" t="n"/>
      <c r="FT24" s="100" t="n"/>
      <c r="FU24" s="100" t="n"/>
      <c r="FV24" s="100" t="n"/>
      <c r="FW24" s="100" t="n"/>
      <c r="FX24" s="100" t="n"/>
      <c r="FY24" s="100" t="n"/>
      <c r="FZ24" s="100" t="n"/>
      <c r="GA24" s="102" t="n"/>
      <c r="GB24" s="15" t="n"/>
      <c r="GC24" s="546" t="n"/>
      <c r="GD24" s="546" t="n"/>
      <c r="GE24" s="17" t="n"/>
      <c r="GF24" s="15" t="n"/>
      <c r="GG24" s="546" t="n"/>
      <c r="GH24" s="546" t="n"/>
      <c r="GI24" s="17" t="n"/>
      <c r="GJ24" s="31" t="n"/>
      <c r="GK24" s="45" t="n"/>
      <c r="GL24" s="665" t="n"/>
      <c r="GM24" s="45" t="n"/>
      <c r="GN24" s="351" t="n"/>
      <c r="GO24" s="31" t="n"/>
      <c r="GP24" s="45" t="n"/>
      <c r="GQ24" s="45" t="n"/>
      <c r="GR24" s="667" t="n"/>
      <c r="GS24" s="668" t="n"/>
      <c r="GT24" s="107" t="n"/>
      <c r="GU24" s="587" t="n"/>
      <c r="GV24" s="108" t="n"/>
      <c r="GW24" s="15" t="n"/>
      <c r="GX24" s="546" t="n"/>
      <c r="GY24" s="17" t="n"/>
      <c r="GZ24" s="15" t="n"/>
      <c r="HA24" s="546" t="n"/>
      <c r="HB24" s="546" t="n"/>
      <c r="HC24" s="17" t="n"/>
      <c r="HD24" s="31" t="n"/>
      <c r="HE24" s="45" t="n"/>
      <c r="HF24" s="45" t="n"/>
      <c r="HG24" s="45" t="n"/>
      <c r="HH24" s="45" t="n"/>
      <c r="HI24" s="45" t="n"/>
      <c r="HJ24" s="45" t="n"/>
      <c r="HK24" s="45" t="n"/>
      <c r="HL24" s="45" t="n"/>
      <c r="HM24" s="45" t="n"/>
      <c r="HN24" s="45" t="n"/>
      <c r="HO24" s="351" t="n"/>
      <c r="HP24" s="606" t="n"/>
      <c r="HQ24" s="65">
        <f>AVERAGE(F24,K24,L24)</f>
        <v/>
      </c>
      <c r="HR24" s="66">
        <f>AVERAGE(C24,#REF!,M24,O24,Q24,U24,Z24)</f>
        <v/>
      </c>
      <c r="HS24" s="66">
        <f>AVERAGE(R24)</f>
        <v/>
      </c>
      <c r="HT24" s="66">
        <f>AVERAGE(N24)</f>
        <v/>
      </c>
      <c r="HU24" s="66">
        <f>AVERAGE(V24,P24,#REF!)</f>
        <v/>
      </c>
      <c r="HV24" s="66" t="n"/>
      <c r="HW24" s="66">
        <f>AVERAGE(X24)</f>
        <v/>
      </c>
      <c r="HX24" s="66" t="n"/>
      <c r="HY24" s="66" t="n"/>
      <c r="HZ24" s="66">
        <f>AVERAGE(Y24)</f>
        <v/>
      </c>
    </row>
    <row r="25" ht="15.75" customHeight="1" s="590">
      <c r="A25" s="295" t="inlineStr">
        <is>
          <t>052-26-128069</t>
        </is>
      </c>
      <c r="B25" s="297" t="inlineStr">
        <is>
          <t>Hifsa Kainat</t>
        </is>
      </c>
      <c r="C25" s="288" t="n">
        <v>81.90000000000001</v>
      </c>
      <c r="D25" s="288" t="n">
        <v>71.67</v>
      </c>
      <c r="E25" s="220" t="n">
        <v>85.65000000000001</v>
      </c>
      <c r="F25" s="288" t="n">
        <v>81.90000000000001</v>
      </c>
      <c r="G25" s="288" t="n">
        <v>71.67</v>
      </c>
      <c r="H25" s="288" t="n">
        <v>74.14</v>
      </c>
      <c r="I25" s="306" t="n">
        <v>65.33</v>
      </c>
      <c r="J25" s="306" t="n">
        <v>65.33</v>
      </c>
      <c r="K25" s="220" t="n">
        <v>87.02</v>
      </c>
      <c r="L25" s="561" t="n"/>
      <c r="M25" s="583" t="n"/>
      <c r="N25" s="546" t="n"/>
      <c r="O25" s="115" t="n"/>
      <c r="P25" s="117" t="n"/>
      <c r="Q25" s="202" t="n"/>
      <c r="R25" s="225" t="n"/>
      <c r="S25" s="548" t="n"/>
      <c r="T25" s="548" t="n"/>
      <c r="U25" s="225" t="n"/>
      <c r="V25" s="225" t="n"/>
      <c r="W25" s="225" t="n"/>
      <c r="X25" s="225" t="n"/>
      <c r="Y25" s="117" t="n"/>
      <c r="Z25" s="117" t="n"/>
      <c r="AA25" s="114" t="n"/>
      <c r="AB25" s="117" t="n"/>
      <c r="AC25" s="115" t="n"/>
      <c r="AD25" s="115" t="n"/>
      <c r="AE25" s="115" t="n"/>
      <c r="AF25" s="115" t="n"/>
      <c r="AG25" s="510" t="n"/>
      <c r="AH25" s="510" t="n"/>
      <c r="AI25" s="127" t="n"/>
      <c r="AJ25" s="128" t="n"/>
      <c r="AK25" s="131" t="n"/>
      <c r="AL25" s="127" t="n"/>
      <c r="AM25" s="128" t="n"/>
      <c r="AN25" s="128" t="n"/>
      <c r="AO25" s="128" t="n"/>
      <c r="AP25" s="131" t="n"/>
      <c r="AQ25" s="127" t="n"/>
      <c r="AR25" s="128" t="n"/>
      <c r="AS25" s="128" t="n"/>
      <c r="AT25" s="128" t="n"/>
      <c r="AU25" s="131" t="n"/>
      <c r="AV25" s="127" t="n"/>
      <c r="AW25" s="128" t="n"/>
      <c r="AX25" s="128" t="n"/>
      <c r="AY25" s="131" t="n"/>
      <c r="AZ25" s="131" t="n"/>
      <c r="BA25" s="131" t="n"/>
      <c r="BB25" s="131" t="n"/>
      <c r="BC25" s="114" t="n"/>
      <c r="BD25" s="546" t="n"/>
      <c r="BE25" s="511" t="n"/>
      <c r="BF25" s="114" t="n"/>
      <c r="BG25" s="546" t="n"/>
      <c r="BH25" s="511" t="n"/>
      <c r="BI25" s="114" t="n"/>
      <c r="BJ25" s="546" t="n"/>
      <c r="BK25" s="546" t="n"/>
      <c r="BL25" s="546" t="n"/>
      <c r="BM25" s="546" t="n"/>
      <c r="BN25" s="546" t="n"/>
      <c r="BO25" s="511" t="n"/>
      <c r="BP25" s="546" t="n"/>
      <c r="BQ25" s="546" t="n"/>
      <c r="BR25" s="546" t="n"/>
      <c r="BS25" s="546" t="n"/>
      <c r="BT25" s="546" t="n"/>
      <c r="BU25" s="546" t="n"/>
      <c r="BV25" s="546" t="n"/>
      <c r="BW25" s="15" t="n"/>
      <c r="BX25" s="546" t="n"/>
      <c r="BY25" s="546" t="n"/>
      <c r="BZ25" s="546" t="n"/>
      <c r="CA25" s="546" t="n"/>
      <c r="CB25" s="546" t="n"/>
      <c r="CC25" s="15" t="n"/>
      <c r="CD25" s="546" t="n"/>
      <c r="CE25" s="546" t="n"/>
      <c r="CF25" s="17" t="n"/>
      <c r="CG25" s="546" t="n"/>
      <c r="CH25" s="546" t="n"/>
      <c r="CI25" s="546" t="n"/>
      <c r="CJ25" s="546" t="n"/>
      <c r="CK25" s="583" t="n"/>
      <c r="CL25" s="15" t="n"/>
      <c r="CM25" s="15" t="n"/>
      <c r="CN25" s="15" t="n"/>
      <c r="CO25" s="15" t="n"/>
      <c r="CP25" s="546" t="n"/>
      <c r="CQ25" s="17" t="n"/>
      <c r="CR25" s="74" t="n"/>
      <c r="CS25" s="75" t="n"/>
      <c r="CT25" s="76" t="n"/>
      <c r="CU25" s="76" t="n"/>
      <c r="CV25" s="91" t="n"/>
      <c r="CW25" s="546" t="n"/>
      <c r="CX25" s="546" t="n"/>
      <c r="CY25" s="546" t="n"/>
      <c r="CZ25" s="546" t="n"/>
      <c r="DA25" s="583" t="n"/>
      <c r="DB25" s="141" t="n"/>
      <c r="DC25" s="162" t="n"/>
      <c r="DD25" s="162" t="n"/>
      <c r="DE25" s="662" t="n"/>
      <c r="DF25" s="663" t="n"/>
      <c r="DG25" s="141" t="n"/>
      <c r="DH25" s="139" t="n"/>
      <c r="DI25" s="139" t="n"/>
      <c r="DJ25" s="139" t="n"/>
      <c r="DK25" s="147" t="n"/>
      <c r="DL25" s="664" t="n"/>
      <c r="DM25" s="162" t="n"/>
      <c r="DN25" s="162" t="n"/>
      <c r="DO25" s="162" t="n"/>
      <c r="DP25" s="162" t="n"/>
      <c r="DQ25" s="201" t="n"/>
      <c r="DR25" s="201" t="n"/>
      <c r="DS25" s="163" t="n"/>
      <c r="DT25" s="141" t="n"/>
      <c r="DU25" s="139" t="n"/>
      <c r="DV25" s="139" t="n"/>
      <c r="DW25" s="139" t="n"/>
      <c r="DX25" s="140" t="n"/>
      <c r="DY25" s="347" t="n"/>
      <c r="DZ25" s="147" t="n"/>
      <c r="EA25" s="31" t="n"/>
      <c r="EB25" s="45" t="n"/>
      <c r="EC25" s="665" t="n"/>
      <c r="ED25" s="45" t="n"/>
      <c r="EE25" s="351" t="n"/>
      <c r="EF25" s="107" t="n"/>
      <c r="EG25" s="139" t="n"/>
      <c r="EH25" s="139" t="n"/>
      <c r="EI25" s="139" t="n"/>
      <c r="EJ25" s="140" t="n"/>
      <c r="EK25" s="108" t="n"/>
      <c r="EL25" s="141" t="n"/>
      <c r="EM25" s="140" t="n"/>
      <c r="EN25" s="140" t="n"/>
      <c r="EO25" s="140" t="n"/>
      <c r="EP25" s="108" t="n"/>
      <c r="EQ25" s="666" t="n"/>
      <c r="ER25" s="107" t="n"/>
      <c r="ES25" s="140" t="n"/>
      <c r="ET25" s="140" t="n"/>
      <c r="EU25" s="107" t="n"/>
      <c r="EV25" s="587" t="n"/>
      <c r="EW25" s="587" t="n"/>
      <c r="EX25" s="141" t="n"/>
      <c r="EY25" s="140" t="n"/>
      <c r="EZ25" s="140" t="n"/>
      <c r="FA25" s="140" t="n"/>
      <c r="FB25" s="140" t="n"/>
      <c r="FC25" s="147" t="n"/>
      <c r="FD25" s="74" t="n"/>
      <c r="FE25" s="75" t="n"/>
      <c r="FF25" s="76" t="n"/>
      <c r="FG25" s="76" t="n"/>
      <c r="FH25" s="91" t="n"/>
      <c r="FI25" s="92" t="n"/>
      <c r="FJ25" s="91" t="n"/>
      <c r="FK25" s="74" t="n"/>
      <c r="FL25" s="92" t="n"/>
      <c r="FM25" s="148" t="n"/>
      <c r="FN25" s="149" t="n"/>
      <c r="FO25" s="150" t="n"/>
      <c r="FP25" s="99" t="n"/>
      <c r="FQ25" s="100" t="n"/>
      <c r="FR25" s="100" t="n"/>
      <c r="FS25" s="100" t="n"/>
      <c r="FT25" s="100" t="n"/>
      <c r="FU25" s="100" t="n"/>
      <c r="FV25" s="100" t="n"/>
      <c r="FW25" s="100" t="n"/>
      <c r="FX25" s="100" t="n"/>
      <c r="FY25" s="100" t="n"/>
      <c r="FZ25" s="100" t="n"/>
      <c r="GA25" s="102" t="n"/>
      <c r="GB25" s="15" t="n"/>
      <c r="GC25" s="546" t="n"/>
      <c r="GD25" s="546" t="n"/>
      <c r="GE25" s="17" t="n"/>
      <c r="GF25" s="15" t="n"/>
      <c r="GG25" s="546" t="n"/>
      <c r="GH25" s="546" t="n"/>
      <c r="GI25" s="17" t="n"/>
      <c r="GJ25" s="31" t="n"/>
      <c r="GK25" s="45" t="n"/>
      <c r="GL25" s="665" t="n"/>
      <c r="GM25" s="45" t="n"/>
      <c r="GN25" s="351" t="n"/>
      <c r="GO25" s="31" t="n"/>
      <c r="GP25" s="45" t="n"/>
      <c r="GQ25" s="45" t="n"/>
      <c r="GR25" s="667" t="n"/>
      <c r="GS25" s="668" t="n"/>
      <c r="GT25" s="107" t="n"/>
      <c r="GU25" s="587" t="n"/>
      <c r="GV25" s="108" t="n"/>
      <c r="GW25" s="15" t="n"/>
      <c r="GX25" s="546" t="n"/>
      <c r="GY25" s="17" t="n"/>
      <c r="GZ25" s="15" t="n"/>
      <c r="HA25" s="546" t="n"/>
      <c r="HB25" s="546" t="n"/>
      <c r="HC25" s="17" t="n"/>
      <c r="HD25" s="31" t="n"/>
      <c r="HE25" s="45" t="n"/>
      <c r="HF25" s="45" t="n"/>
      <c r="HG25" s="45" t="n"/>
      <c r="HH25" s="45" t="n"/>
      <c r="HI25" s="45" t="n"/>
      <c r="HJ25" s="45" t="n"/>
      <c r="HK25" s="45" t="n"/>
      <c r="HL25" s="45" t="n"/>
      <c r="HM25" s="45" t="n"/>
      <c r="HN25" s="45" t="n"/>
      <c r="HO25" s="351" t="n"/>
      <c r="HP25" s="606" t="n"/>
      <c r="HQ25" s="65">
        <f>AVERAGE(F25,K25,L25)</f>
        <v/>
      </c>
      <c r="HR25" s="66">
        <f>AVERAGE(C25,#REF!,M25,O25,Q25,U25,Z25)</f>
        <v/>
      </c>
      <c r="HS25" s="66">
        <f>AVERAGE(R25)</f>
        <v/>
      </c>
      <c r="HT25" s="66">
        <f>AVERAGE(N25)</f>
        <v/>
      </c>
      <c r="HU25" s="66">
        <f>AVERAGE(V25,P25,#REF!)</f>
        <v/>
      </c>
      <c r="HV25" s="66" t="n"/>
      <c r="HW25" s="66">
        <f>AVERAGE(X25)</f>
        <v/>
      </c>
      <c r="HX25" s="66" t="n"/>
      <c r="HY25" s="66" t="n"/>
      <c r="HZ25" s="66">
        <f>AVERAGE(Y25)</f>
        <v/>
      </c>
    </row>
    <row r="26" ht="15.75" customHeight="1" s="590">
      <c r="A26" s="295" t="inlineStr">
        <is>
          <t>052-26-128071</t>
        </is>
      </c>
      <c r="B26" s="294" t="inlineStr">
        <is>
          <t>Muhammad subhan sikander</t>
        </is>
      </c>
      <c r="C26" s="288" t="n">
        <v>78.33</v>
      </c>
      <c r="D26" s="288" t="n">
        <v>71.11</v>
      </c>
      <c r="E26" s="220" t="n">
        <v>87.09999999999999</v>
      </c>
      <c r="F26" s="288" t="n">
        <v>78.33</v>
      </c>
      <c r="G26" s="288" t="n">
        <v>71.11</v>
      </c>
      <c r="H26" s="288" t="n">
        <v>50.71</v>
      </c>
      <c r="I26" s="306" t="n">
        <v>53.98</v>
      </c>
      <c r="J26" s="306" t="n">
        <v>56.56</v>
      </c>
      <c r="K26" s="220" t="n">
        <v>83.68000000000001</v>
      </c>
      <c r="L26" s="561" t="n"/>
      <c r="M26" s="583" t="n"/>
      <c r="N26" s="546" t="n"/>
      <c r="O26" s="115" t="n"/>
      <c r="P26" s="117" t="n"/>
      <c r="Q26" s="202" t="n"/>
      <c r="R26" s="543" t="n"/>
      <c r="S26" s="548" t="n"/>
      <c r="T26" s="548" t="n"/>
      <c r="U26" s="225" t="n"/>
      <c r="V26" s="225" t="n"/>
      <c r="W26" s="225" t="n"/>
      <c r="X26" s="225" t="n"/>
      <c r="Y26" s="117" t="n"/>
      <c r="Z26" s="117" t="n"/>
      <c r="AA26" s="114" t="n"/>
      <c r="AB26" s="117" t="n"/>
      <c r="AC26" s="115" t="n"/>
      <c r="AD26" s="115" t="n"/>
      <c r="AE26" s="115" t="n"/>
      <c r="AF26" s="115" t="n"/>
      <c r="AG26" s="510" t="n"/>
      <c r="AH26" s="510" t="n"/>
      <c r="AI26" s="127" t="n"/>
      <c r="AJ26" s="128" t="n"/>
      <c r="AK26" s="131" t="n"/>
      <c r="AL26" s="127" t="n"/>
      <c r="AM26" s="128" t="n"/>
      <c r="AN26" s="128" t="n"/>
      <c r="AO26" s="128" t="n"/>
      <c r="AP26" s="131" t="n"/>
      <c r="AQ26" s="127" t="n"/>
      <c r="AR26" s="128" t="n"/>
      <c r="AS26" s="128" t="n"/>
      <c r="AT26" s="128" t="n"/>
      <c r="AU26" s="131" t="n"/>
      <c r="AV26" s="127" t="n"/>
      <c r="AW26" s="128" t="n"/>
      <c r="AX26" s="128" t="n"/>
      <c r="AY26" s="131" t="n"/>
      <c r="AZ26" s="131" t="n"/>
      <c r="BA26" s="131" t="n"/>
      <c r="BB26" s="131" t="n"/>
      <c r="BC26" s="114" t="n"/>
      <c r="BD26" s="546" t="n"/>
      <c r="BE26" s="511" t="n"/>
      <c r="BF26" s="114" t="n"/>
      <c r="BG26" s="546" t="n"/>
      <c r="BH26" s="511" t="n"/>
      <c r="BI26" s="114" t="n"/>
      <c r="BJ26" s="546" t="n"/>
      <c r="BK26" s="546" t="n"/>
      <c r="BL26" s="546" t="n"/>
      <c r="BM26" s="546" t="n"/>
      <c r="BN26" s="546" t="n"/>
      <c r="BO26" s="511" t="n"/>
      <c r="BP26" s="546" t="n"/>
      <c r="BQ26" s="546" t="n"/>
      <c r="BR26" s="546" t="n"/>
      <c r="BS26" s="546" t="n"/>
      <c r="BT26" s="546" t="n"/>
      <c r="BU26" s="546" t="n"/>
      <c r="BV26" s="546" t="n"/>
      <c r="BW26" s="15" t="n"/>
      <c r="BX26" s="546" t="n"/>
      <c r="BY26" s="546" t="n"/>
      <c r="BZ26" s="546" t="n"/>
      <c r="CA26" s="546" t="n"/>
      <c r="CB26" s="546" t="n"/>
      <c r="CC26" s="15" t="n"/>
      <c r="CD26" s="546" t="n"/>
      <c r="CE26" s="546" t="n"/>
      <c r="CF26" s="17" t="n"/>
      <c r="CG26" s="546" t="n"/>
      <c r="CH26" s="546" t="n"/>
      <c r="CI26" s="546" t="n"/>
      <c r="CJ26" s="546" t="n"/>
      <c r="CK26" s="583" t="n"/>
      <c r="CL26" s="15" t="n"/>
      <c r="CM26" s="15" t="n"/>
      <c r="CN26" s="15" t="n"/>
      <c r="CO26" s="15" t="n"/>
      <c r="CP26" s="546" t="n"/>
      <c r="CQ26" s="17" t="n"/>
      <c r="CR26" s="74" t="n"/>
      <c r="CS26" s="75" t="n"/>
      <c r="CT26" s="76" t="n"/>
      <c r="CU26" s="76" t="n"/>
      <c r="CV26" s="91" t="n"/>
      <c r="CW26" s="546" t="n"/>
      <c r="CX26" s="546" t="n"/>
      <c r="CY26" s="546" t="n"/>
      <c r="CZ26" s="546" t="n"/>
      <c r="DA26" s="583" t="n"/>
      <c r="DB26" s="141" t="n"/>
      <c r="DC26" s="162" t="n"/>
      <c r="DD26" s="162" t="n"/>
      <c r="DE26" s="512" t="n"/>
      <c r="DF26" s="491" t="n"/>
      <c r="DG26" s="141" t="n"/>
      <c r="DH26" s="139" t="n"/>
      <c r="DI26" s="139" t="n"/>
      <c r="DJ26" s="139" t="n"/>
      <c r="DK26" s="347" t="n"/>
      <c r="DL26" s="348" t="n"/>
      <c r="DM26" s="162" t="n"/>
      <c r="DN26" s="162" t="n"/>
      <c r="DO26" s="162" t="n"/>
      <c r="DP26" s="162" t="n"/>
      <c r="DQ26" s="201" t="n"/>
      <c r="DR26" s="201" t="n"/>
      <c r="DS26" s="163" t="n"/>
      <c r="DT26" s="141" t="n"/>
      <c r="DU26" s="139" t="n"/>
      <c r="DV26" s="139" t="n"/>
      <c r="DW26" s="139" t="n"/>
      <c r="DX26" s="140" t="n"/>
      <c r="DY26" s="347" t="n"/>
      <c r="DZ26" s="147" t="n"/>
      <c r="EA26" s="31" t="n"/>
      <c r="EB26" s="349" t="n"/>
      <c r="EC26" s="349" t="n"/>
      <c r="ED26" s="349" t="n"/>
      <c r="EE26" s="351" t="n"/>
      <c r="EF26" s="107" t="n"/>
      <c r="EG26" s="139" t="n"/>
      <c r="EH26" s="139" t="n"/>
      <c r="EI26" s="139" t="n"/>
      <c r="EJ26" s="140" t="n"/>
      <c r="EK26" s="108" t="n"/>
      <c r="EL26" s="141" t="n"/>
      <c r="EM26" s="140" t="n"/>
      <c r="EN26" s="140" t="n"/>
      <c r="EO26" s="140" t="n"/>
      <c r="EP26" s="347" t="n"/>
      <c r="EQ26" s="348" t="n"/>
      <c r="ER26" s="107" t="n"/>
      <c r="ES26" s="140" t="n"/>
      <c r="ET26" s="347" t="n"/>
      <c r="EU26" s="107" t="n"/>
      <c r="EV26" s="587" t="n"/>
      <c r="EW26" s="587" t="n"/>
      <c r="EX26" s="141" t="n"/>
      <c r="EY26" s="140" t="n"/>
      <c r="EZ26" s="140" t="n"/>
      <c r="FA26" s="140" t="n"/>
      <c r="FB26" s="140" t="n"/>
      <c r="FC26" s="147" t="n"/>
      <c r="FD26" s="74" t="n"/>
      <c r="FE26" s="75" t="n"/>
      <c r="FF26" s="76" t="n"/>
      <c r="FG26" s="76" t="n"/>
      <c r="FH26" s="91" t="n"/>
      <c r="FI26" s="92" t="n"/>
      <c r="FJ26" s="91" t="n"/>
      <c r="FK26" s="74" t="n"/>
      <c r="FL26" s="92" t="n"/>
      <c r="FM26" s="148" t="n"/>
      <c r="FN26" s="149" t="n"/>
      <c r="FO26" s="150" t="n"/>
      <c r="FP26" s="99" t="n"/>
      <c r="FQ26" s="100" t="n"/>
      <c r="FR26" s="100" t="n"/>
      <c r="FS26" s="100" t="n"/>
      <c r="FT26" s="100" t="n"/>
      <c r="FU26" s="100" t="n"/>
      <c r="FV26" s="100" t="n"/>
      <c r="FW26" s="100" t="n"/>
      <c r="FX26" s="100" t="n"/>
      <c r="FY26" s="100" t="n"/>
      <c r="FZ26" s="100" t="n"/>
      <c r="GA26" s="102" t="n"/>
      <c r="GB26" s="15" t="n"/>
      <c r="GC26" s="546" t="n"/>
      <c r="GD26" s="546" t="n"/>
      <c r="GE26" s="17" t="n"/>
      <c r="GF26" s="15" t="n"/>
      <c r="GG26" s="546" t="n"/>
      <c r="GH26" s="546" t="n"/>
      <c r="GI26" s="17" t="n"/>
      <c r="GJ26" s="31" t="n"/>
      <c r="GK26" s="349" t="n"/>
      <c r="GL26" s="349" t="n"/>
      <c r="GM26" s="45" t="n"/>
      <c r="GN26" s="351" t="n"/>
      <c r="GO26" s="31" t="n"/>
      <c r="GP26" s="45" t="n"/>
      <c r="GQ26" s="45" t="n"/>
      <c r="GR26" s="350" t="n"/>
      <c r="GS26" s="351" t="n"/>
      <c r="GT26" s="107" t="n"/>
      <c r="GU26" s="587" t="n"/>
      <c r="GV26" s="108" t="n"/>
      <c r="GW26" s="15" t="n"/>
      <c r="GX26" s="546" t="n"/>
      <c r="GY26" s="17" t="n"/>
      <c r="GZ26" s="15" t="n"/>
      <c r="HA26" s="546" t="n"/>
      <c r="HB26" s="546" t="n"/>
      <c r="HC26" s="17" t="n"/>
      <c r="HD26" s="31" t="n"/>
      <c r="HE26" s="45" t="n"/>
      <c r="HF26" s="45" t="n"/>
      <c r="HG26" s="45" t="n"/>
      <c r="HH26" s="45" t="n"/>
      <c r="HI26" s="45" t="n"/>
      <c r="HJ26" s="45" t="n"/>
      <c r="HK26" s="45" t="n"/>
      <c r="HL26" s="45" t="n"/>
      <c r="HM26" s="45" t="n"/>
      <c r="HN26" s="45" t="n"/>
      <c r="HO26" s="351" t="n"/>
      <c r="HP26" s="606" t="n"/>
      <c r="HQ26" s="65">
        <f>AVERAGE(F26,K26,L26)</f>
        <v/>
      </c>
      <c r="HR26" s="66">
        <f>AVERAGE(C26,#REF!,M26,O26,Q26,U26,Z26)</f>
        <v/>
      </c>
      <c r="HS26" s="66">
        <f>AVERAGE(R26)</f>
        <v/>
      </c>
      <c r="HT26" s="66">
        <f>AVERAGE(N26)</f>
        <v/>
      </c>
      <c r="HU26" s="66">
        <f>AVERAGE(V26,P26,#REF!)</f>
        <v/>
      </c>
      <c r="HV26" s="66" t="n"/>
      <c r="HW26" s="66">
        <f>AVERAGE(X26)</f>
        <v/>
      </c>
      <c r="HX26" s="66" t="n"/>
      <c r="HY26" s="66" t="n"/>
      <c r="HZ26" s="66">
        <f>AVERAGE(Y26)</f>
        <v/>
      </c>
    </row>
    <row r="27" ht="15.75" customHeight="1" s="590">
      <c r="A27" s="298" t="inlineStr">
        <is>
          <t>052-26-128083</t>
        </is>
      </c>
      <c r="B27" s="299" t="inlineStr">
        <is>
          <t>awais mehmood</t>
        </is>
      </c>
      <c r="C27" s="288" t="n">
        <v>70</v>
      </c>
      <c r="D27" s="288" t="n">
        <v>54.44</v>
      </c>
      <c r="E27" s="220" t="n">
        <v>85.65000000000001</v>
      </c>
      <c r="F27" s="288" t="n">
        <v>70</v>
      </c>
      <c r="G27" s="288" t="n">
        <v>54.44</v>
      </c>
      <c r="H27" s="288" t="n">
        <v>88</v>
      </c>
      <c r="I27" s="306" t="n">
        <v>92</v>
      </c>
      <c r="J27" s="306" t="n">
        <v>92</v>
      </c>
      <c r="K27" s="220" t="n">
        <v>78.59999999999999</v>
      </c>
      <c r="L27" s="118" t="n"/>
      <c r="M27" s="118" t="n"/>
      <c r="N27" s="118" t="n"/>
      <c r="O27" s="118" t="n"/>
      <c r="P27" s="118" t="n"/>
      <c r="Q27" s="514" t="n"/>
      <c r="R27" s="513" t="n"/>
      <c r="S27" s="513" t="n"/>
      <c r="T27" s="513" t="n"/>
      <c r="U27" s="118" t="n"/>
      <c r="V27" s="118" t="n"/>
      <c r="W27" s="118" t="n"/>
      <c r="X27" s="118" t="n"/>
      <c r="Y27" s="118">
        <f>AVERAGE(Y7:Y25)</f>
        <v/>
      </c>
      <c r="Z27" s="118">
        <f>AVERAGE(Z7:Z25)</f>
        <v/>
      </c>
      <c r="AA27" s="118">
        <f>AVERAGE(AA7:AA25)</f>
        <v/>
      </c>
      <c r="AB27" s="118">
        <f>AVERAGE(AB7:AB25)</f>
        <v/>
      </c>
      <c r="AC27" s="18">
        <f>AVERAGE(AC7:AC25)</f>
        <v/>
      </c>
      <c r="AD27" s="18">
        <f>AVERAGE(AD7:AD25)</f>
        <v/>
      </c>
      <c r="AE27" s="18">
        <f>AVERAGE(AE7:AE25)</f>
        <v/>
      </c>
      <c r="AF27" s="18">
        <f>AVERAGE(AF7:AF25)</f>
        <v/>
      </c>
      <c r="AG27" s="18">
        <f>AVERAGE(AG7:AG25)</f>
        <v/>
      </c>
      <c r="AH27" s="18">
        <f>AVERAGE(AH7:AH25)</f>
        <v/>
      </c>
      <c r="AI27" s="118">
        <f>AVERAGE(AI7:AI25)</f>
        <v/>
      </c>
      <c r="AJ27" s="118">
        <f>AVERAGE(AJ7:AJ25)</f>
        <v/>
      </c>
      <c r="AK27" s="118">
        <f>AVERAGE(AK7:AK25)</f>
        <v/>
      </c>
      <c r="AL27" s="18">
        <f>AVERAGE(AL7:AL25)</f>
        <v/>
      </c>
      <c r="AM27" s="18">
        <f>AVERAGE(AM7:AM25)</f>
        <v/>
      </c>
      <c r="AN27" s="598" t="n"/>
      <c r="AO27" s="598" t="n"/>
      <c r="AP27" s="599" t="n"/>
      <c r="AQ27" s="18">
        <f>AVERAGE(AQ7:AQ25)</f>
        <v/>
      </c>
      <c r="AR27" s="18">
        <f>AVERAGE(AR7:AR25)</f>
        <v/>
      </c>
      <c r="AS27" s="18">
        <f>AVERAGE(AS7:AS25)</f>
        <v/>
      </c>
      <c r="AT27" s="18">
        <f>AVERAGE(AT7:AT25)</f>
        <v/>
      </c>
      <c r="AU27" s="18">
        <f>AVERAGE(AU7:AU25)</f>
        <v/>
      </c>
      <c r="AV27" s="18">
        <f>AVERAGE(AV7:AV25)</f>
        <v/>
      </c>
      <c r="AW27" s="18">
        <f>AVERAGE(AW7:AW25)</f>
        <v/>
      </c>
      <c r="AX27" s="18">
        <f>AVERAGE(AX7:AX25)</f>
        <v/>
      </c>
      <c r="AY27" s="18">
        <f>AVERAGE(AY7:AY25)</f>
        <v/>
      </c>
      <c r="AZ27" s="18">
        <f>AVERAGE(AZ7:AZ25)</f>
        <v/>
      </c>
      <c r="BA27" s="18">
        <f>AVERAGE(BA7:BA25)</f>
        <v/>
      </c>
      <c r="BB27" s="18">
        <f>AVERAGE(BB7:BB25)</f>
        <v/>
      </c>
      <c r="BC27" s="18">
        <f>AVERAGE(BC7:BC25)</f>
        <v/>
      </c>
      <c r="BD27" s="18">
        <f>AVERAGE(BD7:BD25)</f>
        <v/>
      </c>
      <c r="BE27" s="18">
        <f>AVERAGE(BE7:BE25)</f>
        <v/>
      </c>
      <c r="BF27" s="18">
        <f>AVERAGE(BF7:BF25)</f>
        <v/>
      </c>
      <c r="BG27" s="18">
        <f>AVERAGE(BG7:BG25)</f>
        <v/>
      </c>
      <c r="BH27" s="18">
        <f>AVERAGE(BH7:BH25)</f>
        <v/>
      </c>
      <c r="BI27" s="18">
        <f>AVERAGE(BI7:BI25)</f>
        <v/>
      </c>
      <c r="BJ27" s="18">
        <f>AVERAGE(BJ7:BJ25)</f>
        <v/>
      </c>
      <c r="BK27" s="18">
        <f>AVERAGE(BK7:BK25)</f>
        <v/>
      </c>
      <c r="BL27" s="18">
        <f>AVERAGE(BL7:BL25)</f>
        <v/>
      </c>
      <c r="BM27" s="18">
        <f>AVERAGE(BM7:BM25)</f>
        <v/>
      </c>
      <c r="BN27" s="18">
        <f>AVERAGE(BN7:BN25)</f>
        <v/>
      </c>
      <c r="BO27" s="18">
        <f>AVERAGE(BO7:BO25)</f>
        <v/>
      </c>
      <c r="BP27" s="18">
        <f>AVERAGE(BP7:BP25)</f>
        <v/>
      </c>
      <c r="BQ27" s="18">
        <f>AVERAGE(BQ7:BQ25)</f>
        <v/>
      </c>
      <c r="BR27" s="18">
        <f>AVERAGE(BR7:BR25)</f>
        <v/>
      </c>
      <c r="BS27" s="18">
        <f>AVERAGE(BS7:BS25)</f>
        <v/>
      </c>
      <c r="BT27" s="18">
        <f>AVERAGE(BT7:BT25)</f>
        <v/>
      </c>
      <c r="BU27" s="18">
        <f>AVERAGE(BU7:BU25)</f>
        <v/>
      </c>
      <c r="BV27" s="18">
        <f>AVERAGE(BV7:BV25)</f>
        <v/>
      </c>
      <c r="BW27" s="18">
        <f>AVERAGE(BW7:BW25)</f>
        <v/>
      </c>
      <c r="BX27" s="18">
        <f>AVERAGE(BX7:BX25)</f>
        <v/>
      </c>
      <c r="BY27" s="18">
        <f>AVERAGE(BY7:BY25)</f>
        <v/>
      </c>
      <c r="BZ27" s="18">
        <f>AVERAGE(BZ7:BZ25)</f>
        <v/>
      </c>
      <c r="CA27" s="18">
        <f>AVERAGE(CA7:CA25)</f>
        <v/>
      </c>
      <c r="CB27" s="18">
        <f>AVERAGE(CB7:CB25)</f>
        <v/>
      </c>
      <c r="CC27" s="18">
        <f>AVERAGE(CC7:CC25)</f>
        <v/>
      </c>
      <c r="CD27" s="18">
        <f>AVERAGE(CD7:CD25)</f>
        <v/>
      </c>
      <c r="CE27" s="18">
        <f>AVERAGE(CE7:CE25)</f>
        <v/>
      </c>
      <c r="CF27" s="18">
        <f>AVERAGE(CF7:CF25)</f>
        <v/>
      </c>
      <c r="CG27" s="18">
        <f>AVERAGE(CG7:CG25)</f>
        <v/>
      </c>
      <c r="CH27" s="18">
        <f>AVERAGE(CH7:CH25)</f>
        <v/>
      </c>
      <c r="CI27" s="18">
        <f>AVERAGE(CI7:CI25)</f>
        <v/>
      </c>
      <c r="CJ27" s="18">
        <f>AVERAGE(CJ7:CJ25)</f>
        <v/>
      </c>
      <c r="CK27" s="503">
        <f>AVERAGE(CK7:CK25)</f>
        <v/>
      </c>
      <c r="CL27" s="18">
        <f>AVERAGE(CL7:CL25)</f>
        <v/>
      </c>
      <c r="CM27" s="18">
        <f>AVERAGE(CM7:CM25)</f>
        <v/>
      </c>
      <c r="CN27" s="18">
        <f>AVERAGE(CN7:CN25)</f>
        <v/>
      </c>
      <c r="CO27" s="18">
        <f>AVERAGE(CO7:CO25)</f>
        <v/>
      </c>
      <c r="CP27" s="18">
        <f>AVERAGE(CP7:CP25)</f>
        <v/>
      </c>
      <c r="CQ27" s="18">
        <f>AVERAGE(CQ7:CQ25)</f>
        <v/>
      </c>
      <c r="CR27" s="77">
        <f>AVERAGE(CR7:CR25)</f>
        <v/>
      </c>
      <c r="CS27" s="77">
        <f>AVERAGE(CS7:CS25)</f>
        <v/>
      </c>
      <c r="CT27" s="77">
        <f>AVERAGE(CT7:CT25)</f>
        <v/>
      </c>
      <c r="CU27" s="77">
        <f>AVERAGE(CU7:CU25)</f>
        <v/>
      </c>
      <c r="CV27" s="77">
        <f>AVERAGE(CV7:CV25)</f>
        <v/>
      </c>
      <c r="CW27" s="77">
        <f>AVERAGE(CW7:CW25)</f>
        <v/>
      </c>
      <c r="CX27" s="77">
        <f>AVERAGE(CX7:CX25)</f>
        <v/>
      </c>
      <c r="CY27" s="77">
        <f>AVERAGE(CY7:CY25)</f>
        <v/>
      </c>
      <c r="CZ27" s="77">
        <f>AVERAGE(CZ7:CZ25)</f>
        <v/>
      </c>
      <c r="DA27" s="77">
        <f>AVERAGE(DA7:DA25)</f>
        <v/>
      </c>
      <c r="DB27" s="77">
        <f>AVERAGE(DB7:DB25)</f>
        <v/>
      </c>
      <c r="DC27" s="77">
        <f>AVERAGE(DC7:DC25)</f>
        <v/>
      </c>
      <c r="DD27" s="77">
        <f>AVERAGE(DD7:DD25)</f>
        <v/>
      </c>
      <c r="DE27" s="77">
        <f>AVERAGE(DE7:DE25)</f>
        <v/>
      </c>
      <c r="DF27" s="77">
        <f>AVERAGE(DF7:DF25)</f>
        <v/>
      </c>
      <c r="DG27" s="77">
        <f>AVERAGE(DG7:DG25)</f>
        <v/>
      </c>
      <c r="DH27" s="77">
        <f>AVERAGE(DH7:DH25)</f>
        <v/>
      </c>
      <c r="DI27" s="77">
        <f>AVERAGE(DI7:DI25)</f>
        <v/>
      </c>
      <c r="DJ27" s="77">
        <f>AVERAGE(DJ7:DJ25)</f>
        <v/>
      </c>
      <c r="DK27" s="77">
        <f>AVERAGE(DK7:DK25)</f>
        <v/>
      </c>
      <c r="DL27" s="77">
        <f>AVERAGE(DL7:DL25)</f>
        <v/>
      </c>
      <c r="DM27" s="77">
        <f>AVERAGE(DM7:DM25)</f>
        <v/>
      </c>
      <c r="DN27" s="77">
        <f>AVERAGE(DN7:DN25)</f>
        <v/>
      </c>
      <c r="DO27" s="77">
        <f>AVERAGE(DO7:DO25)</f>
        <v/>
      </c>
      <c r="DP27" s="77">
        <f>AVERAGE(DP7:DP25)</f>
        <v/>
      </c>
      <c r="DQ27" s="77">
        <f>AVERAGE(DQ7:DQ25)</f>
        <v/>
      </c>
      <c r="DR27" s="77">
        <f>AVERAGE(DR7:DR25)</f>
        <v/>
      </c>
      <c r="DS27" s="77">
        <f>AVERAGE(DS7:DS25)</f>
        <v/>
      </c>
      <c r="DT27" s="77">
        <f>AVERAGE(DT7:DT25)</f>
        <v/>
      </c>
      <c r="DU27" s="77">
        <f>AVERAGE(DU7:DU25)</f>
        <v/>
      </c>
      <c r="DV27" s="77">
        <f>AVERAGE(DV7:DV25)</f>
        <v/>
      </c>
      <c r="DW27" s="77">
        <f>AVERAGE(DW7:DW25)</f>
        <v/>
      </c>
      <c r="DX27" s="77">
        <f>AVERAGE(DX7:DX25)</f>
        <v/>
      </c>
      <c r="DY27" s="77">
        <f>AVERAGE(DY7:DY25)</f>
        <v/>
      </c>
      <c r="DZ27" s="77">
        <f>AVERAGE(DZ7:DZ25)</f>
        <v/>
      </c>
      <c r="EA27" s="35">
        <f>AVERAGE(EA7:EA25)</f>
        <v/>
      </c>
      <c r="EB27" s="35">
        <f>AVERAGE(EB7:EB25)</f>
        <v/>
      </c>
      <c r="EC27" s="35">
        <f>AVERAGE(EC7:EC25)</f>
        <v/>
      </c>
      <c r="ED27" s="35">
        <f>AVERAGE(ED7:ED25)</f>
        <v/>
      </c>
      <c r="EE27" s="35">
        <f>AVERAGE(EE7:EE25)</f>
        <v/>
      </c>
      <c r="EF27" s="77">
        <f>AVERAGE(EF7:EF25)</f>
        <v/>
      </c>
      <c r="EG27" s="77">
        <f>AVERAGE(EG7:EG25)</f>
        <v/>
      </c>
      <c r="EH27" s="77">
        <f>AVERAGE(EH7:EH25)</f>
        <v/>
      </c>
      <c r="EI27" s="77">
        <f>AVERAGE(EI7:EI25)</f>
        <v/>
      </c>
      <c r="EJ27" s="77">
        <f>AVERAGE(EJ7:EJ25)</f>
        <v/>
      </c>
      <c r="EK27" s="77">
        <f>AVERAGE(EK7:EK25)</f>
        <v/>
      </c>
      <c r="EL27" s="77">
        <f>AVERAGE(EL7:EL25)</f>
        <v/>
      </c>
      <c r="EM27" s="77">
        <f>AVERAGE(EM7:EM25)</f>
        <v/>
      </c>
      <c r="EN27" s="77">
        <f>AVERAGE(EN7:EN25)</f>
        <v/>
      </c>
      <c r="EO27" s="77">
        <f>AVERAGE(EO7:EO25)</f>
        <v/>
      </c>
      <c r="EP27" s="669">
        <f>AVERAGE(EP7:EP25)</f>
        <v/>
      </c>
      <c r="EQ27" s="670" t="n"/>
      <c r="ER27" s="77">
        <f>AVERAGE(ER7:ER25)</f>
        <v/>
      </c>
      <c r="ES27" s="77">
        <f>AVERAGE(ES7:ES25)</f>
        <v/>
      </c>
      <c r="ET27" s="77">
        <f>AVERAGE(ET7:ET25)</f>
        <v/>
      </c>
      <c r="EU27" s="77">
        <f>AVERAGE(EU7:EU25)</f>
        <v/>
      </c>
      <c r="EV27" s="77">
        <f>AVERAGE(EV7:EV25)</f>
        <v/>
      </c>
      <c r="EW27" s="77">
        <f>AVERAGE(EW7:EW25)</f>
        <v/>
      </c>
      <c r="EX27" s="669">
        <f>AVERAGE(EX7:EX25)</f>
        <v/>
      </c>
      <c r="EY27" s="670" t="n"/>
      <c r="EZ27" s="77">
        <f>AVERAGE(EZ7:EZ25)</f>
        <v/>
      </c>
      <c r="FA27" s="77">
        <f>AVERAGE(FA7:FA25)</f>
        <v/>
      </c>
      <c r="FB27" s="77">
        <f>AVERAGE(FB7:FB25)</f>
        <v/>
      </c>
      <c r="FC27" s="77">
        <f>AVERAGE(FC7:FC25)</f>
        <v/>
      </c>
      <c r="FD27" s="77">
        <f>AVERAGE(FD7:FD25)</f>
        <v/>
      </c>
      <c r="FE27" s="78">
        <f>AVERAGE(FE7:FE25)</f>
        <v/>
      </c>
      <c r="FF27" s="79">
        <f>AVERAGE(FF7:FF25)</f>
        <v/>
      </c>
      <c r="FG27" s="79">
        <f>AVERAGE(FG7:FG25)</f>
        <v/>
      </c>
      <c r="FH27" s="79">
        <f>AVERAGE(FH7:FH25)</f>
        <v/>
      </c>
      <c r="FI27" s="94">
        <f>AVERAGE(FI7:FI25)</f>
        <v/>
      </c>
      <c r="FJ27" s="35">
        <f>AVERAGE(FJ7:FJ25)</f>
        <v/>
      </c>
      <c r="FK27" s="35">
        <f>AVERAGE(FK7:FK25)</f>
        <v/>
      </c>
      <c r="FL27" s="35">
        <f>AVERAGE(FL7:FL25)</f>
        <v/>
      </c>
      <c r="FM27" s="35">
        <f>AVERAGE(FM7:FM25)</f>
        <v/>
      </c>
      <c r="FN27" s="35">
        <f>AVERAGE(FN7:FN25)</f>
        <v/>
      </c>
      <c r="FO27" s="35">
        <f>AVERAGE(FO7:FO25)</f>
        <v/>
      </c>
      <c r="FP27" s="35">
        <f>AVERAGE(FP7:FP25)</f>
        <v/>
      </c>
      <c r="FQ27" s="35">
        <f>AVERAGE(FQ7:FQ25)</f>
        <v/>
      </c>
      <c r="FR27" s="35">
        <f>AVERAGE(FR7:FR25)</f>
        <v/>
      </c>
      <c r="FS27" s="35">
        <f>AVERAGE(FS7:FS25)</f>
        <v/>
      </c>
      <c r="FT27" s="35">
        <f>AVERAGE(FT7:FT25)</f>
        <v/>
      </c>
      <c r="FU27" s="35">
        <f>AVERAGE(FU7:FU25)</f>
        <v/>
      </c>
      <c r="FV27" s="35">
        <f>AVERAGE(FV7:FV25)</f>
        <v/>
      </c>
      <c r="FW27" s="35">
        <f>AVERAGE(FW7:FW25)</f>
        <v/>
      </c>
      <c r="FX27" s="35">
        <f>AVERAGE(FX7:FX25)</f>
        <v/>
      </c>
      <c r="FY27" s="35">
        <f>AVERAGE(FY7:FY25)</f>
        <v/>
      </c>
      <c r="FZ27" s="35">
        <f>AVERAGE(FZ7:FZ25)</f>
        <v/>
      </c>
      <c r="GA27" s="35">
        <f>AVERAGE(GA7:GA25)</f>
        <v/>
      </c>
      <c r="GB27" s="18">
        <f>AVERAGE(GB7:GB25)</f>
        <v/>
      </c>
      <c r="GC27" s="18">
        <f>AVERAGE(GC7:GC25)</f>
        <v/>
      </c>
      <c r="GD27" s="18">
        <f>AVERAGE(GD7:GD25)</f>
        <v/>
      </c>
      <c r="GE27" s="18">
        <f>AVERAGE(GE7:GE25)</f>
        <v/>
      </c>
      <c r="GF27" s="18">
        <f>AVERAGE(GF7:GF25)</f>
        <v/>
      </c>
      <c r="GG27" s="18">
        <f>AVERAGE(GG7:GG25)</f>
        <v/>
      </c>
      <c r="GH27" s="18">
        <f>AVERAGE(GH7:GH25)</f>
        <v/>
      </c>
      <c r="GI27" s="18">
        <f>AVERAGE(GI7:GI25)</f>
        <v/>
      </c>
      <c r="GJ27" s="35">
        <f>AVERAGE(GJ7:GJ25)</f>
        <v/>
      </c>
      <c r="GK27" s="35">
        <f>AVERAGE(GK7:GK25)</f>
        <v/>
      </c>
      <c r="GL27" s="35">
        <f>AVERAGE(GL7:GL25)</f>
        <v/>
      </c>
      <c r="GM27" s="35">
        <f>AVERAGE(GM7:GM25)</f>
        <v/>
      </c>
      <c r="GN27" s="35">
        <f>AVERAGE(GN7:GN25)</f>
        <v/>
      </c>
      <c r="GO27" s="35">
        <f>AVERAGE(GO7:GO25)</f>
        <v/>
      </c>
      <c r="GP27" s="35">
        <f>AVERAGE(GP7:GP25)</f>
        <v/>
      </c>
      <c r="GQ27" s="35">
        <f>AVERAGE(GQ7:GQ25)</f>
        <v/>
      </c>
      <c r="GR27" s="35">
        <f>AVERAGE(GR7:GR25)</f>
        <v/>
      </c>
      <c r="GS27" s="35">
        <f>AVERAGE(GS7:GS25)</f>
        <v/>
      </c>
      <c r="GT27" s="77">
        <f>AVERAGE(GT7:GT25)</f>
        <v/>
      </c>
      <c r="GU27" s="77">
        <f>AVERAGE(GU7:GU25)</f>
        <v/>
      </c>
      <c r="GV27" s="77">
        <f>AVERAGE(GV7:GV25)</f>
        <v/>
      </c>
      <c r="GW27" s="35">
        <f>AVERAGE(GW7:GW25)</f>
        <v/>
      </c>
      <c r="GX27" s="35">
        <f>AVERAGE(GX7:GX25)</f>
        <v/>
      </c>
      <c r="GY27" s="59">
        <f>AVERAGE(GY7:GY25)</f>
        <v/>
      </c>
      <c r="GZ27" s="18">
        <f>AVERAGE(GZ7:GZ25)</f>
        <v/>
      </c>
      <c r="HA27" s="18">
        <f>AVERAGE(HA7:HA25)</f>
        <v/>
      </c>
      <c r="HB27" s="18">
        <f>AVERAGE(HB7:HB25)</f>
        <v/>
      </c>
      <c r="HC27" s="18">
        <f>AVERAGE(HC7:HC25)</f>
        <v/>
      </c>
      <c r="HD27" s="59">
        <f>AVERAGE(HD7:HD25)</f>
        <v/>
      </c>
      <c r="HE27" s="59">
        <f>AVERAGE(HE7:HE25)</f>
        <v/>
      </c>
      <c r="HF27" s="59">
        <f>AVERAGE(HF7:HF25)</f>
        <v/>
      </c>
      <c r="HG27" s="59">
        <f>AVERAGE(HG7:HG25)</f>
        <v/>
      </c>
      <c r="HH27" s="59">
        <f>AVERAGE(HH7:HH25)</f>
        <v/>
      </c>
      <c r="HI27" s="59">
        <f>AVERAGE(HI7:HI25)</f>
        <v/>
      </c>
      <c r="HJ27" s="59">
        <f>AVERAGE(HJ7:HJ25)</f>
        <v/>
      </c>
      <c r="HK27" s="59">
        <f>AVERAGE(HK7:HK25)</f>
        <v/>
      </c>
      <c r="HL27" s="59">
        <f>AVERAGE(HL7:HL25)</f>
        <v/>
      </c>
      <c r="HM27" s="59">
        <f>AVERAGE(HM7:HM25)</f>
        <v/>
      </c>
      <c r="HN27" s="59">
        <f>AVERAGE(HN7:HN25)</f>
        <v/>
      </c>
      <c r="HO27" s="59">
        <f>AVERAGE(HO7:HO25)</f>
        <v/>
      </c>
      <c r="HP27" s="652" t="n"/>
      <c r="HQ27" s="67">
        <f>AVERAGE(HQ7:HQ26)</f>
        <v/>
      </c>
      <c r="HR27" s="67">
        <f>AVERAGE(HR7:HR26)</f>
        <v/>
      </c>
      <c r="HS27" s="67">
        <f>AVERAGE(HS7:HS26)</f>
        <v/>
      </c>
      <c r="HT27" s="67">
        <f>AVERAGE(HT7:HT26)</f>
        <v/>
      </c>
      <c r="HU27" s="67">
        <f>AVERAGE(HU7:HU26)</f>
        <v/>
      </c>
      <c r="HV27" s="67" t="n"/>
      <c r="HW27" s="67">
        <f>AVERAGE(HW7:HW26)</f>
        <v/>
      </c>
      <c r="HX27" s="67" t="inlineStr">
        <is>
          <t xml:space="preserve"> </t>
        </is>
      </c>
      <c r="HY27" s="67" t="inlineStr">
        <is>
          <t xml:space="preserve"> </t>
        </is>
      </c>
      <c r="HZ27" s="67">
        <f>AVERAGE(HZ7:HZ26)</f>
        <v/>
      </c>
    </row>
    <row r="28" ht="15.75" customHeight="1" s="590">
      <c r="A28" s="298" t="inlineStr">
        <is>
          <t>052-26-128084</t>
        </is>
      </c>
      <c r="B28" s="299" t="inlineStr">
        <is>
          <t>Muhammad Hassan</t>
        </is>
      </c>
      <c r="C28" s="288" t="n">
        <v>50</v>
      </c>
      <c r="D28" s="288" t="n">
        <v>54.44</v>
      </c>
      <c r="E28" s="220" t="n">
        <v>56.67</v>
      </c>
      <c r="F28" s="288" t="n">
        <v>50</v>
      </c>
      <c r="G28" s="292" t="n">
        <v>54</v>
      </c>
      <c r="H28" s="288" t="n">
        <v>0</v>
      </c>
      <c r="I28" s="306" t="n">
        <v>0</v>
      </c>
      <c r="J28" s="306" t="n">
        <v>0</v>
      </c>
      <c r="K28" s="220" t="n">
        <v>78.25</v>
      </c>
    </row>
    <row r="29" ht="15.75" customHeight="1" s="590">
      <c r="A29" s="298" t="inlineStr">
        <is>
          <t>052-26-128085</t>
        </is>
      </c>
      <c r="B29" s="299" t="inlineStr">
        <is>
          <t>Nimra bibi</t>
        </is>
      </c>
      <c r="C29" s="288" t="n">
        <v>64.29000000000001</v>
      </c>
      <c r="D29" s="288" t="n">
        <v>67.78</v>
      </c>
      <c r="E29" s="220" t="n">
        <v>85.65000000000001</v>
      </c>
      <c r="F29" s="288" t="n">
        <v>64.29000000000001</v>
      </c>
      <c r="G29" s="218" t="n">
        <v>67.78</v>
      </c>
      <c r="H29" s="288" t="n">
        <v>46</v>
      </c>
      <c r="I29" s="306" t="n">
        <v>66</v>
      </c>
      <c r="J29" s="306" t="n">
        <v>66</v>
      </c>
      <c r="K29" s="220" t="n">
        <v>88.59999999999999</v>
      </c>
    </row>
    <row r="30" ht="15.75" customHeight="1" s="590">
      <c r="A30" s="298" t="inlineStr">
        <is>
          <t>052-26-128087</t>
        </is>
      </c>
      <c r="B30" s="299" t="inlineStr">
        <is>
          <t>Saqib Ahmad</t>
        </is>
      </c>
      <c r="C30" s="288" t="n">
        <v>82.14</v>
      </c>
      <c r="D30" s="288" t="n">
        <v>66.94</v>
      </c>
      <c r="E30" s="220" t="n">
        <v>85.65000000000001</v>
      </c>
      <c r="F30" s="288" t="n">
        <v>82.14</v>
      </c>
      <c r="G30" s="288" t="n">
        <v>66.94</v>
      </c>
      <c r="H30" s="288" t="n">
        <v>54</v>
      </c>
      <c r="I30" s="306" t="n">
        <v>55.33</v>
      </c>
      <c r="J30" s="306" t="n">
        <v>55.33</v>
      </c>
      <c r="K30" s="220" t="n">
        <v>93.86</v>
      </c>
    </row>
    <row r="31" ht="15.75" customHeight="1" s="590">
      <c r="A31" s="298" t="inlineStr">
        <is>
          <t>052-26-128096</t>
        </is>
      </c>
      <c r="B31" s="299" t="inlineStr">
        <is>
          <t>Sahar Saleem</t>
        </is>
      </c>
      <c r="C31" s="288" t="n">
        <v>33.33</v>
      </c>
      <c r="D31" s="288" t="n">
        <v>54.44</v>
      </c>
      <c r="E31" s="220" t="n">
        <v>56.67</v>
      </c>
      <c r="F31" s="288" t="n">
        <v>33.33</v>
      </c>
      <c r="G31" s="288" t="n">
        <v>54.44</v>
      </c>
      <c r="H31" s="288" t="n">
        <v>0</v>
      </c>
      <c r="I31" s="306" t="n">
        <v>0</v>
      </c>
      <c r="J31" s="306" t="n">
        <v>0</v>
      </c>
      <c r="K31" s="220" t="n">
        <v>75.95999999999999</v>
      </c>
    </row>
    <row r="32" ht="15.75" customHeight="1" s="590">
      <c r="A32" s="298" t="inlineStr">
        <is>
          <t>052-26-128097</t>
        </is>
      </c>
      <c r="B32" s="299" t="inlineStr">
        <is>
          <t>Abdullah zulfqar</t>
        </is>
      </c>
      <c r="C32" s="288" t="n">
        <v>72.62</v>
      </c>
      <c r="D32" s="288" t="n">
        <v>66.67</v>
      </c>
      <c r="E32" s="220" t="n">
        <v>85.65000000000001</v>
      </c>
      <c r="F32" s="288" t="n">
        <v>72.62</v>
      </c>
      <c r="G32" s="288" t="n">
        <v>66.67</v>
      </c>
      <c r="H32" s="288" t="n">
        <v>51.09</v>
      </c>
      <c r="I32" s="306" t="n">
        <v>77</v>
      </c>
      <c r="J32" s="306" t="n">
        <v>50.23</v>
      </c>
      <c r="K32" s="220" t="n">
        <v>74.56</v>
      </c>
    </row>
    <row r="33" ht="15.75" customHeight="1" s="590">
      <c r="A33" s="298" t="inlineStr">
        <is>
          <t>052-26-128102</t>
        </is>
      </c>
      <c r="B33" s="299" t="inlineStr">
        <is>
          <t>Abdul Rahman</t>
        </is>
      </c>
      <c r="C33" s="288" t="n">
        <v>69.05</v>
      </c>
      <c r="D33" s="288" t="n">
        <v>68.33</v>
      </c>
      <c r="E33" s="220" t="n">
        <v>85.65000000000001</v>
      </c>
      <c r="F33" s="288" t="n">
        <v>69.05</v>
      </c>
      <c r="G33" s="288" t="n">
        <v>68.33</v>
      </c>
      <c r="H33" s="288" t="n">
        <v>80.43000000000001</v>
      </c>
      <c r="I33" s="306" t="n">
        <v>71.33</v>
      </c>
      <c r="J33" s="306" t="n">
        <v>71.33</v>
      </c>
      <c r="K33" s="220" t="n">
        <v>79.3</v>
      </c>
    </row>
    <row r="34" ht="15.75" customHeight="1" s="590">
      <c r="A34" s="295" t="inlineStr">
        <is>
          <t>052-26-128105</t>
        </is>
      </c>
      <c r="B34" s="296" t="inlineStr">
        <is>
          <t>Shariq</t>
        </is>
      </c>
      <c r="C34" s="288" t="n">
        <v>64.29000000000001</v>
      </c>
      <c r="D34" s="288" t="n">
        <v>68.06</v>
      </c>
      <c r="E34" s="220" t="n">
        <v>85.65000000000001</v>
      </c>
      <c r="F34" s="288" t="n">
        <v>64.29000000000001</v>
      </c>
      <c r="G34" s="288" t="n">
        <v>68.06</v>
      </c>
      <c r="H34" s="288" t="n">
        <v>24</v>
      </c>
      <c r="I34" s="306" t="n">
        <v>17</v>
      </c>
      <c r="J34" s="306" t="n">
        <v>11.98</v>
      </c>
      <c r="K34" s="220" t="n">
        <v>89.65000000000001</v>
      </c>
    </row>
    <row r="35" ht="15.75" customHeight="1" s="590">
      <c r="A35" s="295" t="inlineStr">
        <is>
          <t>052-26-128122</t>
        </is>
      </c>
      <c r="B35" s="296" t="inlineStr">
        <is>
          <t>Muhammad Saad Ali Sajjad</t>
        </is>
      </c>
      <c r="C35" s="288" t="n">
        <v>80.95</v>
      </c>
      <c r="D35" s="288" t="n">
        <v>71.11</v>
      </c>
      <c r="E35" s="220" t="n">
        <v>85.65000000000001</v>
      </c>
      <c r="F35" s="288" t="n">
        <v>80.95</v>
      </c>
      <c r="G35" s="288" t="n">
        <v>71.11</v>
      </c>
      <c r="H35" s="288" t="n">
        <v>41.43</v>
      </c>
      <c r="I35" s="306" t="n">
        <v>30</v>
      </c>
      <c r="J35" s="306" t="n">
        <v>25.98</v>
      </c>
      <c r="K35" s="220" t="n">
        <v>90.7</v>
      </c>
    </row>
    <row r="36" ht="15.75" customHeight="1" s="590">
      <c r="A36" s="295" t="inlineStr">
        <is>
          <t>052-26-128147</t>
        </is>
      </c>
      <c r="B36" s="296" t="inlineStr">
        <is>
          <t xml:space="preserve">Jawad Ahmed </t>
        </is>
      </c>
      <c r="C36" s="288" t="n">
        <v>60.95</v>
      </c>
      <c r="D36" s="288" t="n">
        <v>67.78</v>
      </c>
      <c r="E36" s="220" t="n">
        <v>85.65000000000001</v>
      </c>
      <c r="F36" s="288" t="n">
        <v>60.95</v>
      </c>
      <c r="G36" s="288" t="n">
        <v>67.78</v>
      </c>
      <c r="H36" s="288" t="n">
        <v>20</v>
      </c>
      <c r="I36" s="306" t="n">
        <v>40</v>
      </c>
      <c r="J36" s="306" t="n">
        <v>17.67</v>
      </c>
      <c r="K36" s="220" t="n">
        <v>85.09</v>
      </c>
    </row>
    <row r="37" ht="15.75" customHeight="1" s="590">
      <c r="A37" s="295" t="inlineStr">
        <is>
          <t>052-26-128154</t>
        </is>
      </c>
      <c r="B37" s="296" t="inlineStr">
        <is>
          <t>Abdullah khalil</t>
        </is>
      </c>
      <c r="C37" s="288" t="n">
        <v>73.81</v>
      </c>
      <c r="D37" s="288" t="n">
        <v>68.06</v>
      </c>
      <c r="E37" s="220" t="n">
        <v>85.65000000000001</v>
      </c>
      <c r="F37" s="288" t="n">
        <v>73.81</v>
      </c>
      <c r="G37" s="288" t="n">
        <v>68.06</v>
      </c>
      <c r="H37" s="288" t="n">
        <v>86.29000000000001</v>
      </c>
      <c r="I37" s="306" t="n">
        <v>90.67</v>
      </c>
      <c r="J37" s="306" t="n">
        <v>90.67</v>
      </c>
      <c r="K37" s="220" t="n">
        <v>81.93000000000001</v>
      </c>
    </row>
    <row r="38" ht="15.75" customHeight="1" s="590">
      <c r="A38" s="295" t="inlineStr">
        <is>
          <t>052-26-128156</t>
        </is>
      </c>
      <c r="B38" s="296" t="inlineStr">
        <is>
          <t>Syed Haseeb Ali Haider</t>
        </is>
      </c>
      <c r="C38" s="288" t="n">
        <v>85.70999999999999</v>
      </c>
      <c r="D38" s="288" t="n">
        <v>68.89</v>
      </c>
      <c r="E38" s="220" t="n">
        <v>85.65000000000001</v>
      </c>
      <c r="F38" s="288" t="n">
        <v>85.70999999999999</v>
      </c>
      <c r="G38" s="288" t="n">
        <v>68.89</v>
      </c>
      <c r="H38" s="288" t="n">
        <v>52.43</v>
      </c>
      <c r="I38" s="306" t="n">
        <v>52.98</v>
      </c>
      <c r="J38" s="306" t="n">
        <v>56.78</v>
      </c>
      <c r="K38" s="220" t="n">
        <v>72.98</v>
      </c>
    </row>
    <row r="39" ht="16.5" customHeight="1" s="590">
      <c r="A39" s="295" t="inlineStr">
        <is>
          <t>052-26-128160</t>
        </is>
      </c>
      <c r="B39" s="300" t="inlineStr">
        <is>
          <t>Anas Raza Khan</t>
        </is>
      </c>
      <c r="C39" s="288" t="n">
        <v>91.67</v>
      </c>
      <c r="D39" s="288" t="n">
        <v>73.06</v>
      </c>
      <c r="E39" s="220" t="n">
        <v>85.65000000000001</v>
      </c>
      <c r="F39" s="288" t="n">
        <v>91.67</v>
      </c>
      <c r="G39" s="288" t="n">
        <v>73.06</v>
      </c>
      <c r="H39" s="288" t="n">
        <v>69.14</v>
      </c>
      <c r="I39" s="306" t="n">
        <v>83.33</v>
      </c>
      <c r="J39" s="306" t="n">
        <v>56.78</v>
      </c>
      <c r="K39" s="220" t="n">
        <v>78.59999999999999</v>
      </c>
    </row>
    <row r="40" ht="15.75" customHeight="1" s="590">
      <c r="A40" s="295" t="inlineStr">
        <is>
          <t>052-26-128161</t>
        </is>
      </c>
      <c r="B40" s="296" t="inlineStr">
        <is>
          <t>Haider Zaman</t>
        </is>
      </c>
      <c r="C40" s="288" t="n">
        <v>100</v>
      </c>
      <c r="D40" s="288" t="n">
        <v>76.67</v>
      </c>
      <c r="E40" s="220" t="n">
        <v>85.65000000000001</v>
      </c>
      <c r="F40" s="288" t="n">
        <v>100</v>
      </c>
      <c r="G40" s="288" t="n">
        <v>76.67</v>
      </c>
      <c r="H40" s="288" t="n">
        <v>63.29</v>
      </c>
      <c r="I40" s="306" t="n">
        <v>87</v>
      </c>
      <c r="J40" s="306" t="n">
        <v>70.67</v>
      </c>
      <c r="K40" s="220" t="n">
        <v>72.45999999999999</v>
      </c>
    </row>
    <row r="41" ht="15.75" customHeight="1" s="590">
      <c r="A41" s="295" t="inlineStr">
        <is>
          <t>052-26-128169</t>
        </is>
      </c>
      <c r="B41" s="296" t="inlineStr">
        <is>
          <t>Hamees Ali</t>
        </is>
      </c>
      <c r="C41" s="288" t="n">
        <v>83.81</v>
      </c>
      <c r="D41" s="288" t="n">
        <v>66.94</v>
      </c>
      <c r="E41" s="220" t="n">
        <v>90</v>
      </c>
      <c r="F41" s="288" t="n">
        <v>83.81</v>
      </c>
      <c r="G41" s="288" t="n">
        <v>66.94</v>
      </c>
      <c r="H41" s="288" t="n">
        <v>50</v>
      </c>
      <c r="I41" s="306" t="n">
        <v>57</v>
      </c>
      <c r="J41" s="306" t="n">
        <v>52.15</v>
      </c>
      <c r="K41" s="220" t="n">
        <v>88.42</v>
      </c>
    </row>
    <row r="42" ht="15.75" customHeight="1" s="590">
      <c r="A42" s="295" t="inlineStr">
        <is>
          <t>052-26-128170</t>
        </is>
      </c>
      <c r="B42" s="296" t="inlineStr">
        <is>
          <t>Ahmad Aqeel Abbasi</t>
        </is>
      </c>
      <c r="C42" s="288" t="n">
        <v>82.14</v>
      </c>
      <c r="D42" s="288" t="n">
        <v>68.33</v>
      </c>
      <c r="E42" s="220" t="n">
        <v>85.65000000000001</v>
      </c>
      <c r="F42" s="288" t="n">
        <v>82.14</v>
      </c>
      <c r="G42" s="288" t="n">
        <v>68.33</v>
      </c>
      <c r="H42" s="288" t="n">
        <v>43</v>
      </c>
      <c r="I42" s="306" t="n">
        <v>46.67</v>
      </c>
      <c r="J42" s="306" t="n">
        <v>46.67</v>
      </c>
      <c r="K42" s="220" t="n">
        <v>68.59999999999999</v>
      </c>
    </row>
    <row r="43" ht="15.75" customHeight="1" s="590">
      <c r="A43" s="295" t="inlineStr">
        <is>
          <t>052-26-128171</t>
        </is>
      </c>
      <c r="B43" s="296" t="inlineStr">
        <is>
          <t>Abdullah Ahmed Mirza</t>
        </is>
      </c>
      <c r="C43" s="288" t="n">
        <v>82.14</v>
      </c>
      <c r="D43" s="288" t="n">
        <v>69.72</v>
      </c>
      <c r="E43" s="220" t="n">
        <v>71.16</v>
      </c>
      <c r="F43" s="288" t="n">
        <v>82.14</v>
      </c>
      <c r="G43" s="288" t="n">
        <v>69.72</v>
      </c>
      <c r="H43" s="288" t="n">
        <v>22</v>
      </c>
      <c r="I43" s="306" t="n">
        <v>50</v>
      </c>
      <c r="J43" s="306" t="n">
        <v>23.78</v>
      </c>
      <c r="K43" s="220" t="n">
        <v>76.84</v>
      </c>
    </row>
    <row r="44" ht="15.75" customHeight="1" s="590">
      <c r="A44" s="295" t="inlineStr">
        <is>
          <t>052-26-128179</t>
        </is>
      </c>
      <c r="B44" s="296" t="inlineStr">
        <is>
          <t>Asif Ali</t>
        </is>
      </c>
      <c r="C44" s="288" t="n">
        <v>86.90000000000001</v>
      </c>
      <c r="D44" s="288" t="n">
        <v>66.94</v>
      </c>
      <c r="E44" s="220" t="n">
        <v>85.65000000000001</v>
      </c>
      <c r="F44" s="288" t="n">
        <v>86.90000000000001</v>
      </c>
      <c r="G44" s="288" t="n">
        <v>66.94</v>
      </c>
      <c r="H44" s="288" t="n">
        <v>80.70999999999999</v>
      </c>
      <c r="I44" s="306" t="n">
        <v>89</v>
      </c>
      <c r="J44" s="306" t="n">
        <v>89</v>
      </c>
      <c r="K44" s="220" t="n">
        <v>81.93000000000001</v>
      </c>
    </row>
    <row r="45" ht="15.75" customHeight="1" s="590">
      <c r="A45" s="295" t="inlineStr">
        <is>
          <t>052-26-128180</t>
        </is>
      </c>
      <c r="B45" s="296" t="inlineStr">
        <is>
          <t>Wajahat Ali</t>
        </is>
      </c>
      <c r="C45" s="288" t="n">
        <v>69.05</v>
      </c>
      <c r="D45" s="288" t="n">
        <v>66.94</v>
      </c>
      <c r="E45" s="220" t="n">
        <v>85.65000000000001</v>
      </c>
      <c r="F45" s="218" t="n">
        <v>69.05</v>
      </c>
      <c r="G45" s="218" t="n">
        <v>66.94</v>
      </c>
      <c r="H45" s="288" t="n">
        <v>0</v>
      </c>
      <c r="I45" s="306" t="n">
        <v>0</v>
      </c>
      <c r="J45" s="306" t="n">
        <v>0</v>
      </c>
      <c r="K45" s="220" t="n">
        <v>88.06999999999999</v>
      </c>
    </row>
    <row r="46" ht="15.75" customHeight="1" s="590">
      <c r="A46" s="295" t="inlineStr">
        <is>
          <t>052-26-128181</t>
        </is>
      </c>
      <c r="B46" s="296" t="inlineStr">
        <is>
          <t>Baheeyan</t>
        </is>
      </c>
      <c r="C46" s="288" t="n">
        <v>83.33</v>
      </c>
      <c r="D46" s="288" t="n">
        <v>68.06</v>
      </c>
      <c r="E46" s="220" t="n">
        <v>74.06</v>
      </c>
      <c r="F46" s="288" t="n">
        <v>83.33</v>
      </c>
      <c r="G46" s="288" t="n">
        <v>68.06</v>
      </c>
      <c r="H46" s="288" t="n">
        <v>37</v>
      </c>
      <c r="I46" s="306" t="n">
        <v>48</v>
      </c>
      <c r="J46" s="306" t="n">
        <v>39.65</v>
      </c>
      <c r="K46" s="220" t="n">
        <v>77.54000000000001</v>
      </c>
    </row>
    <row r="47" ht="15.75" customHeight="1" s="590">
      <c r="A47" s="295" t="inlineStr">
        <is>
          <t>052-26-128183</t>
        </is>
      </c>
      <c r="B47" s="296" t="inlineStr">
        <is>
          <t>Ayesha Qadir</t>
        </is>
      </c>
      <c r="C47" s="288" t="n">
        <v>78.56999999999999</v>
      </c>
      <c r="D47" s="288" t="n">
        <v>66.94</v>
      </c>
      <c r="E47" s="220" t="n">
        <v>85.65000000000001</v>
      </c>
      <c r="F47" s="288" t="n">
        <v>78.56999999999999</v>
      </c>
      <c r="G47" s="288" t="n">
        <v>66.94</v>
      </c>
      <c r="H47" s="288" t="n">
        <v>20</v>
      </c>
      <c r="I47" s="306" t="n">
        <v>20</v>
      </c>
      <c r="J47" s="306" t="n">
        <v>24.43</v>
      </c>
      <c r="K47" s="220" t="n">
        <v>78.77</v>
      </c>
    </row>
    <row r="48" ht="15.75" customHeight="1" s="590">
      <c r="A48" s="295" t="inlineStr">
        <is>
          <t>052-26-128188</t>
        </is>
      </c>
      <c r="B48" s="296" t="inlineStr">
        <is>
          <t>Ali Hassan</t>
        </is>
      </c>
      <c r="C48" s="288" t="n">
        <v>33.33</v>
      </c>
      <c r="D48" s="288" t="n">
        <v>54.44</v>
      </c>
      <c r="E48" s="220" t="n">
        <v>56.67</v>
      </c>
      <c r="F48" s="218" t="n">
        <v>33.33</v>
      </c>
      <c r="G48" s="288" t="n">
        <v>54.44</v>
      </c>
      <c r="H48" s="288" t="n">
        <v>0</v>
      </c>
      <c r="I48" s="306" t="n">
        <v>0</v>
      </c>
      <c r="J48" s="306" t="n">
        <v>0</v>
      </c>
      <c r="K48" s="220" t="n">
        <v>85.61</v>
      </c>
    </row>
    <row r="49" ht="15.75" customHeight="1" s="590">
      <c r="A49" s="295" t="inlineStr">
        <is>
          <t>052-26-128191</t>
        </is>
      </c>
      <c r="B49" s="296" t="inlineStr">
        <is>
          <t>AFIFAH NASIR</t>
        </is>
      </c>
      <c r="C49" s="288" t="n">
        <v>100</v>
      </c>
      <c r="D49" s="288" t="n">
        <v>76.67</v>
      </c>
      <c r="E49" s="220" t="n">
        <v>79.13</v>
      </c>
      <c r="F49" s="288" t="n">
        <v>100</v>
      </c>
      <c r="G49" s="288" t="n">
        <v>76.67</v>
      </c>
      <c r="H49" s="288" t="n">
        <v>95</v>
      </c>
      <c r="I49" s="306" t="n">
        <v>74</v>
      </c>
      <c r="J49" s="306" t="n">
        <v>74</v>
      </c>
      <c r="K49" s="220" t="n">
        <v>83.68000000000001</v>
      </c>
    </row>
    <row r="50" ht="15.75" customHeight="1" s="590">
      <c r="A50" s="295" t="inlineStr">
        <is>
          <t>052-26-128196</t>
        </is>
      </c>
      <c r="B50" s="296" t="inlineStr">
        <is>
          <t>Aliawsat</t>
        </is>
      </c>
      <c r="C50" s="288" t="n">
        <v>47.62</v>
      </c>
      <c r="D50" s="288" t="n">
        <v>68.33</v>
      </c>
      <c r="E50" s="220" t="n">
        <v>56.67</v>
      </c>
      <c r="F50" s="288" t="n">
        <v>47.62</v>
      </c>
      <c r="G50" s="288" t="n">
        <v>68.33</v>
      </c>
      <c r="H50" s="288" t="n">
        <v>4</v>
      </c>
      <c r="I50" s="306" t="n">
        <v>5</v>
      </c>
      <c r="J50" s="306" t="n">
        <v>2</v>
      </c>
      <c r="K50" s="220" t="n">
        <v>86.31999999999999</v>
      </c>
    </row>
    <row r="51" ht="15.75" customHeight="1" s="590">
      <c r="A51" s="295" t="inlineStr">
        <is>
          <t>052-26-128208</t>
        </is>
      </c>
      <c r="B51" s="296" t="inlineStr">
        <is>
          <t>Fatima Zahra</t>
        </is>
      </c>
      <c r="C51" s="288" t="n">
        <v>85.70999999999999</v>
      </c>
      <c r="D51" s="288" t="n">
        <v>71.39</v>
      </c>
      <c r="E51" s="220" t="n">
        <v>85.65000000000001</v>
      </c>
      <c r="F51" s="288" t="n">
        <v>85.70999999999999</v>
      </c>
      <c r="G51" s="288" t="n">
        <v>71.39</v>
      </c>
      <c r="H51" s="288" t="n">
        <v>50.71</v>
      </c>
      <c r="I51" s="306" t="n">
        <v>59.33</v>
      </c>
      <c r="J51" s="306" t="n">
        <v>50.02</v>
      </c>
      <c r="K51" s="309" t="n">
        <v>9.65</v>
      </c>
    </row>
    <row r="52" ht="15.75" customHeight="1" s="590">
      <c r="A52" s="295" t="inlineStr">
        <is>
          <t>052-26-128209</t>
        </is>
      </c>
      <c r="B52" s="296" t="inlineStr">
        <is>
          <t>Sardar Arham Ali</t>
        </is>
      </c>
      <c r="C52" s="288" t="n">
        <v>86.90000000000001</v>
      </c>
      <c r="D52" s="288" t="n">
        <v>66.94</v>
      </c>
      <c r="E52" s="220" t="n">
        <v>85.65000000000001</v>
      </c>
      <c r="F52" s="288" t="n">
        <v>86.90000000000001</v>
      </c>
      <c r="G52" s="288" t="n">
        <v>66.94</v>
      </c>
      <c r="H52" s="288" t="n">
        <v>46.43</v>
      </c>
      <c r="I52" s="306" t="n">
        <v>62</v>
      </c>
      <c r="J52" s="308" t="n">
        <v>62</v>
      </c>
      <c r="K52" s="307" t="n">
        <v>0</v>
      </c>
    </row>
    <row r="53" ht="15.75" customHeight="1" s="590">
      <c r="A53" s="295" t="inlineStr">
        <is>
          <t>052-26-128213</t>
        </is>
      </c>
      <c r="B53" s="301" t="inlineStr">
        <is>
          <t>Muhammad Sami</t>
        </is>
      </c>
      <c r="C53" s="288" t="n">
        <v>77.38</v>
      </c>
      <c r="D53" s="288" t="n">
        <v>68.33</v>
      </c>
      <c r="E53" s="220" t="n">
        <v>85.65000000000001</v>
      </c>
      <c r="F53" s="288" t="n">
        <v>77.38</v>
      </c>
      <c r="G53" s="288" t="n">
        <v>68.33</v>
      </c>
      <c r="H53" s="288" t="n">
        <v>26</v>
      </c>
      <c r="I53" s="306" t="n">
        <v>31</v>
      </c>
      <c r="J53" s="308" t="n">
        <v>22.11</v>
      </c>
      <c r="K53" s="307" t="n">
        <v>0</v>
      </c>
    </row>
    <row r="54" ht="15.75" customHeight="1" s="590">
      <c r="A54" s="295" t="inlineStr">
        <is>
          <t>052-26-128218</t>
        </is>
      </c>
      <c r="B54" s="296" t="inlineStr">
        <is>
          <t>Mubashir Ali</t>
        </is>
      </c>
      <c r="C54" s="288" t="n">
        <v>90.48</v>
      </c>
      <c r="D54" s="288" t="n">
        <v>76.67</v>
      </c>
      <c r="E54" s="220" t="n">
        <v>74.06</v>
      </c>
      <c r="F54" s="288" t="n">
        <v>90.48</v>
      </c>
      <c r="G54" s="288" t="n">
        <v>76.67</v>
      </c>
      <c r="H54" s="288" t="n">
        <v>85.43000000000001</v>
      </c>
      <c r="I54" s="306" t="n">
        <v>71.67</v>
      </c>
      <c r="J54" s="308" t="n">
        <v>71.67</v>
      </c>
      <c r="K54" s="307" t="n">
        <v>0</v>
      </c>
    </row>
    <row r="55" ht="15.75" customHeight="1" s="590">
      <c r="A55" s="295" t="inlineStr">
        <is>
          <t>052-26-128219</t>
        </is>
      </c>
      <c r="B55" s="296" t="inlineStr">
        <is>
          <t>Tasawar KHAN</t>
        </is>
      </c>
      <c r="C55" s="288" t="n">
        <v>64.29000000000001</v>
      </c>
      <c r="D55" s="288" t="n">
        <v>68.33</v>
      </c>
      <c r="E55" s="220" t="n">
        <v>71.16</v>
      </c>
      <c r="F55" s="288" t="n">
        <v>64.29000000000001</v>
      </c>
      <c r="G55" s="288" t="n">
        <v>68.33</v>
      </c>
      <c r="H55" s="288" t="n">
        <v>0</v>
      </c>
      <c r="I55" s="306" t="n">
        <v>0</v>
      </c>
      <c r="J55" s="308" t="n">
        <v>0</v>
      </c>
      <c r="K55" s="307" t="n">
        <v>0</v>
      </c>
    </row>
    <row r="56" ht="15.75" customHeight="1" s="590">
      <c r="A56" s="295" t="inlineStr">
        <is>
          <t>052-26-128221</t>
        </is>
      </c>
      <c r="B56" s="296" t="inlineStr">
        <is>
          <t>Talha Riaz</t>
        </is>
      </c>
      <c r="C56" s="288" t="n">
        <v>73.81</v>
      </c>
      <c r="D56" s="288" t="n">
        <v>65.56</v>
      </c>
      <c r="E56" s="220" t="n">
        <v>75.51000000000001</v>
      </c>
      <c r="F56" s="288" t="n">
        <v>73.81</v>
      </c>
      <c r="G56" s="288" t="n">
        <v>65.56</v>
      </c>
      <c r="H56" s="288" t="n">
        <v>0</v>
      </c>
      <c r="I56" s="306" t="n">
        <v>0</v>
      </c>
      <c r="J56" s="308" t="n">
        <v>0</v>
      </c>
      <c r="K56" s="307" t="n">
        <v>0</v>
      </c>
    </row>
    <row r="57" ht="15.75" customHeight="1" s="590">
      <c r="A57" s="302" t="inlineStr">
        <is>
          <t>052-26-128247</t>
        </is>
      </c>
      <c r="B57" s="303" t="inlineStr">
        <is>
          <t>Abdul Rahman</t>
        </is>
      </c>
      <c r="C57" s="288" t="n">
        <v>73.81</v>
      </c>
      <c r="D57" s="288" t="n">
        <v>68.06</v>
      </c>
      <c r="E57" s="220" t="n">
        <v>88.98999999999999</v>
      </c>
      <c r="F57" s="218" t="n">
        <v>73.81</v>
      </c>
      <c r="G57" s="288" t="n">
        <v>68.06</v>
      </c>
      <c r="H57" s="288" t="n">
        <v>20.43</v>
      </c>
      <c r="I57" s="306" t="n">
        <v>10</v>
      </c>
      <c r="J57" s="308" t="n">
        <v>18.74</v>
      </c>
      <c r="K57" s="307" t="n">
        <v>0</v>
      </c>
    </row>
    <row r="58" ht="15.75" customHeight="1" s="590">
      <c r="A58" s="304" t="inlineStr">
        <is>
          <t>052-SP26-28198</t>
        </is>
      </c>
      <c r="B58" s="305" t="inlineStr">
        <is>
          <t>Ali</t>
        </is>
      </c>
      <c r="C58" s="288" t="n">
        <v>73.81</v>
      </c>
      <c r="D58" s="288" t="n">
        <v>66.94</v>
      </c>
      <c r="E58" s="220" t="n">
        <v>85.65000000000001</v>
      </c>
      <c r="F58" s="292" t="n">
        <v>50</v>
      </c>
      <c r="G58" s="288" t="n">
        <v>66.94</v>
      </c>
      <c r="H58" s="288" t="n">
        <v>36</v>
      </c>
      <c r="I58" s="306" t="n">
        <v>51</v>
      </c>
      <c r="J58" s="308" t="n">
        <v>36.78</v>
      </c>
      <c r="K58" s="307" t="n">
        <v>0</v>
      </c>
    </row>
    <row r="59" ht="15.75" customHeight="1" s="590">
      <c r="A59" s="302" t="inlineStr">
        <is>
          <t>052-26-128267</t>
        </is>
      </c>
      <c r="B59" s="303" t="inlineStr">
        <is>
          <t>Umm-e- Farwa</t>
        </is>
      </c>
      <c r="C59" s="114" t="n">
        <v>84</v>
      </c>
      <c r="D59" s="216" t="n">
        <v>78.89</v>
      </c>
      <c r="E59" s="216" t="n">
        <v>85.65000000000001</v>
      </c>
      <c r="F59" s="218" t="n">
        <v>73.81</v>
      </c>
      <c r="G59" s="218" t="n">
        <v>68.06</v>
      </c>
      <c r="H59" s="288" t="n">
        <v>79.43000000000001</v>
      </c>
      <c r="I59" s="306" t="n">
        <v>86.67</v>
      </c>
      <c r="J59" s="308" t="n">
        <v>86.67</v>
      </c>
      <c r="K59" s="307" t="n">
        <v>0</v>
      </c>
    </row>
    <row r="60" ht="15.75" customHeight="1" s="590">
      <c r="A60" s="289" t="n"/>
      <c r="B60" s="290" t="n"/>
      <c r="C60" s="289">
        <f>AVERAGE(C7:C59)</f>
        <v/>
      </c>
      <c r="D60" s="289">
        <f>AVERAGE(D7:D59)</f>
        <v/>
      </c>
      <c r="E60" s="289">
        <f>AVERAGE(E7:E59)</f>
        <v/>
      </c>
      <c r="F60" s="289">
        <f>AVERAGE(F7:F59)</f>
        <v/>
      </c>
      <c r="G60" s="289">
        <f>AVERAGE(G7:G59)</f>
        <v/>
      </c>
      <c r="H60" s="289">
        <f>AVERAGE(H7:H59)</f>
        <v/>
      </c>
      <c r="I60" s="289">
        <f>AVERAGE(I7:I59)</f>
        <v/>
      </c>
      <c r="J60" s="289">
        <f>AVERAGE(J7:J59)</f>
        <v/>
      </c>
      <c r="K60" s="289">
        <f>AVERAGE(K7:K59)</f>
        <v/>
      </c>
      <c r="L60" s="292">
        <f>AVERAGE(L7:L59)</f>
        <v/>
      </c>
      <c r="M60" s="292">
        <f>AVERAGE(M7:M59)</f>
        <v/>
      </c>
      <c r="N60" s="292">
        <f>AVERAGE(N7:N59)</f>
        <v/>
      </c>
      <c r="O60" s="292">
        <f>AVERAGE(O7:O59)</f>
        <v/>
      </c>
      <c r="P60" s="292">
        <f>AVERAGE(P7:P59)</f>
        <v/>
      </c>
      <c r="Q60" s="292">
        <f>AVERAGE(Q7:Q59)</f>
        <v/>
      </c>
      <c r="R60" s="292">
        <f>AVERAGE(R7:R59)</f>
        <v/>
      </c>
      <c r="S60" s="292">
        <f>AVERAGE(S7:S59)</f>
        <v/>
      </c>
      <c r="T60" s="292">
        <f>AVERAGE(T7:T59)</f>
        <v/>
      </c>
      <c r="U60" s="292">
        <f>AVERAGE(U7:U59)</f>
        <v/>
      </c>
      <c r="V60" s="289">
        <f>AVERAGE(V7:V59)</f>
        <v/>
      </c>
      <c r="W60" s="289">
        <f>AVERAGE(W7:W59)</f>
        <v/>
      </c>
      <c r="X60" s="289">
        <f>AVERAGE(X7:X59)</f>
        <v/>
      </c>
      <c r="Y60" s="289">
        <f>AVERAGE(Y7:Y59)</f>
        <v/>
      </c>
      <c r="Z60" s="289">
        <f>AVERAGE(Z7:Z59)</f>
        <v/>
      </c>
      <c r="AA60" s="289">
        <f>AVERAGE(AA7:AA59)</f>
        <v/>
      </c>
      <c r="AB60" s="289">
        <f>AVERAGE(AB7:AB59)</f>
        <v/>
      </c>
      <c r="AC60" s="289">
        <f>AVERAGE(AC7:AC59)</f>
        <v/>
      </c>
      <c r="AD60" s="289">
        <f>AVERAGE(AD7:AD59)</f>
        <v/>
      </c>
      <c r="AE60" s="289">
        <f>AVERAGE(AE7:AE59)</f>
        <v/>
      </c>
      <c r="AF60" s="289">
        <f>AVERAGE(AF7:AF59)</f>
        <v/>
      </c>
      <c r="AG60" s="289">
        <f>AVERAGE(AG7:AG59)</f>
        <v/>
      </c>
      <c r="AH60" s="289">
        <f>AVERAGE(AH7:AH59)</f>
        <v/>
      </c>
      <c r="AI60" s="289">
        <f>AVERAGE(AI7:AI59)</f>
        <v/>
      </c>
      <c r="AJ60" s="289">
        <f>AVERAGE(AJ7:AJ59)</f>
        <v/>
      </c>
      <c r="AK60" s="289">
        <f>AVERAGE(AK7:AK59)</f>
        <v/>
      </c>
      <c r="AL60" s="289">
        <f>AVERAGE(AL7:AL59)</f>
        <v/>
      </c>
      <c r="AM60" s="289">
        <f>AVERAGE(AM7:AM59)</f>
        <v/>
      </c>
      <c r="AN60" s="289">
        <f>AVERAGE(AN7:AN59)</f>
        <v/>
      </c>
      <c r="AO60" s="289">
        <f>AVERAGE(AO7:AO59)</f>
        <v/>
      </c>
      <c r="AP60" s="289">
        <f>AVERAGE(AP7:AP59)</f>
        <v/>
      </c>
      <c r="AQ60" s="289">
        <f>AVERAGE(AQ7:AQ59)</f>
        <v/>
      </c>
      <c r="AR60" s="289">
        <f>AVERAGE(AR7:AR59)</f>
        <v/>
      </c>
      <c r="AS60" s="289">
        <f>AVERAGE(AS7:AS59)</f>
        <v/>
      </c>
      <c r="AT60" s="289">
        <f>AVERAGE(AT7:AT59)</f>
        <v/>
      </c>
      <c r="AU60" s="289">
        <f>AVERAGE(AU7:AU59)</f>
        <v/>
      </c>
      <c r="AV60" s="289">
        <f>AVERAGE(AV7:AV59)</f>
        <v/>
      </c>
      <c r="AW60" s="289">
        <f>AVERAGE(AW7:AW59)</f>
        <v/>
      </c>
      <c r="AX60" s="289">
        <f>AVERAGE(AX7:AX59)</f>
        <v/>
      </c>
      <c r="AY60" s="289">
        <f>AVERAGE(AY7:AY59)</f>
        <v/>
      </c>
      <c r="AZ60" s="289">
        <f>AVERAGE(AZ7:AZ59)</f>
        <v/>
      </c>
      <c r="BA60" s="289">
        <f>AVERAGE(BA7:BA59)</f>
        <v/>
      </c>
      <c r="BB60" s="289">
        <f>AVERAGE(BB7:BB59)</f>
        <v/>
      </c>
      <c r="BC60" s="289">
        <f>AVERAGE(BC7:BC59)</f>
        <v/>
      </c>
      <c r="BD60" s="289">
        <f>AVERAGE(BD7:BD59)</f>
        <v/>
      </c>
      <c r="BE60" s="289">
        <f>AVERAGE(BE7:BE59)</f>
        <v/>
      </c>
      <c r="BF60" s="289">
        <f>AVERAGE(BF7:BF59)</f>
        <v/>
      </c>
      <c r="BG60" s="289">
        <f>AVERAGE(BG7:BG59)</f>
        <v/>
      </c>
      <c r="BH60" s="289">
        <f>AVERAGE(BH7:BH59)</f>
        <v/>
      </c>
      <c r="BI60" s="289">
        <f>AVERAGE(BI7:BI59)</f>
        <v/>
      </c>
      <c r="BJ60" s="289">
        <f>AVERAGE(BJ7:BJ59)</f>
        <v/>
      </c>
      <c r="BK60" s="289">
        <f>AVERAGE(BK7:BK59)</f>
        <v/>
      </c>
      <c r="BL60" s="289">
        <f>AVERAGE(BL7:BL59)</f>
        <v/>
      </c>
      <c r="BM60" s="289">
        <f>AVERAGE(BM7:BM59)</f>
        <v/>
      </c>
      <c r="BN60" s="289">
        <f>AVERAGE(BN7:BN59)</f>
        <v/>
      </c>
      <c r="BO60" s="289">
        <f>AVERAGE(BO7:BO59)</f>
        <v/>
      </c>
      <c r="BP60" s="289">
        <f>AVERAGE(BP7:BP59)</f>
        <v/>
      </c>
      <c r="BQ60" s="289">
        <f>AVERAGE(BQ7:BQ59)</f>
        <v/>
      </c>
      <c r="BR60" s="289">
        <f>AVERAGE(BR7:BR59)</f>
        <v/>
      </c>
      <c r="BS60" s="289">
        <f>AVERAGE(BS7:BS59)</f>
        <v/>
      </c>
      <c r="BT60" s="289">
        <f>AVERAGE(BT7:BT59)</f>
        <v/>
      </c>
      <c r="BU60" s="289">
        <f>AVERAGE(BU7:BU59)</f>
        <v/>
      </c>
      <c r="BV60" s="289">
        <f>AVERAGE(BV7:BV59)</f>
        <v/>
      </c>
      <c r="BW60" s="289">
        <f>AVERAGE(BW7:BW59)</f>
        <v/>
      </c>
      <c r="BX60" s="289">
        <f>AVERAGE(BX7:BX59)</f>
        <v/>
      </c>
      <c r="BY60" s="289">
        <f>AVERAGE(BY7:BY59)</f>
        <v/>
      </c>
      <c r="BZ60" s="289">
        <f>AVERAGE(BZ7:BZ59)</f>
        <v/>
      </c>
      <c r="CA60" s="289">
        <f>AVERAGE(CA7:CA59)</f>
        <v/>
      </c>
      <c r="CB60" s="289">
        <f>AVERAGE(CB7:CB59)</f>
        <v/>
      </c>
      <c r="CC60" s="289">
        <f>AVERAGE(CC7:CC59)</f>
        <v/>
      </c>
      <c r="CD60" s="289">
        <f>AVERAGE(CD7:CD59)</f>
        <v/>
      </c>
      <c r="CE60" s="289">
        <f>AVERAGE(CE7:CE59)</f>
        <v/>
      </c>
      <c r="CF60" s="289">
        <f>AVERAGE(CF7:CF59)</f>
        <v/>
      </c>
      <c r="CG60" s="289">
        <f>AVERAGE(CG7:CG59)</f>
        <v/>
      </c>
      <c r="CH60" s="289">
        <f>AVERAGE(CH7:CH59)</f>
        <v/>
      </c>
      <c r="CI60" s="289">
        <f>AVERAGE(CI7:CI59)</f>
        <v/>
      </c>
      <c r="CJ60" s="289">
        <f>AVERAGE(CJ7:CJ59)</f>
        <v/>
      </c>
      <c r="CK60" s="289">
        <f>AVERAGE(CK7:CK59)</f>
        <v/>
      </c>
      <c r="CL60" s="289">
        <f>AVERAGE(CL7:CL59)</f>
        <v/>
      </c>
      <c r="CM60" s="289">
        <f>AVERAGE(CM7:CM59)</f>
        <v/>
      </c>
      <c r="CN60" s="289">
        <f>AVERAGE(CN7:CN59)</f>
        <v/>
      </c>
      <c r="CO60" s="289">
        <f>AVERAGE(CO7:CO59)</f>
        <v/>
      </c>
      <c r="CP60" s="289">
        <f>AVERAGE(CP7:CP59)</f>
        <v/>
      </c>
      <c r="CQ60" s="289">
        <f>AVERAGE(CQ7:CQ59)</f>
        <v/>
      </c>
      <c r="CR60" s="289">
        <f>AVERAGE(CR7:CR59)</f>
        <v/>
      </c>
      <c r="CS60" s="289">
        <f>AVERAGE(CS7:CS59)</f>
        <v/>
      </c>
      <c r="CT60" s="289">
        <f>AVERAGE(CT7:CT59)</f>
        <v/>
      </c>
      <c r="CU60" s="289">
        <f>AVERAGE(CU7:CU59)</f>
        <v/>
      </c>
      <c r="CV60" s="289">
        <f>AVERAGE(CV7:CV59)</f>
        <v/>
      </c>
      <c r="CW60" s="289">
        <f>AVERAGE(CW7:CW59)</f>
        <v/>
      </c>
      <c r="CX60" s="289">
        <f>AVERAGE(CX7:CX59)</f>
        <v/>
      </c>
      <c r="CY60" s="289">
        <f>AVERAGE(CY7:CY59)</f>
        <v/>
      </c>
      <c r="CZ60" s="289">
        <f>AVERAGE(CZ7:CZ59)</f>
        <v/>
      </c>
      <c r="DA60" s="289">
        <f>AVERAGE(DA7:DA59)</f>
        <v/>
      </c>
      <c r="DB60" s="289">
        <f>AVERAGE(DB7:DB59)</f>
        <v/>
      </c>
      <c r="DC60" s="289">
        <f>AVERAGE(DC7:DC59)</f>
        <v/>
      </c>
      <c r="DD60" s="289">
        <f>AVERAGE(DD7:DD59)</f>
        <v/>
      </c>
      <c r="DE60" s="289">
        <f>AVERAGE(DE7:DE59)</f>
        <v/>
      </c>
      <c r="DF60" s="289">
        <f>AVERAGE(DF7:DF59)</f>
        <v/>
      </c>
      <c r="DG60" s="289">
        <f>AVERAGE(DG7:DG59)</f>
        <v/>
      </c>
      <c r="DH60" s="289">
        <f>AVERAGE(DH7:DH59)</f>
        <v/>
      </c>
      <c r="DI60" s="289">
        <f>AVERAGE(DI7:DI59)</f>
        <v/>
      </c>
      <c r="DJ60" s="289">
        <f>AVERAGE(DJ7:DJ59)</f>
        <v/>
      </c>
      <c r="DK60" s="289">
        <f>AVERAGE(DK7:DK59)</f>
        <v/>
      </c>
      <c r="DL60" s="289">
        <f>AVERAGE(DL7:DL59)</f>
        <v/>
      </c>
      <c r="DM60" s="289">
        <f>AVERAGE(DM7:DM59)</f>
        <v/>
      </c>
      <c r="DN60" s="289">
        <f>AVERAGE(DN7:DN59)</f>
        <v/>
      </c>
      <c r="DO60" s="289">
        <f>AVERAGE(DO7:DO59)</f>
        <v/>
      </c>
      <c r="DP60" s="289">
        <f>AVERAGE(DP7:DP59)</f>
        <v/>
      </c>
      <c r="DQ60" s="289">
        <f>AVERAGE(DQ7:DQ59)</f>
        <v/>
      </c>
      <c r="DR60" s="289">
        <f>AVERAGE(DR7:DR59)</f>
        <v/>
      </c>
      <c r="DS60" s="289">
        <f>AVERAGE(DS7:DS59)</f>
        <v/>
      </c>
      <c r="DT60" s="289">
        <f>AVERAGE(DT7:DT59)</f>
        <v/>
      </c>
      <c r="DU60" s="289">
        <f>AVERAGE(DU7:DU59)</f>
        <v/>
      </c>
      <c r="DV60" s="289">
        <f>AVERAGE(DV7:DV59)</f>
        <v/>
      </c>
      <c r="DW60" s="289">
        <f>AVERAGE(DW7:DW59)</f>
        <v/>
      </c>
      <c r="DX60" s="289">
        <f>AVERAGE(DX7:DX59)</f>
        <v/>
      </c>
      <c r="DY60" s="289">
        <f>AVERAGE(DY7:DY59)</f>
        <v/>
      </c>
      <c r="DZ60" s="289">
        <f>AVERAGE(DZ7:DZ59)</f>
        <v/>
      </c>
      <c r="EA60" s="289">
        <f>AVERAGE(EA7:EA59)</f>
        <v/>
      </c>
      <c r="EB60" s="289">
        <f>AVERAGE(EB7:EB59)</f>
        <v/>
      </c>
      <c r="EC60" s="289">
        <f>AVERAGE(EC7:EC59)</f>
        <v/>
      </c>
      <c r="ED60" s="289">
        <f>AVERAGE(ED7:ED59)</f>
        <v/>
      </c>
      <c r="EE60" s="289">
        <f>AVERAGE(EE7:EE59)</f>
        <v/>
      </c>
      <c r="EF60" s="289">
        <f>AVERAGE(EF7:EF59)</f>
        <v/>
      </c>
      <c r="EG60" s="289">
        <f>AVERAGE(EG7:EG59)</f>
        <v/>
      </c>
      <c r="EH60" s="289">
        <f>AVERAGE(EH7:EH59)</f>
        <v/>
      </c>
      <c r="EI60" s="289">
        <f>AVERAGE(EI7:EI59)</f>
        <v/>
      </c>
      <c r="EJ60" s="289">
        <f>AVERAGE(EJ7:EJ59)</f>
        <v/>
      </c>
      <c r="EK60" s="289">
        <f>AVERAGE(EK7:EK59)</f>
        <v/>
      </c>
      <c r="EL60" s="289">
        <f>AVERAGE(EL7:EL59)</f>
        <v/>
      </c>
      <c r="EM60" s="289">
        <f>AVERAGE(EM7:EM59)</f>
        <v/>
      </c>
      <c r="EN60" s="289">
        <f>AVERAGE(EN7:EN59)</f>
        <v/>
      </c>
      <c r="EO60" s="289">
        <f>AVERAGE(EO7:EO59)</f>
        <v/>
      </c>
      <c r="EP60" s="289">
        <f>AVERAGE(EP7:EP59)</f>
        <v/>
      </c>
      <c r="EQ60" s="289">
        <f>AVERAGE(EQ7:EQ59)</f>
        <v/>
      </c>
      <c r="ER60" s="289">
        <f>AVERAGE(ER7:ER59)</f>
        <v/>
      </c>
      <c r="ES60" s="289">
        <f>AVERAGE(ES7:ES59)</f>
        <v/>
      </c>
      <c r="ET60" s="289">
        <f>AVERAGE(ET7:ET59)</f>
        <v/>
      </c>
      <c r="EU60" s="289">
        <f>AVERAGE(EU7:EU59)</f>
        <v/>
      </c>
      <c r="EV60" s="289">
        <f>AVERAGE(EV7:EV59)</f>
        <v/>
      </c>
      <c r="EW60" s="289">
        <f>AVERAGE(EW7:EW59)</f>
        <v/>
      </c>
      <c r="EX60" s="289">
        <f>AVERAGE(EX7:EX59)</f>
        <v/>
      </c>
      <c r="EY60" s="289">
        <f>AVERAGE(EY7:EY59)</f>
        <v/>
      </c>
      <c r="EZ60" s="289">
        <f>AVERAGE(EZ7:EZ59)</f>
        <v/>
      </c>
      <c r="FA60" s="289">
        <f>AVERAGE(FA7:FA59)</f>
        <v/>
      </c>
      <c r="FB60" s="289">
        <f>AVERAGE(FB7:FB59)</f>
        <v/>
      </c>
      <c r="FC60" s="289">
        <f>AVERAGE(FC7:FC59)</f>
        <v/>
      </c>
      <c r="FD60" s="289">
        <f>AVERAGE(FD7:FD59)</f>
        <v/>
      </c>
      <c r="FE60" s="289">
        <f>AVERAGE(FE7:FE59)</f>
        <v/>
      </c>
      <c r="FF60" s="289">
        <f>AVERAGE(FF7:FF59)</f>
        <v/>
      </c>
      <c r="FG60" s="289">
        <f>AVERAGE(FG7:FG59)</f>
        <v/>
      </c>
      <c r="FH60" s="289">
        <f>AVERAGE(FH7:FH59)</f>
        <v/>
      </c>
      <c r="FI60" s="289">
        <f>AVERAGE(FI7:FI59)</f>
        <v/>
      </c>
      <c r="FJ60" s="289">
        <f>AVERAGE(FJ7:FJ59)</f>
        <v/>
      </c>
      <c r="FK60" s="289">
        <f>AVERAGE(FK7:FK59)</f>
        <v/>
      </c>
      <c r="FL60" s="289">
        <f>AVERAGE(FL7:FL59)</f>
        <v/>
      </c>
      <c r="FM60" s="289">
        <f>AVERAGE(FM7:FM59)</f>
        <v/>
      </c>
      <c r="FN60" s="289">
        <f>AVERAGE(FN7:FN59)</f>
        <v/>
      </c>
      <c r="FO60" s="289">
        <f>AVERAGE(FO7:FO59)</f>
        <v/>
      </c>
      <c r="FP60" s="289">
        <f>AVERAGE(FP7:FP59)</f>
        <v/>
      </c>
      <c r="FQ60" s="289">
        <f>AVERAGE(FQ7:FQ59)</f>
        <v/>
      </c>
      <c r="FR60" s="289">
        <f>AVERAGE(FR7:FR59)</f>
        <v/>
      </c>
      <c r="FS60" s="289">
        <f>AVERAGE(FS7:FS59)</f>
        <v/>
      </c>
      <c r="FT60" s="289">
        <f>AVERAGE(FT7:FT59)</f>
        <v/>
      </c>
      <c r="FU60" s="289">
        <f>AVERAGE(FU7:FU59)</f>
        <v/>
      </c>
      <c r="FV60" s="289">
        <f>AVERAGE(FV7:FV59)</f>
        <v/>
      </c>
      <c r="FW60" s="289">
        <f>AVERAGE(FW7:FW59)</f>
        <v/>
      </c>
      <c r="FX60" s="289">
        <f>AVERAGE(FX7:FX59)</f>
        <v/>
      </c>
      <c r="FY60" s="289">
        <f>AVERAGE(FY7:FY59)</f>
        <v/>
      </c>
      <c r="FZ60" s="289">
        <f>AVERAGE(FZ7:FZ59)</f>
        <v/>
      </c>
      <c r="GA60" s="289">
        <f>AVERAGE(GA7:GA59)</f>
        <v/>
      </c>
      <c r="GB60" s="289">
        <f>AVERAGE(GB7:GB59)</f>
        <v/>
      </c>
      <c r="GC60" s="289">
        <f>AVERAGE(GC7:GC59)</f>
        <v/>
      </c>
      <c r="GD60" s="289">
        <f>AVERAGE(GD7:GD59)</f>
        <v/>
      </c>
      <c r="GE60" s="289">
        <f>AVERAGE(GE7:GE59)</f>
        <v/>
      </c>
      <c r="GF60" s="289">
        <f>AVERAGE(GF7:GF59)</f>
        <v/>
      </c>
      <c r="GG60" s="289">
        <f>AVERAGE(GG7:GG59)</f>
        <v/>
      </c>
      <c r="GH60" s="289">
        <f>AVERAGE(GH7:GH59)</f>
        <v/>
      </c>
      <c r="GI60" s="289">
        <f>AVERAGE(GI7:GI59)</f>
        <v/>
      </c>
      <c r="GJ60" s="289">
        <f>AVERAGE(GJ7:GJ59)</f>
        <v/>
      </c>
      <c r="GK60" s="289">
        <f>AVERAGE(GK7:GK59)</f>
        <v/>
      </c>
      <c r="GL60" s="289">
        <f>AVERAGE(GL7:GL59)</f>
        <v/>
      </c>
      <c r="GM60" s="289">
        <f>AVERAGE(GM7:GM59)</f>
        <v/>
      </c>
      <c r="GN60" s="289">
        <f>AVERAGE(GN7:GN59)</f>
        <v/>
      </c>
      <c r="GO60" s="289">
        <f>AVERAGE(GO7:GO59)</f>
        <v/>
      </c>
      <c r="GP60" s="289">
        <f>AVERAGE(GP7:GP59)</f>
        <v/>
      </c>
      <c r="GQ60" s="289">
        <f>AVERAGE(GQ7:GQ59)</f>
        <v/>
      </c>
      <c r="GR60" s="289">
        <f>AVERAGE(GR7:GR59)</f>
        <v/>
      </c>
      <c r="GS60" s="289">
        <f>AVERAGE(GS7:GS59)</f>
        <v/>
      </c>
      <c r="GT60" s="289">
        <f>AVERAGE(GT7:GT59)</f>
        <v/>
      </c>
      <c r="GU60" s="289">
        <f>AVERAGE(GU7:GU59)</f>
        <v/>
      </c>
      <c r="GV60" s="289">
        <f>AVERAGE(GV7:GV59)</f>
        <v/>
      </c>
      <c r="GW60" s="289">
        <f>AVERAGE(GW7:GW59)</f>
        <v/>
      </c>
      <c r="GX60" s="289">
        <f>AVERAGE(GX7:GX59)</f>
        <v/>
      </c>
      <c r="GY60" s="289">
        <f>AVERAGE(GY7:GY59)</f>
        <v/>
      </c>
      <c r="GZ60" s="289">
        <f>AVERAGE(GZ7:GZ59)</f>
        <v/>
      </c>
      <c r="HA60" s="289">
        <f>AVERAGE(HA7:HA59)</f>
        <v/>
      </c>
      <c r="HB60" s="289">
        <f>AVERAGE(HB7:HB59)</f>
        <v/>
      </c>
      <c r="HC60" s="289">
        <f>AVERAGE(HC7:HC59)</f>
        <v/>
      </c>
      <c r="HD60" s="289">
        <f>AVERAGE(HD7:HD59)</f>
        <v/>
      </c>
      <c r="HE60" s="289">
        <f>AVERAGE(HE7:HE59)</f>
        <v/>
      </c>
      <c r="HF60" s="289">
        <f>AVERAGE(HF7:HF59)</f>
        <v/>
      </c>
      <c r="HG60" s="289">
        <f>AVERAGE(HG7:HG59)</f>
        <v/>
      </c>
      <c r="HH60" s="289">
        <f>AVERAGE(HH7:HH59)</f>
        <v/>
      </c>
      <c r="HI60" s="289">
        <f>AVERAGE(HI7:HI59)</f>
        <v/>
      </c>
      <c r="HJ60" s="289">
        <f>AVERAGE(HJ7:HJ59)</f>
        <v/>
      </c>
      <c r="HK60" s="289">
        <f>AVERAGE(HK7:HK59)</f>
        <v/>
      </c>
      <c r="HL60" s="289">
        <f>AVERAGE(HL7:HL59)</f>
        <v/>
      </c>
      <c r="HM60" s="289">
        <f>AVERAGE(HM7:HM59)</f>
        <v/>
      </c>
      <c r="HN60" s="289">
        <f>AVERAGE(HN7:HN59)</f>
        <v/>
      </c>
      <c r="HO60" s="289">
        <f>AVERAGE(HO7:HO59)</f>
        <v/>
      </c>
      <c r="HP60" s="291" t="n"/>
      <c r="HQ60" s="291" t="n"/>
      <c r="HR60" s="291" t="n"/>
      <c r="HS60" s="291" t="n"/>
      <c r="HT60" s="291" t="n"/>
      <c r="HU60" s="291" t="n"/>
      <c r="HV60" s="291" t="n"/>
      <c r="HW60" s="291" t="n"/>
      <c r="HX60" s="291" t="n"/>
      <c r="HY60" s="291" t="n"/>
      <c r="HZ60" s="291" t="n"/>
      <c r="IA60" s="291" t="n"/>
      <c r="IB60" s="291" t="n"/>
      <c r="IC60" s="291" t="n"/>
      <c r="ID60" s="291" t="n"/>
      <c r="IE60" s="291" t="n"/>
      <c r="IF60" s="291" t="n"/>
      <c r="IG60" s="291" t="n"/>
      <c r="IH60" s="291" t="n"/>
      <c r="II60" s="291" t="n"/>
      <c r="IJ60" s="291" t="n"/>
      <c r="IK60" s="291" t="n"/>
      <c r="IL60" s="291" t="n"/>
      <c r="IM60" s="291" t="n"/>
      <c r="IN60" s="291" t="n"/>
    </row>
  </sheetData>
  <mergeCells count="172">
    <mergeCell ref="Y4:Z4"/>
    <mergeCell ref="BC6:BD6"/>
    <mergeCell ref="EU3:EW3"/>
    <mergeCell ref="DK9:DL9"/>
    <mergeCell ref="HX4:HX6"/>
    <mergeCell ref="CC3:CF3"/>
    <mergeCell ref="BQ6:BR6"/>
    <mergeCell ref="EP27:EQ27"/>
    <mergeCell ref="EA5:EC5"/>
    <mergeCell ref="EU5:EW5"/>
    <mergeCell ref="AQ6:AT6"/>
    <mergeCell ref="BW3:CB3"/>
    <mergeCell ref="AA2:AY2"/>
    <mergeCell ref="GO5:GQ5"/>
    <mergeCell ref="AQ3:AU3"/>
    <mergeCell ref="DM6:DO6"/>
    <mergeCell ref="DE13:DF13"/>
    <mergeCell ref="EA3:EE3"/>
    <mergeCell ref="DE7:DF7"/>
    <mergeCell ref="AZ3:BB3"/>
    <mergeCell ref="GO3:GS3"/>
    <mergeCell ref="DK24:DL24"/>
    <mergeCell ref="GR23:GS23"/>
    <mergeCell ref="EB18:EC18"/>
    <mergeCell ref="EB9:EC9"/>
    <mergeCell ref="HY4:HY6"/>
    <mergeCell ref="H5:J5"/>
    <mergeCell ref="ED5:EE5"/>
    <mergeCell ref="AV3:AY3"/>
    <mergeCell ref="DB5:DD5"/>
    <mergeCell ref="FP3:GA3"/>
    <mergeCell ref="EP9:EQ9"/>
    <mergeCell ref="FK3:FO3"/>
    <mergeCell ref="GM5:GN5"/>
    <mergeCell ref="CL3:CN3"/>
    <mergeCell ref="DK18:DL18"/>
    <mergeCell ref="GK7:GL7"/>
    <mergeCell ref="FB5:FC5"/>
    <mergeCell ref="HQ4:HQ6"/>
    <mergeCell ref="ER3:ET3"/>
    <mergeCell ref="AG5:AH5"/>
    <mergeCell ref="GT3:GV3"/>
    <mergeCell ref="DK23:DL23"/>
    <mergeCell ref="DE9:DF9"/>
    <mergeCell ref="HD3:HO3"/>
    <mergeCell ref="CU5:CV5"/>
    <mergeCell ref="EB23:EC23"/>
    <mergeCell ref="CG5:CI5"/>
    <mergeCell ref="GR13:GS13"/>
    <mergeCell ref="U5:X5"/>
    <mergeCell ref="AM6:AP6"/>
    <mergeCell ref="EB7:EC7"/>
    <mergeCell ref="BC3:BE3"/>
    <mergeCell ref="GK24:GL24"/>
    <mergeCell ref="HZ4:HZ6"/>
    <mergeCell ref="HR4:HR6"/>
    <mergeCell ref="AA6:AB6"/>
    <mergeCell ref="F5:G5"/>
    <mergeCell ref="CG3:CK3"/>
    <mergeCell ref="C2:Z2"/>
    <mergeCell ref="Q3:T3"/>
    <mergeCell ref="GK9:GL9"/>
    <mergeCell ref="CO6:CP6"/>
    <mergeCell ref="GT6:GV6"/>
    <mergeCell ref="FI3:FJ3"/>
    <mergeCell ref="DK6:DL6"/>
    <mergeCell ref="GR5:GS5"/>
    <mergeCell ref="CO3:CQ3"/>
    <mergeCell ref="BQ5:BT5"/>
    <mergeCell ref="DK25:DL25"/>
    <mergeCell ref="BI6:BM6"/>
    <mergeCell ref="DG3:DL3"/>
    <mergeCell ref="DE24:DF24"/>
    <mergeCell ref="GW3:GY3"/>
    <mergeCell ref="EP18:EQ18"/>
    <mergeCell ref="EP5:EQ5"/>
    <mergeCell ref="DE23:DF23"/>
    <mergeCell ref="CR5:CT5"/>
    <mergeCell ref="DK7:DL7"/>
    <mergeCell ref="BF3:BH3"/>
    <mergeCell ref="EX27:EY27"/>
    <mergeCell ref="FN5:FO5"/>
    <mergeCell ref="HU4:HU6"/>
    <mergeCell ref="H3:K3"/>
    <mergeCell ref="Y3:Z3"/>
    <mergeCell ref="GR6:GS6"/>
    <mergeCell ref="BW2:CQ2"/>
    <mergeCell ref="CR1:HO1"/>
    <mergeCell ref="AZ6:BA6"/>
    <mergeCell ref="EP25:EQ25"/>
    <mergeCell ref="FD2:GA2"/>
    <mergeCell ref="GK23:GL23"/>
    <mergeCell ref="GB3:GE3"/>
    <mergeCell ref="O5:P5"/>
    <mergeCell ref="EB13:EC13"/>
    <mergeCell ref="GR18:GS18"/>
    <mergeCell ref="GK13:GL13"/>
    <mergeCell ref="EP13:EQ13"/>
    <mergeCell ref="AI3:AK3"/>
    <mergeCell ref="EP7:EQ7"/>
    <mergeCell ref="FD3:FH3"/>
    <mergeCell ref="CE5:CF5"/>
    <mergeCell ref="DT6:DU6"/>
    <mergeCell ref="HQ1:HZ2"/>
    <mergeCell ref="EB24:EC24"/>
    <mergeCell ref="DE25:DF25"/>
    <mergeCell ref="GJ3:GN3"/>
    <mergeCell ref="CR2:DZ2"/>
    <mergeCell ref="EA2:EW2"/>
    <mergeCell ref="DG5:DJ5"/>
    <mergeCell ref="CR3:CV3"/>
    <mergeCell ref="BS6:BT6"/>
    <mergeCell ref="Q5:T5"/>
    <mergeCell ref="HP1:HP27"/>
    <mergeCell ref="CW5:CY5"/>
    <mergeCell ref="DT3:DZ3"/>
    <mergeCell ref="EB25:EC25"/>
    <mergeCell ref="FK5:FM5"/>
    <mergeCell ref="GK6:GL6"/>
    <mergeCell ref="BI3:BO3"/>
    <mergeCell ref="CW3:DA3"/>
    <mergeCell ref="GK25:GL25"/>
    <mergeCell ref="AC3:AH3"/>
    <mergeCell ref="DE6:DF6"/>
    <mergeCell ref="CZ5:DA5"/>
    <mergeCell ref="AZ2:BV2"/>
    <mergeCell ref="DK13:DL13"/>
    <mergeCell ref="GK18:GL18"/>
    <mergeCell ref="L5:N5"/>
    <mergeCell ref="GR7:GS7"/>
    <mergeCell ref="CJ5:CK5"/>
    <mergeCell ref="L3:P3"/>
    <mergeCell ref="AM27:AP27"/>
    <mergeCell ref="HS4:HS6"/>
    <mergeCell ref="Y5:Z5"/>
    <mergeCell ref="GR24:GS24"/>
    <mergeCell ref="DM3:DS3"/>
    <mergeCell ref="GJ2:HO2"/>
    <mergeCell ref="EB6:EC6"/>
    <mergeCell ref="GJ5:GL5"/>
    <mergeCell ref="DE18:DF18"/>
    <mergeCell ref="AL3:AP3"/>
    <mergeCell ref="FD5:FF5"/>
    <mergeCell ref="GF3:GI3"/>
    <mergeCell ref="GZ3:HC3"/>
    <mergeCell ref="EL5:EO5"/>
    <mergeCell ref="DB3:DF3"/>
    <mergeCell ref="HW4:HW6"/>
    <mergeCell ref="EX5:FA5"/>
    <mergeCell ref="BP3:BV3"/>
    <mergeCell ref="DK5:DL5"/>
    <mergeCell ref="B2:B6"/>
    <mergeCell ref="GR25:GS25"/>
    <mergeCell ref="EP24:EQ24"/>
    <mergeCell ref="BU5:BV5"/>
    <mergeCell ref="DE5:DF5"/>
    <mergeCell ref="AA3:AB3"/>
    <mergeCell ref="HT4:HT6"/>
    <mergeCell ref="C5:E5"/>
    <mergeCell ref="AC6:AD6"/>
    <mergeCell ref="FG5:FH5"/>
    <mergeCell ref="HV4:HV6"/>
    <mergeCell ref="GR9:GS9"/>
    <mergeCell ref="AE6:AF6"/>
    <mergeCell ref="EL3:EQ3"/>
    <mergeCell ref="EF3:EK3"/>
    <mergeCell ref="GB6:GE6"/>
    <mergeCell ref="EX3:FC3"/>
    <mergeCell ref="U3:X3"/>
    <mergeCell ref="EP23:EQ23"/>
    <mergeCell ref="C3:G3"/>
    <mergeCell ref="AI6:AK6"/>
  </mergeCells>
  <conditionalFormatting sqref="AL7:AP7 DM7:DZ27 FD7:GI27 HD7:HO27">
    <cfRule type="cellIs" priority="33" operator="lessThan" dxfId="0">
      <formula>5</formula>
    </cfRule>
  </conditionalFormatting>
  <conditionalFormatting sqref="AL8:AP8">
    <cfRule type="cellIs" priority="37" operator="lessThan" dxfId="0">
      <formula>5</formula>
    </cfRule>
  </conditionalFormatting>
  <conditionalFormatting sqref="AL9:AP9">
    <cfRule type="cellIs" priority="34" operator="lessThan" dxfId="0">
      <formula>5</formula>
    </cfRule>
  </conditionalFormatting>
  <conditionalFormatting sqref="L7:P26">
    <cfRule type="cellIs" priority="8" operator="lessThan" dxfId="0">
      <formula>5</formula>
    </cfRule>
  </conditionalFormatting>
  <conditionalFormatting sqref="AL10:AP10">
    <cfRule type="cellIs" priority="36" operator="lessThan" dxfId="0">
      <formula>5</formula>
    </cfRule>
  </conditionalFormatting>
  <conditionalFormatting sqref="Q23">
    <cfRule type="cellIs" priority="7" operator="lessThan" dxfId="0">
      <formula>5</formula>
    </cfRule>
  </conditionalFormatting>
  <conditionalFormatting sqref="Q24">
    <cfRule type="cellIs" priority="6" operator="lessThan" dxfId="0">
      <formula>5</formula>
    </cfRule>
  </conditionalFormatting>
  <conditionalFormatting sqref="AL11:AP26">
    <cfRule type="cellIs" priority="35" operator="lessThan" dxfId="0">
      <formula>5</formula>
    </cfRule>
  </conditionalFormatting>
  <conditionalFormatting sqref="DE23">
    <cfRule type="cellIs" priority="91" operator="lessThan" dxfId="0">
      <formula>5</formula>
    </cfRule>
  </conditionalFormatting>
  <conditionalFormatting sqref="DK23">
    <cfRule type="cellIs" priority="97" operator="lessThan" dxfId="0">
      <formula>5</formula>
    </cfRule>
  </conditionalFormatting>
  <conditionalFormatting sqref="EL23:EP23">
    <cfRule type="cellIs" priority="84" operator="lessThan" dxfId="0">
      <formula>5</formula>
    </cfRule>
  </conditionalFormatting>
  <conditionalFormatting sqref="EX23">
    <cfRule type="cellIs" priority="57" operator="lessThan" dxfId="0">
      <formula>5</formula>
    </cfRule>
  </conditionalFormatting>
  <conditionalFormatting sqref="EY23">
    <cfRule type="cellIs" priority="56" operator="lessThan" dxfId="0">
      <formula>5</formula>
    </cfRule>
  </conditionalFormatting>
  <conditionalFormatting sqref="EZ23">
    <cfRule type="cellIs" priority="55" operator="lessThan" dxfId="0">
      <formula>5</formula>
    </cfRule>
  </conditionalFormatting>
  <conditionalFormatting sqref="FA23">
    <cfRule type="cellIs" priority="54" operator="lessThan" dxfId="0">
      <formula>5</formula>
    </cfRule>
  </conditionalFormatting>
  <conditionalFormatting sqref="FB23">
    <cfRule type="cellIs" priority="53" operator="lessThan" dxfId="0">
      <formula>5</formula>
    </cfRule>
  </conditionalFormatting>
  <conditionalFormatting sqref="FC23">
    <cfRule type="cellIs" priority="52" operator="lessThan" dxfId="0">
      <formula>5</formula>
    </cfRule>
  </conditionalFormatting>
  <conditionalFormatting sqref="DE24">
    <cfRule type="cellIs" priority="90" operator="lessThan" dxfId="0">
      <formula>5</formula>
    </cfRule>
  </conditionalFormatting>
  <conditionalFormatting sqref="DK24">
    <cfRule type="cellIs" priority="96" operator="lessThan" dxfId="0">
      <formula>5</formula>
    </cfRule>
  </conditionalFormatting>
  <conditionalFormatting sqref="EL24:EP24">
    <cfRule type="cellIs" priority="83" operator="lessThan" dxfId="0">
      <formula>5</formula>
    </cfRule>
  </conditionalFormatting>
  <conditionalFormatting sqref="EX24">
    <cfRule type="cellIs" priority="51" operator="lessThan" dxfId="0">
      <formula>5</formula>
    </cfRule>
  </conditionalFormatting>
  <conditionalFormatting sqref="EY24">
    <cfRule type="cellIs" priority="50" operator="lessThan" dxfId="0">
      <formula>5</formula>
    </cfRule>
  </conditionalFormatting>
  <conditionalFormatting sqref="EZ24">
    <cfRule type="cellIs" priority="49" operator="lessThan" dxfId="0">
      <formula>5</formula>
    </cfRule>
  </conditionalFormatting>
  <conditionalFormatting sqref="FA24">
    <cfRule type="cellIs" priority="48" operator="lessThan" dxfId="0">
      <formula>5</formula>
    </cfRule>
  </conditionalFormatting>
  <conditionalFormatting sqref="FB24">
    <cfRule type="cellIs" priority="47" operator="lessThan" dxfId="0">
      <formula>5</formula>
    </cfRule>
  </conditionalFormatting>
  <conditionalFormatting sqref="FC24">
    <cfRule type="cellIs" priority="46" operator="lessThan" dxfId="0">
      <formula>5</formula>
    </cfRule>
  </conditionalFormatting>
  <conditionalFormatting sqref="Q25">
    <cfRule type="cellIs" priority="5" operator="lessThan" dxfId="0">
      <formula>5</formula>
    </cfRule>
  </conditionalFormatting>
  <conditionalFormatting sqref="Q26">
    <cfRule type="cellIs" priority="4" operator="lessThan" dxfId="0">
      <formula>5</formula>
    </cfRule>
  </conditionalFormatting>
  <conditionalFormatting sqref="GZ27">
    <cfRule type="cellIs" priority="107" operator="lessThan" dxfId="0">
      <formula>5</formula>
    </cfRule>
  </conditionalFormatting>
  <conditionalFormatting sqref="HA27">
    <cfRule type="cellIs" priority="106" operator="lessThan" dxfId="0">
      <formula>5</formula>
    </cfRule>
  </conditionalFormatting>
  <conditionalFormatting sqref="HB27">
    <cfRule type="cellIs" priority="105" operator="lessThan" dxfId="0">
      <formula>5</formula>
    </cfRule>
  </conditionalFormatting>
  <conditionalFormatting sqref="HC27">
    <cfRule type="cellIs" priority="104" operator="lessThan" dxfId="0">
      <formula>5</formula>
    </cfRule>
  </conditionalFormatting>
  <conditionalFormatting sqref="CN7:CN26">
    <cfRule type="cellIs" priority="38" operator="lessThan" dxfId="0">
      <formula>5</formula>
    </cfRule>
  </conditionalFormatting>
  <conditionalFormatting sqref="DB25:DB26">
    <cfRule type="cellIs" priority="101" operator="lessThan" dxfId="0">
      <formula>5</formula>
    </cfRule>
  </conditionalFormatting>
  <conditionalFormatting sqref="DE9:DE12">
    <cfRule type="cellIs" priority="94" operator="lessThan" dxfId="0">
      <formula>5</formula>
    </cfRule>
  </conditionalFormatting>
  <conditionalFormatting sqref="DE13:DE17">
    <cfRule type="cellIs" priority="93" operator="lessThan" dxfId="0">
      <formula>5</formula>
    </cfRule>
  </conditionalFormatting>
  <conditionalFormatting sqref="DE18:DE22">
    <cfRule type="cellIs" priority="92" operator="lessThan" dxfId="0">
      <formula>5</formula>
    </cfRule>
  </conditionalFormatting>
  <conditionalFormatting sqref="DE25:DE26">
    <cfRule type="cellIs" priority="89" operator="lessThan" dxfId="0">
      <formula>5</formula>
    </cfRule>
  </conditionalFormatting>
  <conditionalFormatting sqref="DK9:DK12">
    <cfRule type="cellIs" priority="100" operator="lessThan" dxfId="0">
      <formula>5</formula>
    </cfRule>
  </conditionalFormatting>
  <conditionalFormatting sqref="DK13:DK17">
    <cfRule type="cellIs" priority="99" operator="lessThan" dxfId="0">
      <formula>5</formula>
    </cfRule>
  </conditionalFormatting>
  <conditionalFormatting sqref="DK18:DK22">
    <cfRule type="cellIs" priority="98" operator="lessThan" dxfId="0">
      <formula>5</formula>
    </cfRule>
  </conditionalFormatting>
  <conditionalFormatting sqref="DK25:DK26">
    <cfRule type="cellIs" priority="95" operator="lessThan" dxfId="0">
      <formula>5</formula>
    </cfRule>
  </conditionalFormatting>
  <conditionalFormatting sqref="EX7:EX8">
    <cfRule type="cellIs" priority="81" operator="lessThan" dxfId="0">
      <formula>5</formula>
    </cfRule>
  </conditionalFormatting>
  <conditionalFormatting sqref="EX9:EX12">
    <cfRule type="cellIs" priority="75" operator="lessThan" dxfId="0">
      <formula>5</formula>
    </cfRule>
  </conditionalFormatting>
  <conditionalFormatting sqref="EX13:EX17">
    <cfRule type="cellIs" priority="69" operator="lessThan" dxfId="0">
      <formula>5</formula>
    </cfRule>
  </conditionalFormatting>
  <conditionalFormatting sqref="EX18:EX22">
    <cfRule type="cellIs" priority="63" operator="lessThan" dxfId="0">
      <formula>5</formula>
    </cfRule>
  </conditionalFormatting>
  <conditionalFormatting sqref="EX25:EX26">
    <cfRule type="cellIs" priority="45" operator="lessThan" dxfId="0">
      <formula>5</formula>
    </cfRule>
  </conditionalFormatting>
  <conditionalFormatting sqref="EY7:EY8">
    <cfRule type="cellIs" priority="80" operator="lessThan" dxfId="0">
      <formula>5</formula>
    </cfRule>
  </conditionalFormatting>
  <conditionalFormatting sqref="EY9:EY12">
    <cfRule type="cellIs" priority="74" operator="lessThan" dxfId="0">
      <formula>5</formula>
    </cfRule>
  </conditionalFormatting>
  <conditionalFormatting sqref="EY13:EY17">
    <cfRule type="cellIs" priority="68" operator="lessThan" dxfId="0">
      <formula>5</formula>
    </cfRule>
  </conditionalFormatting>
  <conditionalFormatting sqref="EY18:EY22">
    <cfRule type="cellIs" priority="62" operator="lessThan" dxfId="0">
      <formula>5</formula>
    </cfRule>
  </conditionalFormatting>
  <conditionalFormatting sqref="EY25:EY26">
    <cfRule type="cellIs" priority="44" operator="lessThan" dxfId="0">
      <formula>5</formula>
    </cfRule>
  </conditionalFormatting>
  <conditionalFormatting sqref="EZ7:EZ8">
    <cfRule type="cellIs" priority="79" operator="lessThan" dxfId="0">
      <formula>5</formula>
    </cfRule>
  </conditionalFormatting>
  <conditionalFormatting sqref="EZ9:EZ12">
    <cfRule type="cellIs" priority="73" operator="lessThan" dxfId="0">
      <formula>5</formula>
    </cfRule>
  </conditionalFormatting>
  <conditionalFormatting sqref="EZ13:EZ17">
    <cfRule type="cellIs" priority="67" operator="lessThan" dxfId="0">
      <formula>5</formula>
    </cfRule>
  </conditionalFormatting>
  <conditionalFormatting sqref="EZ18:EZ22">
    <cfRule type="cellIs" priority="61" operator="lessThan" dxfId="0">
      <formula>5</formula>
    </cfRule>
  </conditionalFormatting>
  <conditionalFormatting sqref="EZ25:EZ26">
    <cfRule type="cellIs" priority="43" operator="lessThan" dxfId="0">
      <formula>5</formula>
    </cfRule>
  </conditionalFormatting>
  <conditionalFormatting sqref="FA7:FA8">
    <cfRule type="cellIs" priority="78" operator="lessThan" dxfId="0">
      <formula>5</formula>
    </cfRule>
  </conditionalFormatting>
  <conditionalFormatting sqref="FA9:FA12">
    <cfRule type="cellIs" priority="72" operator="lessThan" dxfId="0">
      <formula>5</formula>
    </cfRule>
  </conditionalFormatting>
  <conditionalFormatting sqref="FA13:FA17">
    <cfRule type="cellIs" priority="66" operator="lessThan" dxfId="0">
      <formula>5</formula>
    </cfRule>
  </conditionalFormatting>
  <conditionalFormatting sqref="FA18:FA22">
    <cfRule type="cellIs" priority="60" operator="lessThan" dxfId="0">
      <formula>5</formula>
    </cfRule>
  </conditionalFormatting>
  <conditionalFormatting sqref="FA25:FA26">
    <cfRule type="cellIs" priority="42" operator="lessThan" dxfId="0">
      <formula>5</formula>
    </cfRule>
  </conditionalFormatting>
  <conditionalFormatting sqref="FB7:FB8">
    <cfRule type="cellIs" priority="77" operator="lessThan" dxfId="0">
      <formula>5</formula>
    </cfRule>
  </conditionalFormatting>
  <conditionalFormatting sqref="FB9:FB12">
    <cfRule type="cellIs" priority="71" operator="lessThan" dxfId="0">
      <formula>5</formula>
    </cfRule>
  </conditionalFormatting>
  <conditionalFormatting sqref="FB13:FB17">
    <cfRule type="cellIs" priority="65" operator="lessThan" dxfId="0">
      <formula>5</formula>
    </cfRule>
  </conditionalFormatting>
  <conditionalFormatting sqref="FB18:FB22">
    <cfRule type="cellIs" priority="59" operator="lessThan" dxfId="0">
      <formula>5</formula>
    </cfRule>
  </conditionalFormatting>
  <conditionalFormatting sqref="FB25:FB26">
    <cfRule type="cellIs" priority="41" operator="lessThan" dxfId="0">
      <formula>5</formula>
    </cfRule>
  </conditionalFormatting>
  <conditionalFormatting sqref="FC7:FC8">
    <cfRule type="cellIs" priority="76" operator="lessThan" dxfId="0">
      <formula>5</formula>
    </cfRule>
  </conditionalFormatting>
  <conditionalFormatting sqref="FC9:FC12">
    <cfRule type="cellIs" priority="70" operator="lessThan" dxfId="0">
      <formula>5</formula>
    </cfRule>
  </conditionalFormatting>
  <conditionalFormatting sqref="FC13:FC17">
    <cfRule type="cellIs" priority="64" operator="lessThan" dxfId="0">
      <formula>5</formula>
    </cfRule>
  </conditionalFormatting>
  <conditionalFormatting sqref="FC18:FC22">
    <cfRule type="cellIs" priority="58" operator="lessThan" dxfId="0">
      <formula>5</formula>
    </cfRule>
  </conditionalFormatting>
  <conditionalFormatting sqref="FC25:FC26">
    <cfRule type="cellIs" priority="40" operator="lessThan" dxfId="0">
      <formula>5</formula>
    </cfRule>
  </conditionalFormatting>
  <conditionalFormatting sqref="GY7:GY26">
    <cfRule type="cellIs" priority="108" operator="lessThan" dxfId="0">
      <formula>5</formula>
    </cfRule>
  </conditionalFormatting>
  <conditionalFormatting sqref="L27:AM27 AA7:AK26 AQ7:BU26 AQ27:DL27 BX7:CM26 CO7:CQ26 DB7:DE8 DB9:DD24 DC25:DD26 DG7:DK8 DG9:DJ26 GJ7:GK26 GJ27:GS27 GM7:GR26">
    <cfRule type="cellIs" priority="115" operator="lessThan" dxfId="0">
      <formula>5</formula>
    </cfRule>
  </conditionalFormatting>
  <conditionalFormatting sqref="BV7:BW26">
    <cfRule type="cellIs" priority="39" operator="lessThan" dxfId="0">
      <formula>5</formula>
    </cfRule>
  </conditionalFormatting>
  <conditionalFormatting sqref="CR7:CV26">
    <cfRule type="cellIs" priority="103" operator="lessThan" dxfId="0">
      <formula>5</formula>
    </cfRule>
  </conditionalFormatting>
  <conditionalFormatting sqref="CW7:DA26">
    <cfRule type="cellIs" priority="102" operator="lessThan" dxfId="0">
      <formula>5</formula>
    </cfRule>
  </conditionalFormatting>
  <conditionalFormatting sqref="EF7:EK26 EF27:EP27 ER7:EW27">
    <cfRule type="cellIs" priority="114" operator="lessThan" dxfId="0">
      <formula>5</formula>
    </cfRule>
  </conditionalFormatting>
  <conditionalFormatting sqref="EA7:EB26 EA27:EE27 ED7:EE26">
    <cfRule type="cellIs" priority="111" operator="lessThan" dxfId="0">
      <formula>5</formula>
    </cfRule>
  </conditionalFormatting>
  <conditionalFormatting sqref="EL7:EP8">
    <cfRule type="cellIs" priority="88" operator="lessThan" dxfId="0">
      <formula>5</formula>
    </cfRule>
  </conditionalFormatting>
  <conditionalFormatting sqref="GT7:GV26 GT27:GY27">
    <cfRule type="cellIs" priority="112" operator="lessThan" dxfId="0">
      <formula>5</formula>
    </cfRule>
  </conditionalFormatting>
  <conditionalFormatting sqref="GW7:GX26">
    <cfRule type="cellIs" priority="109" operator="lessThan" dxfId="0">
      <formula>5</formula>
    </cfRule>
  </conditionalFormatting>
  <conditionalFormatting sqref="GZ7:HC26">
    <cfRule type="cellIs" priority="110" operator="lessThan" dxfId="0">
      <formula>5</formula>
    </cfRule>
  </conditionalFormatting>
  <conditionalFormatting sqref="EL9:EP12">
    <cfRule type="cellIs" priority="87" operator="lessThan" dxfId="0">
      <formula>5</formula>
    </cfRule>
  </conditionalFormatting>
  <conditionalFormatting sqref="EL13:EP17">
    <cfRule type="cellIs" priority="86" operator="lessThan" dxfId="0">
      <formula>5</formula>
    </cfRule>
  </conditionalFormatting>
  <conditionalFormatting sqref="EL18:EP22">
    <cfRule type="cellIs" priority="85" operator="lessThan" dxfId="0">
      <formula>5</formula>
    </cfRule>
  </conditionalFormatting>
  <conditionalFormatting sqref="EL25:EP26">
    <cfRule type="cellIs" priority="82" operator="lessThan" dxfId="0">
      <formula>5</formula>
    </cfRule>
  </conditionalFormatting>
  <conditionalFormatting sqref="EX27 EZ27:FC27">
    <cfRule type="cellIs" priority="113" operator="lessThan" dxfId="0">
      <formula>5</formula>
    </cfRule>
  </conditionalFormatting>
  <conditionalFormatting sqref="C59">
    <cfRule type="cellIs" priority="32" operator="lessThan" dxfId="0">
      <formula>5</formula>
    </cfRule>
  </conditionalFormatting>
  <conditionalFormatting sqref="R7:S7 R23:S23 R26:S26 S24:S25">
    <cfRule type="cellIs" priority="3" operator="lessThan" dxfId="0">
      <formula>5</formula>
    </cfRule>
  </conditionalFormatting>
  <conditionalFormatting sqref="U7:X7">
    <cfRule type="cellIs" priority="2" operator="lessThan" dxfId="0">
      <formula>5</formula>
    </cfRule>
  </conditionalFormatting>
  <conditionalFormatting sqref="Y7:Z26">
    <cfRule type="cellIs" priority="1" operator="lessThan" dxfId="0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D38"/>
  <sheetViews>
    <sheetView topLeftCell="AC1" zoomScale="50" zoomScaleNormal="50" workbookViewId="0">
      <selection activeCell="E27" sqref="E27"/>
    </sheetView>
  </sheetViews>
  <sheetFormatPr baseColWidth="8" defaultRowHeight="13.5" customHeight="1"/>
  <cols>
    <col width="31.5" customWidth="1" style="590" min="3" max="3"/>
    <col width="35.5" customWidth="1" style="590" min="4" max="4"/>
    <col width="8.75" customWidth="1" style="590" min="6" max="6"/>
    <col width="8.75" customWidth="1" style="590" min="9" max="9"/>
  </cols>
  <sheetData>
    <row r="1" ht="25.5" customHeight="1" s="590">
      <c r="A1" s="337" t="inlineStr">
        <is>
          <t>Batch  Spring 2025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386" t="inlineStr">
        <is>
          <t>Assessment of GA's</t>
        </is>
      </c>
      <c r="HS1" s="591" t="n"/>
      <c r="HT1" s="592" t="inlineStr">
        <is>
          <t>Attainment of GAs</t>
        </is>
      </c>
      <c r="HU1" s="336" t="inlineStr">
        <is>
          <t>Attainment of Graduate Attribute</t>
        </is>
      </c>
    </row>
    <row r="2" ht="24" customHeight="1" s="590">
      <c r="B2" s="671" t="inlineStr">
        <is>
          <t>Sr. No.</t>
        </is>
      </c>
      <c r="C2" s="341" t="n"/>
      <c r="D2" s="593" t="inlineStr">
        <is>
          <t>Student Name</t>
        </is>
      </c>
      <c r="E2" s="594" t="inlineStr">
        <is>
          <t>Semester 1</t>
        </is>
      </c>
      <c r="F2" s="595" t="n"/>
      <c r="G2" s="595" t="n"/>
      <c r="H2" s="595" t="n"/>
      <c r="I2" s="595" t="n"/>
      <c r="J2" s="595" t="n"/>
      <c r="K2" s="595" t="n"/>
      <c r="L2" s="595" t="n"/>
      <c r="M2" s="595" t="n"/>
      <c r="N2" s="595" t="n"/>
      <c r="O2" s="595" t="n"/>
      <c r="P2" s="595" t="n"/>
      <c r="Q2" s="595" t="n"/>
      <c r="R2" s="595" t="n"/>
      <c r="S2" s="595" t="n"/>
      <c r="T2" s="595" t="n"/>
      <c r="U2" s="595" t="n"/>
      <c r="V2" s="595" t="n"/>
      <c r="W2" s="595" t="n"/>
      <c r="X2" s="595" t="n"/>
      <c r="Y2" s="595" t="n"/>
      <c r="Z2" s="595" t="n"/>
      <c r="AA2" s="595" t="n"/>
      <c r="AB2" s="595" t="n"/>
      <c r="AC2" s="595" t="n"/>
      <c r="AD2" s="596" t="n"/>
      <c r="AE2" s="597" t="inlineStr">
        <is>
          <t>Semester 2</t>
        </is>
      </c>
      <c r="AF2" s="598" t="n"/>
      <c r="AG2" s="598" t="n"/>
      <c r="AH2" s="598" t="n"/>
      <c r="AI2" s="598" t="n"/>
      <c r="AJ2" s="598" t="n"/>
      <c r="AK2" s="598" t="n"/>
      <c r="AL2" s="598" t="n"/>
      <c r="AM2" s="598" t="n"/>
      <c r="AN2" s="598" t="n"/>
      <c r="AO2" s="598" t="n"/>
      <c r="AP2" s="598" t="n"/>
      <c r="AQ2" s="598" t="n"/>
      <c r="AR2" s="598" t="n"/>
      <c r="AS2" s="598" t="n"/>
      <c r="AT2" s="598" t="n"/>
      <c r="AU2" s="598" t="n"/>
      <c r="AV2" s="598" t="n"/>
      <c r="AW2" s="598" t="n"/>
      <c r="AX2" s="598" t="n"/>
      <c r="AY2" s="598" t="n"/>
      <c r="AZ2" s="598" t="n"/>
      <c r="BA2" s="598" t="n"/>
      <c r="BB2" s="598" t="n"/>
      <c r="BC2" s="599" t="n"/>
      <c r="BD2" s="427" t="inlineStr">
        <is>
          <t>Semester 3</t>
        </is>
      </c>
      <c r="BE2" s="600" t="n"/>
      <c r="BF2" s="600" t="n"/>
      <c r="BG2" s="600" t="n"/>
      <c r="BH2" s="600" t="n"/>
      <c r="BI2" s="600" t="n"/>
      <c r="BJ2" s="600" t="n"/>
      <c r="BK2" s="600" t="n"/>
      <c r="BL2" s="600" t="n"/>
      <c r="BM2" s="600" t="n"/>
      <c r="BN2" s="600" t="n"/>
      <c r="BO2" s="600" t="n"/>
      <c r="BP2" s="600" t="n"/>
      <c r="BQ2" s="600" t="n"/>
      <c r="BR2" s="600" t="n"/>
      <c r="BS2" s="600" t="n"/>
      <c r="BT2" s="600" t="n"/>
      <c r="BU2" s="600" t="n"/>
      <c r="BV2" s="600" t="n"/>
      <c r="BW2" s="600" t="n"/>
      <c r="BX2" s="600" t="n"/>
      <c r="BY2" s="600" t="n"/>
      <c r="BZ2" s="601" t="n"/>
      <c r="CA2" s="602" t="inlineStr">
        <is>
          <t>Semester 4</t>
        </is>
      </c>
      <c r="CB2" s="603" t="n"/>
      <c r="CC2" s="603" t="n"/>
      <c r="CD2" s="603" t="n"/>
      <c r="CE2" s="603" t="n"/>
      <c r="CF2" s="603" t="n"/>
      <c r="CG2" s="603" t="n"/>
      <c r="CH2" s="603" t="n"/>
      <c r="CI2" s="603" t="n"/>
      <c r="CJ2" s="603" t="n"/>
      <c r="CK2" s="603" t="n"/>
      <c r="CL2" s="603" t="n"/>
      <c r="CM2" s="603" t="n"/>
      <c r="CN2" s="603" t="n"/>
      <c r="CO2" s="603" t="n"/>
      <c r="CP2" s="603" t="n"/>
      <c r="CQ2" s="603" t="n"/>
      <c r="CR2" s="603" t="n"/>
      <c r="CS2" s="603" t="n"/>
      <c r="CT2" s="603" t="n"/>
      <c r="CU2" s="604" t="n"/>
      <c r="CV2" s="387" t="inlineStr">
        <is>
          <t>Semester 5</t>
        </is>
      </c>
      <c r="EE2" s="388" t="inlineStr">
        <is>
          <t>Semester 6</t>
        </is>
      </c>
      <c r="FB2" s="388" t="n"/>
      <c r="FC2" s="388" t="n"/>
      <c r="FD2" s="388" t="n"/>
      <c r="FE2" s="388" t="n"/>
      <c r="FF2" s="388" t="n"/>
      <c r="FG2" s="388" t="n"/>
      <c r="FH2" s="389" t="inlineStr">
        <is>
          <t>Semester 7</t>
        </is>
      </c>
      <c r="FI2" s="605" t="n"/>
      <c r="FJ2" s="605" t="n"/>
      <c r="FK2" s="605" t="n"/>
      <c r="FL2" s="605" t="n"/>
      <c r="FM2" s="605" t="n"/>
      <c r="FN2" s="605" t="n"/>
      <c r="FO2" s="605" t="n"/>
      <c r="FP2" s="605" t="n"/>
      <c r="FQ2" s="605" t="n"/>
      <c r="FR2" s="605" t="n"/>
      <c r="FS2" s="605" t="n"/>
      <c r="FT2" s="605" t="n"/>
      <c r="FU2" s="605" t="n"/>
      <c r="FV2" s="605" t="n"/>
      <c r="FW2" s="605" t="n"/>
      <c r="FX2" s="605" t="n"/>
      <c r="FY2" s="605" t="n"/>
      <c r="FZ2" s="605" t="n"/>
      <c r="GA2" s="605" t="n"/>
      <c r="GB2" s="605" t="n"/>
      <c r="GC2" s="605" t="n"/>
      <c r="GD2" s="605" t="n"/>
      <c r="GE2" s="605" t="n"/>
      <c r="GF2" s="3" t="n"/>
      <c r="GG2" s="3" t="n"/>
      <c r="GH2" s="3" t="n"/>
      <c r="GI2" s="3" t="n"/>
      <c r="GJ2" s="3" t="n"/>
      <c r="GK2" s="3" t="n"/>
      <c r="GL2" s="3" t="n"/>
      <c r="GM2" s="3" t="n"/>
      <c r="GN2" s="390" t="inlineStr">
        <is>
          <t>Semester - 8</t>
        </is>
      </c>
      <c r="HT2" s="606" t="n"/>
      <c r="HU2" s="607" t="n"/>
      <c r="HV2" s="607" t="n"/>
      <c r="HW2" s="607" t="n"/>
      <c r="HX2" s="607" t="n"/>
      <c r="HY2" s="607" t="n"/>
      <c r="HZ2" s="607" t="n"/>
      <c r="IA2" s="607" t="n"/>
      <c r="IB2" s="607" t="n"/>
      <c r="IC2" s="607" t="n"/>
      <c r="ID2" s="607" t="n"/>
    </row>
    <row r="3" ht="24" customHeight="1" s="590">
      <c r="B3" s="606" t="n"/>
      <c r="C3" s="342" t="n"/>
      <c r="D3" s="608" t="n"/>
      <c r="E3" s="672" t="inlineStr">
        <is>
          <t>Application of information &amp; Communication Technologies</t>
        </is>
      </c>
      <c r="F3" s="609" t="n"/>
      <c r="G3" s="609" t="n"/>
      <c r="H3" s="609" t="n"/>
      <c r="I3" s="609" t="n"/>
      <c r="J3" s="611" t="n"/>
      <c r="K3" s="673" t="inlineStr">
        <is>
          <t>Applied Physics</t>
        </is>
      </c>
      <c r="L3" s="609" t="n"/>
      <c r="M3" s="609" t="n"/>
      <c r="N3" s="609" t="n"/>
      <c r="O3" s="611" t="n"/>
      <c r="P3" s="610" t="inlineStr">
        <is>
          <t>Programming Fundamentals</t>
        </is>
      </c>
      <c r="Q3" s="609" t="n"/>
      <c r="R3" s="609" t="n"/>
      <c r="S3" s="609" t="n"/>
      <c r="T3" s="611" t="n"/>
      <c r="U3" s="612" t="inlineStr">
        <is>
          <t>Calculus and Analytic Geometry</t>
        </is>
      </c>
      <c r="V3" s="609" t="n"/>
      <c r="W3" s="609" t="n"/>
      <c r="X3" s="611" t="n"/>
      <c r="Y3" s="441" t="inlineStr">
        <is>
          <t>Functional English</t>
        </is>
      </c>
      <c r="Z3" s="609" t="n"/>
      <c r="AA3" s="609" t="n"/>
      <c r="AB3" s="609" t="n"/>
      <c r="AC3" s="613" t="n"/>
      <c r="AD3" s="599" t="n"/>
      <c r="AE3" s="446" t="inlineStr">
        <is>
          <t>Expository Writing</t>
        </is>
      </c>
      <c r="AF3" s="614" t="n"/>
      <c r="AG3" s="447" t="inlineStr">
        <is>
          <t>Object Oriented Programming</t>
        </is>
      </c>
      <c r="AH3" s="607" t="n"/>
      <c r="AI3" s="607" t="n"/>
      <c r="AJ3" s="607" t="n"/>
      <c r="AK3" s="607" t="n"/>
      <c r="AL3" s="607" t="n"/>
      <c r="AM3" s="615" t="inlineStr">
        <is>
          <t>Discreate Structures</t>
        </is>
      </c>
      <c r="AN3" s="607" t="n"/>
      <c r="AO3" s="614" t="n"/>
      <c r="AP3" s="465" t="inlineStr">
        <is>
          <t xml:space="preserve">Ideology and Constitution of Pakistan </t>
        </is>
      </c>
      <c r="AQ3" s="607" t="n"/>
      <c r="AR3" s="607" t="n"/>
      <c r="AS3" s="607" t="n"/>
      <c r="AT3" s="607" t="n"/>
      <c r="AU3" s="616" t="inlineStr">
        <is>
          <t>Digital Logic Design</t>
        </is>
      </c>
      <c r="AV3" s="607" t="n"/>
      <c r="AW3" s="607" t="n"/>
      <c r="AX3" s="607" t="n"/>
      <c r="AY3" s="614" t="n"/>
      <c r="AZ3" s="617" t="inlineStr">
        <is>
          <t>Multi Variable Calculus</t>
        </is>
      </c>
      <c r="BA3" s="607" t="n"/>
      <c r="BB3" s="607" t="n"/>
      <c r="BC3" s="614" t="n"/>
      <c r="BD3" s="618" t="inlineStr">
        <is>
          <t>Data Structures</t>
        </is>
      </c>
      <c r="BE3" s="609" t="n"/>
      <c r="BF3" s="611" t="n"/>
      <c r="BG3" s="619" t="inlineStr">
        <is>
          <t>Computer Organization &amp; Assembly Language</t>
        </is>
      </c>
      <c r="BH3" s="609" t="n"/>
      <c r="BI3" s="611" t="n"/>
      <c r="BJ3" s="620" t="inlineStr">
        <is>
          <t>Introduction to Artificial Intelligence</t>
        </is>
      </c>
      <c r="BK3" s="609" t="n"/>
      <c r="BL3" s="611" t="n"/>
      <c r="BM3" s="621" t="inlineStr">
        <is>
          <t>Computer Network</t>
        </is>
      </c>
      <c r="BN3" s="609" t="n"/>
      <c r="BO3" s="609" t="n"/>
      <c r="BP3" s="609" t="n"/>
      <c r="BQ3" s="609" t="n"/>
      <c r="BR3" s="609" t="n"/>
      <c r="BS3" s="611" t="n"/>
      <c r="BT3" s="451" t="inlineStr">
        <is>
          <t>Probability &amp; Statistics</t>
        </is>
      </c>
      <c r="BU3" s="609" t="n"/>
      <c r="BV3" s="609" t="n"/>
      <c r="BW3" s="609" t="n"/>
      <c r="BX3" s="609" t="n"/>
      <c r="BY3" s="609" t="n"/>
      <c r="BZ3" s="609" t="n"/>
      <c r="CA3" s="622" t="inlineStr">
        <is>
          <t>Design Analysis of Algorithms</t>
        </is>
      </c>
      <c r="CB3" s="623" t="n"/>
      <c r="CC3" s="623" t="n"/>
      <c r="CD3" s="623" t="n"/>
      <c r="CE3" s="623" t="n"/>
      <c r="CF3" s="624" t="n"/>
      <c r="CG3" s="625" t="inlineStr">
        <is>
          <t>Data Structures and Algorithms</t>
        </is>
      </c>
      <c r="CH3" s="623" t="n"/>
      <c r="CI3" s="623" t="n"/>
      <c r="CJ3" s="624" t="n"/>
      <c r="CK3" s="460" t="inlineStr">
        <is>
          <t>Applied Statistics</t>
        </is>
      </c>
      <c r="CL3" s="623" t="n"/>
      <c r="CM3" s="623" t="n"/>
      <c r="CN3" s="623" t="n"/>
      <c r="CO3" s="623" t="n"/>
      <c r="CP3" s="626" t="inlineStr">
        <is>
          <t xml:space="preserve">Software Engineering </t>
        </is>
      </c>
      <c r="CQ3" s="623" t="n"/>
      <c r="CR3" s="624" t="n"/>
      <c r="CS3" s="627" t="inlineStr">
        <is>
          <t>World History</t>
        </is>
      </c>
      <c r="CT3" s="623" t="n"/>
      <c r="CU3" s="624" t="n"/>
      <c r="CV3" s="628" t="inlineStr">
        <is>
          <t>Artificial Intelligence</t>
        </is>
      </c>
      <c r="CW3" s="598" t="n"/>
      <c r="CX3" s="598" t="n"/>
      <c r="CY3" s="598" t="n"/>
      <c r="CZ3" s="629" t="n"/>
      <c r="DA3" s="630" t="inlineStr">
        <is>
          <t>Data Communication &amp; Computer Networks</t>
        </is>
      </c>
      <c r="DB3" s="598" t="n"/>
      <c r="DC3" s="598" t="n"/>
      <c r="DD3" s="598" t="n"/>
      <c r="DE3" s="599" t="n"/>
      <c r="DF3" s="326" t="inlineStr">
        <is>
          <t>Continuous Discreate Optimization</t>
        </is>
      </c>
      <c r="DG3" s="598" t="n"/>
      <c r="DH3" s="598" t="n"/>
      <c r="DI3" s="598" t="n"/>
      <c r="DJ3" s="631" t="n"/>
      <c r="DK3" s="632" t="inlineStr">
        <is>
          <t>Data Base Management Systems</t>
        </is>
      </c>
      <c r="DL3" s="598" t="n"/>
      <c r="DM3" s="598" t="n"/>
      <c r="DN3" s="598" t="n"/>
      <c r="DO3" s="598" t="n"/>
      <c r="DP3" s="599" t="n"/>
      <c r="DQ3" s="326" t="inlineStr">
        <is>
          <t>Introduction to Python Lab</t>
        </is>
      </c>
      <c r="DR3" s="598" t="n"/>
      <c r="DS3" s="598" t="n"/>
      <c r="DT3" s="598" t="n"/>
      <c r="DU3" s="598" t="n"/>
      <c r="DV3" s="598" t="n"/>
      <c r="DW3" s="631" t="n"/>
      <c r="DX3" s="632" t="inlineStr">
        <is>
          <t>World Literature</t>
        </is>
      </c>
      <c r="DY3" s="598" t="n"/>
      <c r="DZ3" s="598" t="n"/>
      <c r="EA3" s="598" t="n"/>
      <c r="EB3" s="598" t="n"/>
      <c r="EC3" s="598" t="n"/>
      <c r="ED3" s="599" t="n"/>
      <c r="EE3" s="627" t="inlineStr">
        <is>
          <t>Machine Learning</t>
        </is>
      </c>
      <c r="EF3" s="623" t="n"/>
      <c r="EG3" s="623" t="n"/>
      <c r="EH3" s="623" t="n"/>
      <c r="EI3" s="624" t="n"/>
      <c r="EJ3" s="633" t="inlineStr">
        <is>
          <t>Computer Vision</t>
        </is>
      </c>
      <c r="EK3" s="623" t="n"/>
      <c r="EL3" s="623" t="n"/>
      <c r="EM3" s="623" t="n"/>
      <c r="EN3" s="623" t="n"/>
      <c r="EO3" s="624" t="n"/>
      <c r="EP3" s="634" t="inlineStr">
        <is>
          <t>Parallel and Distributed Computing</t>
        </is>
      </c>
      <c r="EQ3" s="623" t="n"/>
      <c r="ER3" s="623" t="n"/>
      <c r="ES3" s="623" t="n"/>
      <c r="ET3" s="623" t="n"/>
      <c r="EU3" s="624" t="n"/>
      <c r="EV3" s="635" t="inlineStr">
        <is>
          <t>Academic &amp; Professional Writing</t>
        </is>
      </c>
      <c r="EW3" s="623" t="n"/>
      <c r="EX3" s="624" t="n"/>
      <c r="EY3" s="397" t="inlineStr">
        <is>
          <t>Logical And Automated Reasoning</t>
        </is>
      </c>
      <c r="EZ3" s="623" t="n"/>
      <c r="FA3" s="623" t="n"/>
      <c r="FB3" s="399" t="inlineStr">
        <is>
          <t>Data Visualization</t>
        </is>
      </c>
      <c r="FC3" s="623" t="n"/>
      <c r="FD3" s="623" t="n"/>
      <c r="FE3" s="623" t="n"/>
      <c r="FF3" s="623" t="n"/>
      <c r="FG3" s="623" t="n"/>
      <c r="FH3" s="636" t="inlineStr">
        <is>
          <t>Artificial Intelligence</t>
        </is>
      </c>
      <c r="FI3" s="609" t="n"/>
      <c r="FJ3" s="609" t="n"/>
      <c r="FK3" s="609" t="n"/>
      <c r="FL3" s="611" t="n"/>
      <c r="FM3" s="405" t="inlineStr">
        <is>
          <t>Philosophy and Critical Thinking</t>
        </is>
      </c>
      <c r="FN3" s="611" t="n"/>
      <c r="FO3" s="637" t="inlineStr">
        <is>
          <t>Natural Language Processing</t>
        </is>
      </c>
      <c r="FP3" s="609" t="n"/>
      <c r="FQ3" s="609" t="n"/>
      <c r="FR3" s="609" t="n"/>
      <c r="FS3" s="611" t="n"/>
      <c r="FT3" s="638" t="inlineStr">
        <is>
          <t>Final Year Project - I</t>
        </is>
      </c>
      <c r="FU3" s="609" t="n"/>
      <c r="FV3" s="609" t="n"/>
      <c r="FW3" s="609" t="n"/>
      <c r="FX3" s="609" t="n"/>
      <c r="FY3" s="609" t="n"/>
      <c r="FZ3" s="609" t="n"/>
      <c r="GA3" s="609" t="n"/>
      <c r="GB3" s="609" t="n"/>
      <c r="GC3" s="609" t="n"/>
      <c r="GD3" s="609" t="n"/>
      <c r="GE3" s="611" t="n"/>
      <c r="GF3" s="639" t="inlineStr">
        <is>
          <t>Logical And Automated Reasoning</t>
        </is>
      </c>
      <c r="GG3" s="623" t="n"/>
      <c r="GH3" s="623" t="n"/>
      <c r="GI3" s="624" t="n"/>
      <c r="GJ3" s="639" t="inlineStr">
        <is>
          <t>Philosophy and Critical Thinking</t>
        </is>
      </c>
      <c r="GK3" s="623" t="n"/>
      <c r="GL3" s="623" t="n"/>
      <c r="GM3" s="624" t="n"/>
      <c r="GN3" s="640" t="inlineStr">
        <is>
          <t>Deep Learning</t>
        </is>
      </c>
      <c r="GO3" s="609" t="n"/>
      <c r="GP3" s="609" t="n"/>
      <c r="GQ3" s="609" t="n"/>
      <c r="GR3" s="611" t="n"/>
      <c r="GS3" s="641" t="inlineStr">
        <is>
          <t>Artificial Intelligence for Robotics</t>
        </is>
      </c>
      <c r="GT3" s="609" t="n"/>
      <c r="GU3" s="609" t="n"/>
      <c r="GV3" s="609" t="n"/>
      <c r="GW3" s="611" t="n"/>
      <c r="GX3" s="634" t="inlineStr">
        <is>
          <t>Sociology</t>
        </is>
      </c>
      <c r="GY3" s="623" t="n"/>
      <c r="GZ3" s="624" t="n"/>
      <c r="HA3" s="642" t="inlineStr">
        <is>
          <t>Ethics and Social Responsibility</t>
        </is>
      </c>
      <c r="HB3" s="609" t="n"/>
      <c r="HC3" s="611" t="n"/>
      <c r="HD3" s="639" t="inlineStr">
        <is>
          <t>Philosophy and Critical Thinking</t>
        </is>
      </c>
      <c r="HE3" s="623" t="n"/>
      <c r="HF3" s="623" t="n"/>
      <c r="HG3" s="624" t="n"/>
      <c r="HH3" s="643" t="inlineStr">
        <is>
          <t>Final Year Project - II</t>
        </is>
      </c>
      <c r="HI3" s="609" t="n"/>
      <c r="HJ3" s="609" t="n"/>
      <c r="HK3" s="609" t="n"/>
      <c r="HL3" s="609" t="n"/>
      <c r="HM3" s="609" t="n"/>
      <c r="HN3" s="609" t="n"/>
      <c r="HO3" s="609" t="n"/>
      <c r="HP3" s="609" t="n"/>
      <c r="HQ3" s="609" t="n"/>
      <c r="HR3" s="609" t="n"/>
      <c r="HS3" s="611" t="n"/>
      <c r="HT3" s="606" t="n"/>
      <c r="HU3" s="109" t="n"/>
      <c r="HV3" s="109" t="n"/>
      <c r="HW3" s="109" t="n"/>
      <c r="HX3" s="109" t="n"/>
      <c r="HY3" s="109" t="n"/>
      <c r="HZ3" s="109" t="n"/>
      <c r="IA3" s="109" t="n"/>
      <c r="IB3" s="109" t="n"/>
      <c r="IC3" s="109" t="n"/>
      <c r="ID3" s="109" t="n"/>
    </row>
    <row r="4" ht="24" customHeight="1" s="590">
      <c r="B4" s="606" t="n"/>
      <c r="C4" s="342" t="n"/>
      <c r="D4" s="608" t="n"/>
      <c r="E4" s="110" t="inlineStr">
        <is>
          <t>CLO 1</t>
        </is>
      </c>
      <c r="F4" s="111" t="inlineStr">
        <is>
          <t>CLO 2</t>
        </is>
      </c>
      <c r="G4" s="111" t="inlineStr">
        <is>
          <t>CLO 3</t>
        </is>
      </c>
      <c r="H4" s="112" t="inlineStr">
        <is>
          <t>CLO 1</t>
        </is>
      </c>
      <c r="I4" s="113" t="inlineStr">
        <is>
          <t>CLO 2</t>
        </is>
      </c>
      <c r="J4" s="113" t="inlineStr">
        <is>
          <t>CLO 3</t>
        </is>
      </c>
      <c r="K4" s="110" t="inlineStr">
        <is>
          <t>CLO 1</t>
        </is>
      </c>
      <c r="L4" s="112" t="inlineStr">
        <is>
          <t>CLO 2</t>
        </is>
      </c>
      <c r="M4" s="112" t="inlineStr">
        <is>
          <t>CLO 3</t>
        </is>
      </c>
      <c r="N4" s="110" t="inlineStr">
        <is>
          <t>CLO 1</t>
        </is>
      </c>
      <c r="O4" s="113" t="inlineStr">
        <is>
          <t>CLO 2</t>
        </is>
      </c>
      <c r="P4" s="110" t="inlineStr">
        <is>
          <t>CLO 1</t>
        </is>
      </c>
      <c r="Q4" s="111" t="inlineStr">
        <is>
          <t>CLO 2</t>
        </is>
      </c>
      <c r="R4" s="111" t="inlineStr">
        <is>
          <t>CLO 3</t>
        </is>
      </c>
      <c r="S4" s="111" t="inlineStr">
        <is>
          <t>CLO1</t>
        </is>
      </c>
      <c r="T4" s="113" t="inlineStr">
        <is>
          <t>CLO2</t>
        </is>
      </c>
      <c r="U4" s="110" t="inlineStr">
        <is>
          <t>CLO 1</t>
        </is>
      </c>
      <c r="V4" s="111" t="inlineStr">
        <is>
          <t>CLO 2</t>
        </is>
      </c>
      <c r="W4" s="112" t="inlineStr">
        <is>
          <t>CLO 3</t>
        </is>
      </c>
      <c r="X4" s="113" t="inlineStr">
        <is>
          <t>CLO 3</t>
        </is>
      </c>
      <c r="Y4" s="110" t="inlineStr">
        <is>
          <t>CLO 1</t>
        </is>
      </c>
      <c r="Z4" s="111" t="inlineStr">
        <is>
          <t>CLO 2</t>
        </is>
      </c>
      <c r="AA4" s="112" t="inlineStr">
        <is>
          <t>CLO 3</t>
        </is>
      </c>
      <c r="AB4" s="113" t="inlineStr">
        <is>
          <t>CLO 4</t>
        </is>
      </c>
      <c r="AC4" s="644" t="n"/>
      <c r="AD4" s="645" t="n"/>
      <c r="AE4" s="110" t="inlineStr">
        <is>
          <t>CLO 1</t>
        </is>
      </c>
      <c r="AF4" s="113" t="inlineStr">
        <is>
          <t>CLO 2</t>
        </is>
      </c>
      <c r="AG4" s="111" t="inlineStr">
        <is>
          <t>CLO 1</t>
        </is>
      </c>
      <c r="AH4" s="111" t="inlineStr">
        <is>
          <t>CLO 2</t>
        </is>
      </c>
      <c r="AI4" s="111" t="inlineStr">
        <is>
          <t>CLO 3</t>
        </is>
      </c>
      <c r="AJ4" s="111" t="inlineStr">
        <is>
          <t>CLO 4</t>
        </is>
      </c>
      <c r="AK4" s="112" t="inlineStr">
        <is>
          <t>CLO 1</t>
        </is>
      </c>
      <c r="AL4" s="112" t="inlineStr">
        <is>
          <t>CLO 2</t>
        </is>
      </c>
      <c r="AM4" s="110" t="inlineStr">
        <is>
          <t>CLO 1</t>
        </is>
      </c>
      <c r="AN4" s="111" t="inlineStr">
        <is>
          <t>CLO 2</t>
        </is>
      </c>
      <c r="AO4" s="113" t="inlineStr">
        <is>
          <t>CLO 3</t>
        </is>
      </c>
      <c r="AP4" s="111" t="inlineStr">
        <is>
          <t>CLO 1</t>
        </is>
      </c>
      <c r="AQ4" s="111" t="inlineStr">
        <is>
          <t>CLO 2</t>
        </is>
      </c>
      <c r="AR4" s="112" t="inlineStr">
        <is>
          <t>CLO 3</t>
        </is>
      </c>
      <c r="AS4" s="111" t="inlineStr">
        <is>
          <t>CLO4</t>
        </is>
      </c>
      <c r="AT4" s="112" t="inlineStr">
        <is>
          <t>CLO5</t>
        </is>
      </c>
      <c r="AU4" s="110" t="inlineStr">
        <is>
          <t>CLO 1</t>
        </is>
      </c>
      <c r="AV4" s="111" t="inlineStr">
        <is>
          <t>CLO 2</t>
        </is>
      </c>
      <c r="AW4" s="111" t="inlineStr">
        <is>
          <t>CLO 3</t>
        </is>
      </c>
      <c r="AX4" s="111" t="inlineStr">
        <is>
          <t>CLO 5</t>
        </is>
      </c>
      <c r="AY4" s="113" t="inlineStr">
        <is>
          <t>CLO 4</t>
        </is>
      </c>
      <c r="AZ4" s="110" t="inlineStr">
        <is>
          <t>CLO 1</t>
        </is>
      </c>
      <c r="BA4" s="111" t="inlineStr">
        <is>
          <t>CLO 2</t>
        </is>
      </c>
      <c r="BB4" s="111" t="inlineStr">
        <is>
          <t>CLO 3</t>
        </is>
      </c>
      <c r="BC4" s="113" t="inlineStr">
        <is>
          <t>CLO 4</t>
        </is>
      </c>
      <c r="BD4" s="110" t="inlineStr">
        <is>
          <t>CLO 1</t>
        </is>
      </c>
      <c r="BE4" s="111" t="inlineStr">
        <is>
          <t>CLO 2</t>
        </is>
      </c>
      <c r="BF4" s="113" t="inlineStr">
        <is>
          <t>CLO 3</t>
        </is>
      </c>
      <c r="BG4" s="110" t="inlineStr">
        <is>
          <t>CLO 1</t>
        </is>
      </c>
      <c r="BH4" s="111" t="inlineStr">
        <is>
          <t>CLO 2</t>
        </is>
      </c>
      <c r="BI4" s="113" t="inlineStr">
        <is>
          <t>CLO 3</t>
        </is>
      </c>
      <c r="BJ4" s="110" t="inlineStr">
        <is>
          <t>CLO 1</t>
        </is>
      </c>
      <c r="BK4" s="111" t="inlineStr">
        <is>
          <t>CLO 2</t>
        </is>
      </c>
      <c r="BL4" s="113" t="inlineStr">
        <is>
          <t>CLO 3</t>
        </is>
      </c>
      <c r="BM4" s="110" t="inlineStr">
        <is>
          <t>CLO 1</t>
        </is>
      </c>
      <c r="BN4" s="111" t="inlineStr">
        <is>
          <t>CLO 2</t>
        </is>
      </c>
      <c r="BO4" s="111" t="inlineStr">
        <is>
          <t>CLO 3</t>
        </is>
      </c>
      <c r="BP4" s="111" t="inlineStr">
        <is>
          <t>CLO 4</t>
        </is>
      </c>
      <c r="BQ4" s="111" t="inlineStr">
        <is>
          <t>CLO 5</t>
        </is>
      </c>
      <c r="BR4" s="111" t="inlineStr">
        <is>
          <t>CLO 6</t>
        </is>
      </c>
      <c r="BS4" s="113" t="inlineStr">
        <is>
          <t>CLO 7</t>
        </is>
      </c>
      <c r="BT4" s="110" t="inlineStr">
        <is>
          <t>CLO 1</t>
        </is>
      </c>
      <c r="BU4" s="111" t="inlineStr">
        <is>
          <t>CLO 2</t>
        </is>
      </c>
      <c r="BV4" s="110" t="inlineStr">
        <is>
          <t>CLO 3</t>
        </is>
      </c>
      <c r="BW4" s="111" t="inlineStr">
        <is>
          <t>CLO 4</t>
        </is>
      </c>
      <c r="BX4" s="111" t="inlineStr">
        <is>
          <t>CLO 5</t>
        </is>
      </c>
      <c r="BY4" s="111" t="inlineStr">
        <is>
          <t>CLO 1</t>
        </is>
      </c>
      <c r="BZ4" s="7" t="inlineStr">
        <is>
          <t>CLO 2</t>
        </is>
      </c>
      <c r="CA4" s="132" t="inlineStr">
        <is>
          <t>CLO 1</t>
        </is>
      </c>
      <c r="CB4" s="110" t="inlineStr">
        <is>
          <t>CLO 2</t>
        </is>
      </c>
      <c r="CC4" s="110" t="inlineStr">
        <is>
          <t>CLO 3</t>
        </is>
      </c>
      <c r="CD4" s="110" t="inlineStr">
        <is>
          <t>CLO 4</t>
        </is>
      </c>
      <c r="CE4" s="110" t="inlineStr">
        <is>
          <t>CLO 5</t>
        </is>
      </c>
      <c r="CF4" s="6" t="inlineStr">
        <is>
          <t>CLO 6</t>
        </is>
      </c>
      <c r="CG4" s="5" t="inlineStr">
        <is>
          <t>CLO 1</t>
        </is>
      </c>
      <c r="CH4" s="6" t="inlineStr">
        <is>
          <t>CLO 2</t>
        </is>
      </c>
      <c r="CI4" s="6" t="inlineStr">
        <is>
          <t>CLO 3</t>
        </is>
      </c>
      <c r="CJ4" s="6" t="inlineStr">
        <is>
          <t>CLO 4</t>
        </is>
      </c>
      <c r="CK4" s="5" t="inlineStr">
        <is>
          <t>CLO 1</t>
        </is>
      </c>
      <c r="CL4" s="6" t="inlineStr">
        <is>
          <t>CLO 2</t>
        </is>
      </c>
      <c r="CM4" s="6" t="inlineStr">
        <is>
          <t>CLO 3</t>
        </is>
      </c>
      <c r="CN4" s="6" t="inlineStr">
        <is>
          <t>CLO 1</t>
        </is>
      </c>
      <c r="CO4" s="7" t="inlineStr">
        <is>
          <t>CLO 2</t>
        </is>
      </c>
      <c r="CP4" s="5" t="inlineStr">
        <is>
          <t>CLO 1</t>
        </is>
      </c>
      <c r="CQ4" s="6" t="inlineStr">
        <is>
          <t>CLO 2</t>
        </is>
      </c>
      <c r="CR4" s="6" t="inlineStr">
        <is>
          <t>CLO 3</t>
        </is>
      </c>
      <c r="CS4" s="5" t="inlineStr">
        <is>
          <t>CLO 1</t>
        </is>
      </c>
      <c r="CT4" s="6" t="inlineStr">
        <is>
          <t>CLO 2</t>
        </is>
      </c>
      <c r="CU4" s="6" t="inlineStr">
        <is>
          <t>CLO 3</t>
        </is>
      </c>
      <c r="CV4" s="151" t="inlineStr">
        <is>
          <t>CLO1</t>
        </is>
      </c>
      <c r="CW4" s="152" t="inlineStr">
        <is>
          <t>CLO2</t>
        </is>
      </c>
      <c r="CX4" s="153" t="inlineStr">
        <is>
          <t>CLO 3</t>
        </is>
      </c>
      <c r="CY4" s="153" t="inlineStr">
        <is>
          <t>CLO 1</t>
        </is>
      </c>
      <c r="CZ4" s="156" t="inlineStr">
        <is>
          <t>CLO 2</t>
        </is>
      </c>
      <c r="DA4" s="157" t="inlineStr">
        <is>
          <t>CLO 1</t>
        </is>
      </c>
      <c r="DB4" s="158" t="inlineStr">
        <is>
          <t>CLO 2</t>
        </is>
      </c>
      <c r="DC4" s="158" t="inlineStr">
        <is>
          <t>CLO 3</t>
        </is>
      </c>
      <c r="DD4" s="158" t="inlineStr">
        <is>
          <t>CLO 1</t>
        </is>
      </c>
      <c r="DE4" s="159" t="inlineStr">
        <is>
          <t>CLO 2</t>
        </is>
      </c>
      <c r="DF4" s="151" t="inlineStr">
        <is>
          <t>CLO1</t>
        </is>
      </c>
      <c r="DG4" s="160" t="inlineStr">
        <is>
          <t>CLO2</t>
        </is>
      </c>
      <c r="DH4" s="160" t="inlineStr">
        <is>
          <t>CLO3</t>
        </is>
      </c>
      <c r="DI4" s="160" t="inlineStr">
        <is>
          <t>CLO1</t>
        </is>
      </c>
      <c r="DJ4" s="160" t="inlineStr">
        <is>
          <t>CLO2</t>
        </is>
      </c>
      <c r="DK4" s="164" t="inlineStr">
        <is>
          <t>CLO1</t>
        </is>
      </c>
      <c r="DL4" s="164" t="inlineStr">
        <is>
          <t>CLO2</t>
        </is>
      </c>
      <c r="DM4" s="164" t="inlineStr">
        <is>
          <t>CLO3</t>
        </is>
      </c>
      <c r="DN4" s="164" t="inlineStr">
        <is>
          <t>CLO4</t>
        </is>
      </c>
      <c r="DO4" s="165" t="inlineStr">
        <is>
          <t>CLO1</t>
        </is>
      </c>
      <c r="DP4" s="165" t="inlineStr">
        <is>
          <t>CLO2</t>
        </is>
      </c>
      <c r="DQ4" s="160" t="inlineStr">
        <is>
          <t>CLO1</t>
        </is>
      </c>
      <c r="DR4" s="160" t="inlineStr">
        <is>
          <t>CLO2</t>
        </is>
      </c>
      <c r="DS4" s="160" t="inlineStr">
        <is>
          <t>CLO3</t>
        </is>
      </c>
      <c r="DT4" s="160" t="inlineStr">
        <is>
          <t>CLO4</t>
        </is>
      </c>
      <c r="DU4" s="160" t="inlineStr">
        <is>
          <t>CLO5</t>
        </is>
      </c>
      <c r="DV4" s="160" t="inlineStr">
        <is>
          <t>CLO6</t>
        </is>
      </c>
      <c r="DW4" s="160" t="inlineStr">
        <is>
          <t>CLO7</t>
        </is>
      </c>
      <c r="DX4" s="164" t="inlineStr">
        <is>
          <t>CLO1</t>
        </is>
      </c>
      <c r="DY4" s="164" t="inlineStr">
        <is>
          <t>CLO2</t>
        </is>
      </c>
      <c r="DZ4" s="164" t="inlineStr">
        <is>
          <t>CLO3</t>
        </is>
      </c>
      <c r="EA4" s="164" t="inlineStr">
        <is>
          <t>CLO4</t>
        </is>
      </c>
      <c r="EB4" s="164" t="inlineStr">
        <is>
          <t>CLO5</t>
        </is>
      </c>
      <c r="EC4" s="165" t="inlineStr">
        <is>
          <t>CLO6</t>
        </is>
      </c>
      <c r="ED4" s="165" t="inlineStr">
        <is>
          <t>CLO7</t>
        </is>
      </c>
      <c r="EE4" s="138" t="inlineStr">
        <is>
          <t>CLO1</t>
        </is>
      </c>
      <c r="EF4" s="138" t="inlineStr">
        <is>
          <t>CLO2</t>
        </is>
      </c>
      <c r="EG4" s="138" t="inlineStr">
        <is>
          <t>CLO3</t>
        </is>
      </c>
      <c r="EH4" s="138" t="inlineStr">
        <is>
          <t>CLO1</t>
        </is>
      </c>
      <c r="EI4" s="138" t="inlineStr">
        <is>
          <t>CLO2</t>
        </is>
      </c>
      <c r="EJ4" s="132" t="inlineStr">
        <is>
          <t>CLO1</t>
        </is>
      </c>
      <c r="EK4" s="132" t="inlineStr">
        <is>
          <t>CLO2</t>
        </is>
      </c>
      <c r="EL4" s="132" t="inlineStr">
        <is>
          <t>CLO3</t>
        </is>
      </c>
      <c r="EM4" s="132" t="inlineStr">
        <is>
          <t>CLO4</t>
        </is>
      </c>
      <c r="EN4" s="132" t="inlineStr">
        <is>
          <t>CLO5</t>
        </is>
      </c>
      <c r="EO4" s="132" t="inlineStr">
        <is>
          <t>CLO6</t>
        </is>
      </c>
      <c r="EP4" s="40" t="inlineStr">
        <is>
          <t>CLO1</t>
        </is>
      </c>
      <c r="EQ4" s="40" t="inlineStr">
        <is>
          <t>CLO 2</t>
        </is>
      </c>
      <c r="ER4" s="40" t="inlineStr">
        <is>
          <t>CLO 3</t>
        </is>
      </c>
      <c r="ES4" s="40" t="inlineStr">
        <is>
          <t>CLO 4</t>
        </is>
      </c>
      <c r="ET4" s="40" t="n"/>
      <c r="EU4" s="40" t="inlineStr">
        <is>
          <t>CLO3</t>
        </is>
      </c>
      <c r="EV4" s="37" t="inlineStr">
        <is>
          <t>CLO1</t>
        </is>
      </c>
      <c r="EW4" s="37" t="inlineStr">
        <is>
          <t>CLO2</t>
        </is>
      </c>
      <c r="EX4" s="37" t="inlineStr">
        <is>
          <t>CLO7</t>
        </is>
      </c>
      <c r="EY4" s="132" t="inlineStr">
        <is>
          <t>CLO1</t>
        </is>
      </c>
      <c r="EZ4" s="132" t="inlineStr">
        <is>
          <t>CLO2</t>
        </is>
      </c>
      <c r="FA4" s="132" t="inlineStr">
        <is>
          <t>CLO3</t>
        </is>
      </c>
      <c r="FB4" s="132" t="inlineStr">
        <is>
          <t>CLO1</t>
        </is>
      </c>
      <c r="FC4" s="132" t="inlineStr">
        <is>
          <t>CLO2</t>
        </is>
      </c>
      <c r="FD4" s="132" t="inlineStr">
        <is>
          <t>CLO3</t>
        </is>
      </c>
      <c r="FE4" s="132" t="inlineStr">
        <is>
          <t>CLO4</t>
        </is>
      </c>
      <c r="FF4" s="146" t="inlineStr">
        <is>
          <t>CLO 1</t>
        </is>
      </c>
      <c r="FG4" s="146" t="inlineStr">
        <is>
          <t>CLO 2</t>
        </is>
      </c>
      <c r="FH4" s="69" t="inlineStr">
        <is>
          <t>CLO1</t>
        </is>
      </c>
      <c r="FI4" s="70" t="inlineStr">
        <is>
          <t>CLO2</t>
        </is>
      </c>
      <c r="FJ4" s="71" t="inlineStr">
        <is>
          <t>CLO 3</t>
        </is>
      </c>
      <c r="FK4" s="71" t="inlineStr">
        <is>
          <t>CLO 1</t>
        </is>
      </c>
      <c r="FL4" s="80" t="inlineStr">
        <is>
          <t>CLO 2</t>
        </is>
      </c>
      <c r="FM4" s="81" t="inlineStr">
        <is>
          <t>CLO1</t>
        </is>
      </c>
      <c r="FN4" s="83" t="inlineStr">
        <is>
          <t>CLO2</t>
        </is>
      </c>
      <c r="FO4" s="84" t="inlineStr">
        <is>
          <t>CLO1</t>
        </is>
      </c>
      <c r="FP4" s="85" t="inlineStr">
        <is>
          <t>CLO2</t>
        </is>
      </c>
      <c r="FQ4" s="86" t="inlineStr">
        <is>
          <t>CLO3</t>
        </is>
      </c>
      <c r="FR4" s="86" t="inlineStr">
        <is>
          <t>CLO 1</t>
        </is>
      </c>
      <c r="FS4" s="86" t="inlineStr">
        <is>
          <t>CLO 2</t>
        </is>
      </c>
      <c r="FT4" s="95" t="inlineStr">
        <is>
          <t>R1</t>
        </is>
      </c>
      <c r="FU4" s="96" t="inlineStr">
        <is>
          <t>R2</t>
        </is>
      </c>
      <c r="FV4" s="96" t="inlineStr">
        <is>
          <t>R3</t>
        </is>
      </c>
      <c r="FW4" s="96" t="inlineStr">
        <is>
          <t>R4</t>
        </is>
      </c>
      <c r="FX4" s="96" t="inlineStr">
        <is>
          <t>R5</t>
        </is>
      </c>
      <c r="FY4" s="96" t="inlineStr">
        <is>
          <t>R6</t>
        </is>
      </c>
      <c r="FZ4" s="96" t="inlineStr">
        <is>
          <t>R7</t>
        </is>
      </c>
      <c r="GA4" s="96" t="inlineStr">
        <is>
          <t>R8</t>
        </is>
      </c>
      <c r="GB4" s="96" t="inlineStr">
        <is>
          <t>R9</t>
        </is>
      </c>
      <c r="GC4" s="96" t="inlineStr">
        <is>
          <t>R10</t>
        </is>
      </c>
      <c r="GD4" s="96" t="inlineStr">
        <is>
          <t>R11</t>
        </is>
      </c>
      <c r="GE4" s="101" t="inlineStr">
        <is>
          <t>R12</t>
        </is>
      </c>
      <c r="GF4" s="5" t="inlineStr">
        <is>
          <t>CLO 1</t>
        </is>
      </c>
      <c r="GG4" s="6" t="inlineStr">
        <is>
          <t>CLO 2</t>
        </is>
      </c>
      <c r="GH4" s="6" t="inlineStr">
        <is>
          <t>CLO 3</t>
        </is>
      </c>
      <c r="GI4" s="6" t="inlineStr">
        <is>
          <t>CLO 4</t>
        </is>
      </c>
      <c r="GJ4" s="7" t="n"/>
      <c r="GK4" s="7" t="n"/>
      <c r="GL4" s="7" t="n"/>
      <c r="GM4" s="7" t="n"/>
      <c r="GN4" s="19" t="inlineStr">
        <is>
          <t>CLO1</t>
        </is>
      </c>
      <c r="GO4" s="20" t="inlineStr">
        <is>
          <t>CLO 2</t>
        </is>
      </c>
      <c r="GP4" s="20" t="inlineStr">
        <is>
          <t>CLO 3</t>
        </is>
      </c>
      <c r="GQ4" s="21" t="inlineStr">
        <is>
          <t>CLO 1</t>
        </is>
      </c>
      <c r="GR4" s="22" t="inlineStr">
        <is>
          <t>CLO 2</t>
        </is>
      </c>
      <c r="GS4" s="23" t="inlineStr">
        <is>
          <t>CLO1</t>
        </is>
      </c>
      <c r="GT4" s="36" t="inlineStr">
        <is>
          <t>CLO2</t>
        </is>
      </c>
      <c r="GU4" s="37" t="inlineStr">
        <is>
          <t>CLO3</t>
        </is>
      </c>
      <c r="GV4" s="38" t="inlineStr">
        <is>
          <t>CLO 1</t>
        </is>
      </c>
      <c r="GW4" s="22" t="inlineStr">
        <is>
          <t>CLO 2</t>
        </is>
      </c>
      <c r="GX4" s="40" t="inlineStr">
        <is>
          <t>CLO1</t>
        </is>
      </c>
      <c r="GY4" s="40" t="inlineStr">
        <is>
          <t>CLO2</t>
        </is>
      </c>
      <c r="GZ4" s="40" t="inlineStr">
        <is>
          <t>CLO3</t>
        </is>
      </c>
      <c r="HA4" s="51" t="inlineStr">
        <is>
          <t>CLO1</t>
        </is>
      </c>
      <c r="HB4" s="21" t="inlineStr">
        <is>
          <t>CLO2</t>
        </is>
      </c>
      <c r="HC4" s="52" t="inlineStr">
        <is>
          <t>CLO3</t>
        </is>
      </c>
      <c r="HD4" s="7" t="n"/>
      <c r="HE4" s="7" t="n"/>
      <c r="HF4" s="7" t="n"/>
      <c r="HG4" s="7" t="n"/>
      <c r="HH4" s="23" t="inlineStr">
        <is>
          <t>R1</t>
        </is>
      </c>
      <c r="HI4" s="36" t="inlineStr">
        <is>
          <t>R2</t>
        </is>
      </c>
      <c r="HJ4" s="37" t="inlineStr">
        <is>
          <t>R3</t>
        </is>
      </c>
      <c r="HK4" s="37" t="inlineStr">
        <is>
          <t>R4</t>
        </is>
      </c>
      <c r="HL4" s="37" t="inlineStr">
        <is>
          <t>R5</t>
        </is>
      </c>
      <c r="HM4" s="37" t="inlineStr">
        <is>
          <t>R6</t>
        </is>
      </c>
      <c r="HN4" s="37" t="inlineStr">
        <is>
          <t>R7</t>
        </is>
      </c>
      <c r="HO4" s="37" t="inlineStr">
        <is>
          <t>R8</t>
        </is>
      </c>
      <c r="HP4" s="37" t="inlineStr">
        <is>
          <t>R9</t>
        </is>
      </c>
      <c r="HQ4" s="60" t="inlineStr">
        <is>
          <t>R10</t>
        </is>
      </c>
      <c r="HR4" s="62" t="inlineStr">
        <is>
          <t>R11</t>
        </is>
      </c>
      <c r="HS4" s="63" t="inlineStr">
        <is>
          <t>R12</t>
        </is>
      </c>
      <c r="HT4" s="606" t="n"/>
      <c r="HU4" s="646" t="inlineStr">
        <is>
          <t>GA1</t>
        </is>
      </c>
      <c r="HV4" s="646" t="inlineStr">
        <is>
          <t>GA2</t>
        </is>
      </c>
      <c r="HW4" s="646" t="inlineStr">
        <is>
          <t>GA3</t>
        </is>
      </c>
      <c r="HX4" s="646" t="inlineStr">
        <is>
          <t>GA4</t>
        </is>
      </c>
      <c r="HY4" s="646" t="inlineStr">
        <is>
          <t>GA5</t>
        </is>
      </c>
      <c r="HZ4" s="646" t="inlineStr">
        <is>
          <t>GA6</t>
        </is>
      </c>
      <c r="IA4" s="646" t="inlineStr">
        <is>
          <t>GA7</t>
        </is>
      </c>
      <c r="IB4" s="646" t="inlineStr">
        <is>
          <t>GA8</t>
        </is>
      </c>
      <c r="IC4" s="646" t="inlineStr">
        <is>
          <t>GA9</t>
        </is>
      </c>
      <c r="ID4" s="646" t="inlineStr">
        <is>
          <t>GA10</t>
        </is>
      </c>
    </row>
    <row r="5" ht="26.45" customHeight="1" s="590">
      <c r="B5" s="606" t="n"/>
      <c r="C5" s="342" t="n"/>
      <c r="D5" s="608" t="n"/>
      <c r="E5" s="383" t="inlineStr">
        <is>
          <t>Theory</t>
        </is>
      </c>
      <c r="H5" s="384" t="inlineStr">
        <is>
          <t>Lab</t>
        </is>
      </c>
      <c r="J5" s="591" t="n"/>
      <c r="K5" s="383" t="inlineStr">
        <is>
          <t>Theory</t>
        </is>
      </c>
      <c r="N5" s="384" t="inlineStr">
        <is>
          <t>Lab</t>
        </is>
      </c>
      <c r="O5" s="591" t="n"/>
      <c r="P5" s="383" t="inlineStr">
        <is>
          <t>Theory</t>
        </is>
      </c>
      <c r="S5" s="384" t="inlineStr">
        <is>
          <t>Lab</t>
        </is>
      </c>
      <c r="T5" s="591" t="n"/>
      <c r="U5" s="647" t="inlineStr">
        <is>
          <t>Theory</t>
        </is>
      </c>
      <c r="V5" s="603" t="n"/>
      <c r="W5" s="603" t="n"/>
      <c r="X5" s="648" t="n"/>
      <c r="Y5" s="418" t="inlineStr">
        <is>
          <t>Theory</t>
        </is>
      </c>
      <c r="Z5" s="603" t="n"/>
      <c r="AA5" s="603" t="n"/>
      <c r="AB5" s="603" t="n"/>
      <c r="AC5" s="489" t="n"/>
      <c r="AD5" s="648" t="n"/>
      <c r="AE5" s="383" t="n"/>
      <c r="AF5" s="384" t="n"/>
      <c r="AG5" s="363" t="n"/>
      <c r="AH5" s="363" t="n"/>
      <c r="AI5" s="363" t="n"/>
      <c r="AJ5" s="363" t="n"/>
      <c r="AK5" s="363" t="inlineStr">
        <is>
          <t>Lab</t>
        </is>
      </c>
      <c r="AM5" s="383" t="n"/>
      <c r="AN5" s="363" t="n"/>
      <c r="AO5" s="384" t="n"/>
      <c r="AP5" s="363" t="n"/>
      <c r="AQ5" s="363" t="n"/>
      <c r="AR5" s="363" t="n"/>
      <c r="AS5" s="363" t="n"/>
      <c r="AT5" s="363" t="n"/>
      <c r="AU5" s="383" t="n"/>
      <c r="AV5" s="363" t="n"/>
      <c r="AW5" s="363" t="n"/>
      <c r="AX5" s="363" t="n"/>
      <c r="AY5" s="384" t="n"/>
      <c r="AZ5" s="383" t="n"/>
      <c r="BA5" s="363" t="n"/>
      <c r="BB5" s="363" t="n"/>
      <c r="BC5" s="384" t="n"/>
      <c r="BD5" s="383" t="n"/>
      <c r="BE5" s="363" t="n"/>
      <c r="BF5" s="384" t="n"/>
      <c r="BG5" s="383" t="n"/>
      <c r="BH5" s="363" t="n"/>
      <c r="BI5" s="384" t="n"/>
      <c r="BJ5" s="383" t="n"/>
      <c r="BK5" s="363" t="n"/>
      <c r="BL5" s="384" t="n"/>
      <c r="BM5" s="383" t="n"/>
      <c r="BN5" s="363" t="n"/>
      <c r="BO5" s="363" t="n"/>
      <c r="BP5" s="363" t="n"/>
      <c r="BQ5" s="363" t="n"/>
      <c r="BR5" s="363" t="n"/>
      <c r="BS5" s="384" t="n"/>
      <c r="BT5" s="383" t="n"/>
      <c r="BU5" s="383" t="inlineStr">
        <is>
          <t>Theory</t>
        </is>
      </c>
      <c r="BY5" s="363" t="inlineStr">
        <is>
          <t>Lab</t>
        </is>
      </c>
      <c r="CA5" s="362" t="n"/>
      <c r="CB5" s="362" t="n"/>
      <c r="CC5" s="362" t="n"/>
      <c r="CD5" s="362" t="n"/>
      <c r="CE5" s="362" t="n"/>
      <c r="CF5" s="133" t="n"/>
      <c r="CG5" s="362" t="n"/>
      <c r="CH5" s="363" t="n"/>
      <c r="CI5" s="364" t="inlineStr">
        <is>
          <t>Lab</t>
        </is>
      </c>
      <c r="CJ5" s="649" t="n"/>
      <c r="CK5" s="133" t="inlineStr">
        <is>
          <t>Theory</t>
        </is>
      </c>
      <c r="CM5" s="649" t="n"/>
      <c r="CN5" s="362" t="inlineStr">
        <is>
          <t>Lab</t>
        </is>
      </c>
      <c r="CP5" s="133" t="inlineStr">
        <is>
          <t>GA 2</t>
        </is>
      </c>
      <c r="CQ5" s="133" t="inlineStr">
        <is>
          <t>GA 3</t>
        </is>
      </c>
      <c r="CR5" s="133" t="inlineStr">
        <is>
          <t>GA 5</t>
        </is>
      </c>
      <c r="CS5" s="362" t="n"/>
      <c r="CT5" s="364" t="n"/>
      <c r="CU5" s="133" t="n"/>
      <c r="CV5" s="383" t="inlineStr">
        <is>
          <t>Theory</t>
        </is>
      </c>
      <c r="CY5" s="384" t="inlineStr">
        <is>
          <t>Lab</t>
        </is>
      </c>
      <c r="CZ5" s="591" t="n"/>
      <c r="DA5" s="133" t="inlineStr">
        <is>
          <t>Theory</t>
        </is>
      </c>
      <c r="DC5" s="649" t="n"/>
      <c r="DD5" s="362" t="inlineStr">
        <is>
          <t>Lab</t>
        </is>
      </c>
      <c r="DF5" s="363" t="inlineStr">
        <is>
          <t>Theory</t>
        </is>
      </c>
      <c r="DI5" s="363" t="inlineStr">
        <is>
          <t>Lab</t>
        </is>
      </c>
      <c r="DK5" s="362" t="inlineStr">
        <is>
          <t>Theory</t>
        </is>
      </c>
      <c r="DO5" s="363" t="inlineStr">
        <is>
          <t>Lab</t>
        </is>
      </c>
      <c r="DQ5" s="363" t="n"/>
      <c r="DR5" s="363" t="n"/>
      <c r="DS5" s="363" t="n"/>
      <c r="DT5" s="136" t="n"/>
      <c r="DU5" s="136" t="n"/>
      <c r="DV5" s="363" t="n"/>
      <c r="DW5" s="363" t="n"/>
      <c r="DX5" s="362" t="n"/>
      <c r="DY5" s="363" t="n"/>
      <c r="DZ5" s="383" t="n"/>
      <c r="EA5" s="383" t="n"/>
      <c r="EB5" s="383" t="n"/>
      <c r="EC5" s="363" t="n"/>
      <c r="ED5" s="363" t="n"/>
      <c r="EE5" s="356" t="inlineStr">
        <is>
          <t>Theory</t>
        </is>
      </c>
      <c r="EH5" s="53" t="inlineStr">
        <is>
          <t>Lab</t>
        </is>
      </c>
      <c r="EI5" s="591" t="n"/>
      <c r="EJ5" s="362" t="n"/>
      <c r="EK5" s="363" t="n"/>
      <c r="EL5" s="363" t="n"/>
      <c r="EM5" s="363" t="n"/>
      <c r="EN5" s="362" t="n"/>
      <c r="EO5" s="362" t="n"/>
      <c r="EP5" s="362" t="inlineStr">
        <is>
          <t>Theory</t>
        </is>
      </c>
      <c r="ET5" s="363" t="inlineStr">
        <is>
          <t>Lab</t>
        </is>
      </c>
      <c r="EV5" s="363" t="n"/>
      <c r="EW5" s="363" t="n"/>
      <c r="EX5" s="363" t="n"/>
      <c r="EY5" s="362" t="inlineStr">
        <is>
          <t>Theory</t>
        </is>
      </c>
      <c r="FB5" s="362" t="inlineStr">
        <is>
          <t>Theory</t>
        </is>
      </c>
      <c r="FF5" s="362" t="inlineStr">
        <is>
          <t>Lab</t>
        </is>
      </c>
      <c r="FH5" s="383" t="inlineStr">
        <is>
          <t>Theory</t>
        </is>
      </c>
      <c r="FK5" s="384" t="inlineStr">
        <is>
          <t>Lab</t>
        </is>
      </c>
      <c r="FL5" s="591" t="n"/>
      <c r="FM5" s="363" t="n"/>
      <c r="FN5" s="384" t="n"/>
      <c r="FO5" s="383" t="inlineStr">
        <is>
          <t>Theory</t>
        </is>
      </c>
      <c r="FR5" s="384" t="inlineStr">
        <is>
          <t>Lab</t>
        </is>
      </c>
      <c r="FS5" s="591" t="n"/>
      <c r="FT5" s="54" t="n"/>
      <c r="FU5" s="55" t="n"/>
      <c r="FV5" s="55" t="n"/>
      <c r="FW5" s="55" t="n"/>
      <c r="FX5" s="55" t="n"/>
      <c r="FY5" s="55" t="n"/>
      <c r="FZ5" s="55" t="n"/>
      <c r="GA5" s="55" t="n"/>
      <c r="GB5" s="55" t="n"/>
      <c r="GC5" s="55" t="n"/>
      <c r="GD5" s="55" t="n"/>
      <c r="GE5" s="53" t="n"/>
      <c r="GF5" s="362" t="n"/>
      <c r="GG5" s="363" t="n"/>
      <c r="GH5" s="363" t="n"/>
      <c r="GI5" s="364" t="n"/>
      <c r="GJ5" s="363" t="n"/>
      <c r="GK5" s="363" t="n"/>
      <c r="GL5" s="363" t="n"/>
      <c r="GM5" s="363" t="n"/>
      <c r="GN5" s="356" t="inlineStr">
        <is>
          <t>Theory</t>
        </is>
      </c>
      <c r="GQ5" s="53" t="inlineStr">
        <is>
          <t>Lab</t>
        </is>
      </c>
      <c r="GR5" s="591" t="n"/>
      <c r="GS5" s="356" t="inlineStr">
        <is>
          <t>Theory</t>
        </is>
      </c>
      <c r="GV5" s="53" t="inlineStr">
        <is>
          <t>Lab</t>
        </is>
      </c>
      <c r="GW5" s="591" t="n"/>
      <c r="GX5" s="362" t="n"/>
      <c r="GY5" s="363" t="n"/>
      <c r="GZ5" s="363" t="n"/>
      <c r="HA5" s="356" t="n"/>
      <c r="HB5" s="358" t="n"/>
      <c r="HC5" s="53" t="n"/>
      <c r="HD5" s="363" t="n"/>
      <c r="HE5" s="363" t="n"/>
      <c r="HF5" s="363" t="n"/>
      <c r="HG5" s="363" t="n"/>
      <c r="HH5" s="54" t="n"/>
      <c r="HI5" s="55" t="n"/>
      <c r="HJ5" s="55" t="n"/>
      <c r="HK5" s="55" t="n"/>
      <c r="HL5" s="55" t="n"/>
      <c r="HM5" s="55" t="n"/>
      <c r="HN5" s="55" t="n"/>
      <c r="HO5" s="55" t="n"/>
      <c r="HP5" s="55" t="n"/>
      <c r="HQ5" s="55" t="n"/>
      <c r="HR5" s="358" t="n"/>
      <c r="HS5" s="359" t="n"/>
      <c r="HT5" s="606" t="n"/>
      <c r="HU5" s="606" t="n"/>
      <c r="HV5" s="606" t="n"/>
      <c r="HW5" s="606" t="n"/>
      <c r="HX5" s="606" t="n"/>
      <c r="HY5" s="606" t="n"/>
      <c r="HZ5" s="606" t="n"/>
      <c r="IA5" s="606" t="n"/>
      <c r="IB5" s="606" t="n"/>
      <c r="IC5" s="606" t="n"/>
      <c r="ID5" s="606" t="n"/>
    </row>
    <row r="6" ht="24" customHeight="1" s="590">
      <c r="B6" s="652" t="n"/>
      <c r="C6" s="343" t="n"/>
      <c r="D6" s="650" t="n"/>
      <c r="E6" s="490" t="inlineStr">
        <is>
          <t>GA2</t>
        </is>
      </c>
      <c r="F6" s="360" t="inlineStr">
        <is>
          <t>GA 2</t>
        </is>
      </c>
      <c r="G6" s="360" t="inlineStr">
        <is>
          <t>GA5</t>
        </is>
      </c>
      <c r="H6" s="360" t="inlineStr">
        <is>
          <t>GA7</t>
        </is>
      </c>
      <c r="I6" s="360" t="inlineStr">
        <is>
          <t>GA 2</t>
        </is>
      </c>
      <c r="J6" s="361" t="inlineStr">
        <is>
          <t>GA6</t>
        </is>
      </c>
      <c r="K6" s="490" t="inlineStr">
        <is>
          <t>GA1</t>
        </is>
      </c>
      <c r="L6" s="360" t="inlineStr">
        <is>
          <t>GA 2</t>
        </is>
      </c>
      <c r="M6" s="360" t="inlineStr">
        <is>
          <t>GA2</t>
        </is>
      </c>
      <c r="N6" s="490" t="inlineStr">
        <is>
          <t>GA1</t>
        </is>
      </c>
      <c r="O6" s="598" t="n"/>
      <c r="P6" s="490" t="inlineStr">
        <is>
          <t>GA 1</t>
        </is>
      </c>
      <c r="Q6" s="360" t="inlineStr">
        <is>
          <t>GA 2</t>
        </is>
      </c>
      <c r="R6" s="360" t="inlineStr">
        <is>
          <t>GA 4</t>
        </is>
      </c>
      <c r="S6" s="360" t="inlineStr">
        <is>
          <t>GA 2</t>
        </is>
      </c>
      <c r="T6" s="360" t="inlineStr">
        <is>
          <t>GA 5</t>
        </is>
      </c>
      <c r="U6" s="123" t="inlineStr">
        <is>
          <t>GA 1</t>
        </is>
      </c>
      <c r="V6" s="124" t="inlineStr">
        <is>
          <t>GA 2</t>
        </is>
      </c>
      <c r="W6" s="124" t="inlineStr">
        <is>
          <t>GA 3</t>
        </is>
      </c>
      <c r="X6" s="125" t="inlineStr">
        <is>
          <t>GA 4</t>
        </is>
      </c>
      <c r="Y6" s="123" t="inlineStr">
        <is>
          <t>GA 5</t>
        </is>
      </c>
      <c r="Z6" s="124" t="inlineStr">
        <is>
          <t>GA 5</t>
        </is>
      </c>
      <c r="AA6" s="124" t="inlineStr">
        <is>
          <t>GA 7</t>
        </is>
      </c>
      <c r="AB6" s="124" t="inlineStr">
        <is>
          <t>GA 2</t>
        </is>
      </c>
      <c r="AC6" s="124" t="n"/>
      <c r="AD6" s="125" t="n"/>
      <c r="AE6" s="130" t="inlineStr">
        <is>
          <t>GA10</t>
        </is>
      </c>
      <c r="AF6" s="629" t="n"/>
      <c r="AG6" s="490" t="inlineStr">
        <is>
          <t>GA 2</t>
        </is>
      </c>
      <c r="AH6" s="598" t="n"/>
      <c r="AI6" s="360" t="inlineStr">
        <is>
          <t>GA 4</t>
        </is>
      </c>
      <c r="AJ6" s="598" t="n"/>
      <c r="AK6" s="360" t="inlineStr">
        <is>
          <t>GA 4</t>
        </is>
      </c>
      <c r="AL6" s="372" t="inlineStr">
        <is>
          <t xml:space="preserve">GA 5 </t>
        </is>
      </c>
      <c r="AM6" s="130" t="inlineStr">
        <is>
          <t>GA1</t>
        </is>
      </c>
      <c r="AN6" s="598" t="n"/>
      <c r="AO6" s="629" t="n"/>
      <c r="AP6" s="124" t="inlineStr">
        <is>
          <t>GA1</t>
        </is>
      </c>
      <c r="AQ6" s="360" t="inlineStr">
        <is>
          <t>GA 2</t>
        </is>
      </c>
      <c r="AR6" s="598" t="n"/>
      <c r="AS6" s="598" t="n"/>
      <c r="AT6" s="598" t="n"/>
      <c r="AU6" s="73" t="inlineStr">
        <is>
          <t>GA1</t>
        </is>
      </c>
      <c r="AV6" s="598" t="n"/>
      <c r="AW6" s="598" t="n"/>
      <c r="AX6" s="599" t="n"/>
      <c r="AY6" s="89" t="inlineStr">
        <is>
          <t>GA4</t>
        </is>
      </c>
      <c r="AZ6" s="130" t="inlineStr">
        <is>
          <t>GA1</t>
        </is>
      </c>
      <c r="BA6" s="89" t="inlineStr">
        <is>
          <t>GA2</t>
        </is>
      </c>
      <c r="BB6" s="89" t="inlineStr">
        <is>
          <t>GA1</t>
        </is>
      </c>
      <c r="BC6" s="89" t="inlineStr">
        <is>
          <t>GA2</t>
        </is>
      </c>
      <c r="BD6" s="73" t="inlineStr">
        <is>
          <t>GA5</t>
        </is>
      </c>
      <c r="BE6" s="599" t="n"/>
      <c r="BF6" s="89" t="inlineStr">
        <is>
          <t>GA1</t>
        </is>
      </c>
      <c r="BG6" s="73" t="inlineStr">
        <is>
          <t>GA2</t>
        </is>
      </c>
      <c r="BH6" s="599" t="n"/>
      <c r="BI6" s="89" t="inlineStr">
        <is>
          <t>GA4</t>
        </is>
      </c>
      <c r="BJ6" s="130" t="inlineStr">
        <is>
          <t>GA6</t>
        </is>
      </c>
      <c r="BK6" s="89" t="inlineStr">
        <is>
          <t>GA7</t>
        </is>
      </c>
      <c r="BL6" s="89" t="inlineStr">
        <is>
          <t>GA8</t>
        </is>
      </c>
      <c r="BM6" s="73" t="inlineStr">
        <is>
          <t>GA1</t>
        </is>
      </c>
      <c r="BN6" s="598" t="n"/>
      <c r="BO6" s="598" t="n"/>
      <c r="BP6" s="598" t="n"/>
      <c r="BQ6" s="599" t="n"/>
      <c r="BR6" s="89" t="inlineStr">
        <is>
          <t>GA8</t>
        </is>
      </c>
      <c r="BS6" s="89" t="inlineStr">
        <is>
          <t>GA10</t>
        </is>
      </c>
      <c r="BT6" s="130" t="inlineStr">
        <is>
          <t>GA1</t>
        </is>
      </c>
      <c r="BU6" s="130" t="inlineStr">
        <is>
          <t>GA2</t>
        </is>
      </c>
      <c r="BV6" s="629" t="n"/>
      <c r="BW6" s="361" t="inlineStr">
        <is>
          <t>GA 5</t>
        </is>
      </c>
      <c r="BX6" s="629" t="n"/>
      <c r="BY6" s="89" t="inlineStr">
        <is>
          <t>GA 2</t>
        </is>
      </c>
      <c r="BZ6" s="372" t="inlineStr">
        <is>
          <t>GA5</t>
        </is>
      </c>
      <c r="CA6" s="89" t="inlineStr">
        <is>
          <t>GA2</t>
        </is>
      </c>
      <c r="CB6" s="89" t="inlineStr">
        <is>
          <t>GA3</t>
        </is>
      </c>
      <c r="CC6" s="89" t="inlineStr">
        <is>
          <t>GA2</t>
        </is>
      </c>
      <c r="CD6" s="89" t="inlineStr">
        <is>
          <t>GA4</t>
        </is>
      </c>
      <c r="CE6" s="89" t="inlineStr">
        <is>
          <t>GA8</t>
        </is>
      </c>
      <c r="CF6" s="134" t="inlineStr">
        <is>
          <t>GA10</t>
        </is>
      </c>
      <c r="CG6" s="135" t="inlineStr">
        <is>
          <t>GA 2</t>
        </is>
      </c>
      <c r="CH6" s="136" t="inlineStr">
        <is>
          <t>GA 5</t>
        </is>
      </c>
      <c r="CI6" s="136" t="inlineStr">
        <is>
          <t>GA 2</t>
        </is>
      </c>
      <c r="CJ6" s="104" t="inlineStr">
        <is>
          <t>GA 3</t>
        </is>
      </c>
      <c r="CK6" s="89" t="inlineStr">
        <is>
          <t>GA2</t>
        </is>
      </c>
      <c r="CL6" s="89" t="inlineStr">
        <is>
          <t>GA3</t>
        </is>
      </c>
      <c r="CM6" s="89" t="inlineStr">
        <is>
          <t>GA5</t>
        </is>
      </c>
      <c r="CN6" s="89" t="inlineStr">
        <is>
          <t>GA8</t>
        </is>
      </c>
      <c r="CO6" s="372" t="inlineStr">
        <is>
          <t>GA10</t>
        </is>
      </c>
      <c r="CP6" s="134" t="inlineStr">
        <is>
          <t>PLO10</t>
        </is>
      </c>
      <c r="CQ6" s="134" t="inlineStr">
        <is>
          <t>PLO9</t>
        </is>
      </c>
      <c r="CR6" s="134" t="inlineStr">
        <is>
          <t>PLO5</t>
        </is>
      </c>
      <c r="CS6" s="133" t="inlineStr">
        <is>
          <t>PLO1</t>
        </is>
      </c>
      <c r="CT6" s="649" t="n"/>
      <c r="CU6" s="134" t="inlineStr">
        <is>
          <t>PLO3</t>
        </is>
      </c>
      <c r="CV6" s="73" t="inlineStr">
        <is>
          <t>GA 1</t>
        </is>
      </c>
      <c r="CW6" s="372" t="inlineStr">
        <is>
          <t>GA 2</t>
        </is>
      </c>
      <c r="CX6" s="360" t="inlineStr">
        <is>
          <t>GA 3</t>
        </is>
      </c>
      <c r="CY6" s="360" t="inlineStr">
        <is>
          <t>GA 4</t>
        </is>
      </c>
      <c r="CZ6" s="361" t="inlineStr">
        <is>
          <t>GA 5</t>
        </is>
      </c>
      <c r="DA6" s="89" t="inlineStr">
        <is>
          <t>GA2</t>
        </is>
      </c>
      <c r="DB6" s="89" t="inlineStr">
        <is>
          <t>GA3</t>
        </is>
      </c>
      <c r="DC6" s="89" t="inlineStr">
        <is>
          <t>GA5</t>
        </is>
      </c>
      <c r="DD6" s="89" t="inlineStr">
        <is>
          <t>GA8</t>
        </is>
      </c>
      <c r="DE6" s="372" t="inlineStr">
        <is>
          <t>GA10</t>
        </is>
      </c>
      <c r="DF6" s="490" t="inlineStr">
        <is>
          <t>GA 1</t>
        </is>
      </c>
      <c r="DG6" s="360" t="inlineStr">
        <is>
          <t>GA 2</t>
        </is>
      </c>
      <c r="DH6" s="360" t="inlineStr">
        <is>
          <t>GA 5</t>
        </is>
      </c>
      <c r="DI6" s="361" t="inlineStr">
        <is>
          <t>GA 5</t>
        </is>
      </c>
      <c r="DJ6" s="629" t="n"/>
      <c r="DK6" s="166" t="inlineStr">
        <is>
          <t>GA 1</t>
        </is>
      </c>
      <c r="DL6" s="125" t="inlineStr">
        <is>
          <t>GA 3</t>
        </is>
      </c>
      <c r="DM6" s="73" t="inlineStr">
        <is>
          <t>GA 4</t>
        </is>
      </c>
      <c r="DN6" s="73" t="inlineStr">
        <is>
          <t>GA 5</t>
        </is>
      </c>
      <c r="DO6" s="73" t="inlineStr">
        <is>
          <t>GA 4</t>
        </is>
      </c>
      <c r="DP6" s="599" t="n"/>
      <c r="DQ6" s="490" t="inlineStr">
        <is>
          <t>PLO2</t>
        </is>
      </c>
      <c r="DR6" s="598" t="n"/>
      <c r="DS6" s="598" t="n"/>
      <c r="DT6" s="124" t="inlineStr">
        <is>
          <t>PLO3</t>
        </is>
      </c>
      <c r="DU6" s="125" t="inlineStr">
        <is>
          <t>PLO5</t>
        </is>
      </c>
      <c r="DV6" s="73" t="inlineStr">
        <is>
          <t>PLO8</t>
        </is>
      </c>
      <c r="DW6" s="73" t="inlineStr">
        <is>
          <t>PLO10</t>
        </is>
      </c>
      <c r="DX6" s="89" t="inlineStr">
        <is>
          <t>PLO2</t>
        </is>
      </c>
      <c r="DY6" s="629" t="n"/>
      <c r="DZ6" s="73" t="inlineStr">
        <is>
          <t>PLO3</t>
        </is>
      </c>
      <c r="EA6" s="73" t="inlineStr">
        <is>
          <t>PLO5</t>
        </is>
      </c>
      <c r="EB6" s="73" t="inlineStr">
        <is>
          <t>PLO1</t>
        </is>
      </c>
      <c r="EC6" s="73" t="inlineStr">
        <is>
          <t>PLO8</t>
        </is>
      </c>
      <c r="ED6" s="73" t="inlineStr">
        <is>
          <t>PLO10</t>
        </is>
      </c>
      <c r="EE6" s="27" t="inlineStr">
        <is>
          <t>GA 1</t>
        </is>
      </c>
      <c r="EF6" s="27" t="inlineStr">
        <is>
          <t>GA 3</t>
        </is>
      </c>
      <c r="EG6" s="651" t="n"/>
      <c r="EH6" s="27" t="inlineStr">
        <is>
          <t>GA 1</t>
        </is>
      </c>
      <c r="EI6" s="27" t="inlineStr">
        <is>
          <t>GA 3</t>
        </is>
      </c>
      <c r="EJ6" s="134" t="inlineStr">
        <is>
          <t>PLO1</t>
        </is>
      </c>
      <c r="EK6" s="373" t="inlineStr">
        <is>
          <t>PLO3</t>
        </is>
      </c>
      <c r="EL6" s="373" t="inlineStr">
        <is>
          <t>PLO2</t>
        </is>
      </c>
      <c r="EM6" s="373" t="inlineStr">
        <is>
          <t>PLO5</t>
        </is>
      </c>
      <c r="EN6" s="73" t="inlineStr">
        <is>
          <t>PLO8</t>
        </is>
      </c>
      <c r="EO6" s="73" t="inlineStr">
        <is>
          <t>PLO10</t>
        </is>
      </c>
      <c r="EP6" s="372" t="inlineStr">
        <is>
          <t>GA 1</t>
        </is>
      </c>
      <c r="EQ6" s="360" t="inlineStr">
        <is>
          <t>GA 2</t>
        </is>
      </c>
      <c r="ER6" s="360" t="inlineStr">
        <is>
          <t>GA 3</t>
        </is>
      </c>
      <c r="ES6" s="360" t="inlineStr">
        <is>
          <t>GA 4</t>
        </is>
      </c>
      <c r="ET6" s="360" t="n"/>
      <c r="EU6" s="373" t="n"/>
      <c r="EV6" s="134" t="inlineStr">
        <is>
          <t>GA 1</t>
        </is>
      </c>
      <c r="EW6" s="73" t="inlineStr">
        <is>
          <t>GA 7</t>
        </is>
      </c>
      <c r="EX6" s="73" t="inlineStr">
        <is>
          <t>GA 8</t>
        </is>
      </c>
      <c r="EY6" s="134" t="inlineStr">
        <is>
          <t>GA 1</t>
        </is>
      </c>
      <c r="EZ6" s="373" t="inlineStr">
        <is>
          <t>GA 2</t>
        </is>
      </c>
      <c r="FA6" s="373" t="inlineStr">
        <is>
          <t>GA 9</t>
        </is>
      </c>
      <c r="FB6" s="134" t="inlineStr">
        <is>
          <t>GA2</t>
        </is>
      </c>
      <c r="FC6" s="373" t="inlineStr">
        <is>
          <t>GA 2</t>
        </is>
      </c>
      <c r="FD6" s="373" t="inlineStr">
        <is>
          <t>GA 3</t>
        </is>
      </c>
      <c r="FE6" s="73" t="inlineStr">
        <is>
          <t>GA 5</t>
        </is>
      </c>
      <c r="FF6" s="73" t="inlineStr">
        <is>
          <t>GA 3</t>
        </is>
      </c>
      <c r="FG6" s="73" t="inlineStr">
        <is>
          <t>GA 4</t>
        </is>
      </c>
      <c r="FH6" s="73" t="inlineStr">
        <is>
          <t>GA 1</t>
        </is>
      </c>
      <c r="FI6" s="372" t="inlineStr">
        <is>
          <t>GA 2</t>
        </is>
      </c>
      <c r="FJ6" s="360" t="inlineStr">
        <is>
          <t>GA 3</t>
        </is>
      </c>
      <c r="FK6" s="360" t="inlineStr">
        <is>
          <t>GA 4</t>
        </is>
      </c>
      <c r="FL6" s="361" t="inlineStr">
        <is>
          <t>GA 5</t>
        </is>
      </c>
      <c r="FM6" s="373" t="inlineStr">
        <is>
          <t>PLO4</t>
        </is>
      </c>
      <c r="FN6" s="89" t="inlineStr">
        <is>
          <t>PLO5</t>
        </is>
      </c>
      <c r="FO6" s="490" t="inlineStr">
        <is>
          <t>GA 1</t>
        </is>
      </c>
      <c r="FP6" s="360" t="inlineStr">
        <is>
          <t>GA 2</t>
        </is>
      </c>
      <c r="FQ6" s="360" t="inlineStr">
        <is>
          <t>GA 3</t>
        </is>
      </c>
      <c r="FR6" s="360" t="inlineStr">
        <is>
          <t>GA 1</t>
        </is>
      </c>
      <c r="FS6" s="361" t="inlineStr">
        <is>
          <t>GA 3</t>
        </is>
      </c>
      <c r="FT6" s="57" t="inlineStr">
        <is>
          <t>GA1</t>
        </is>
      </c>
      <c r="FU6" s="58" t="inlineStr">
        <is>
          <t>GA2</t>
        </is>
      </c>
      <c r="FV6" s="58" t="inlineStr">
        <is>
          <t>GA3</t>
        </is>
      </c>
      <c r="FW6" s="58" t="inlineStr">
        <is>
          <t>GA4</t>
        </is>
      </c>
      <c r="FX6" s="58" t="inlineStr">
        <is>
          <t>GA5</t>
        </is>
      </c>
      <c r="FY6" s="58" t="inlineStr">
        <is>
          <t>GA6</t>
        </is>
      </c>
      <c r="FZ6" s="58" t="inlineStr">
        <is>
          <t>GA7</t>
        </is>
      </c>
      <c r="GA6" s="58" t="inlineStr">
        <is>
          <t>GA8</t>
        </is>
      </c>
      <c r="GB6" s="58" t="inlineStr">
        <is>
          <t>GA9</t>
        </is>
      </c>
      <c r="GC6" s="58" t="inlineStr">
        <is>
          <t>GA10</t>
        </is>
      </c>
      <c r="GD6" s="58" t="inlineStr">
        <is>
          <t>GA11</t>
        </is>
      </c>
      <c r="GE6" s="27" t="inlineStr">
        <is>
          <t>GA12</t>
        </is>
      </c>
      <c r="GF6" s="133" t="n"/>
      <c r="GI6" s="649" t="n"/>
      <c r="GJ6" s="364" t="n"/>
      <c r="GK6" s="364" t="n"/>
      <c r="GL6" s="364" t="n"/>
      <c r="GM6" s="364" t="n"/>
      <c r="GN6" s="27" t="inlineStr">
        <is>
          <t>GA 1</t>
        </is>
      </c>
      <c r="GO6" s="27" t="inlineStr">
        <is>
          <t>GA 3</t>
        </is>
      </c>
      <c r="GP6" s="651" t="n"/>
      <c r="GQ6" s="27" t="inlineStr">
        <is>
          <t>GA 1</t>
        </is>
      </c>
      <c r="GR6" s="27" t="inlineStr">
        <is>
          <t>GA 3</t>
        </is>
      </c>
      <c r="GS6" s="516" t="inlineStr">
        <is>
          <t>GA 1</t>
        </is>
      </c>
      <c r="GT6" s="366" t="inlineStr">
        <is>
          <t>GA 2</t>
        </is>
      </c>
      <c r="GU6" s="27" t="inlineStr">
        <is>
          <t>GA 5</t>
        </is>
      </c>
      <c r="GV6" s="27" t="inlineStr">
        <is>
          <t>GA 5</t>
        </is>
      </c>
      <c r="GW6" s="651" t="n"/>
      <c r="GX6" s="134" t="inlineStr">
        <is>
          <t>PLO1</t>
        </is>
      </c>
      <c r="GY6" s="598" t="n"/>
      <c r="GZ6" s="599" t="n"/>
      <c r="HA6" s="56" t="inlineStr">
        <is>
          <t>PLO1</t>
        </is>
      </c>
      <c r="HB6" s="27" t="inlineStr">
        <is>
          <t>PLO2</t>
        </is>
      </c>
      <c r="HC6" s="27" t="inlineStr">
        <is>
          <t>PLO5</t>
        </is>
      </c>
      <c r="HD6" s="364" t="n"/>
      <c r="HE6" s="364" t="n"/>
      <c r="HF6" s="364" t="n"/>
      <c r="HG6" s="364" t="n"/>
      <c r="HH6" s="57" t="inlineStr">
        <is>
          <t>GA1</t>
        </is>
      </c>
      <c r="HI6" s="58" t="inlineStr">
        <is>
          <t>GA2</t>
        </is>
      </c>
      <c r="HJ6" s="58" t="inlineStr">
        <is>
          <t>GA3</t>
        </is>
      </c>
      <c r="HK6" s="58" t="inlineStr">
        <is>
          <t>GA4</t>
        </is>
      </c>
      <c r="HL6" s="58" t="inlineStr">
        <is>
          <t>GA5</t>
        </is>
      </c>
      <c r="HM6" s="58" t="inlineStr">
        <is>
          <t>GA6</t>
        </is>
      </c>
      <c r="HN6" s="58" t="inlineStr">
        <is>
          <t>GA7</t>
        </is>
      </c>
      <c r="HO6" s="58" t="inlineStr">
        <is>
          <t>GA8</t>
        </is>
      </c>
      <c r="HP6" s="58" t="inlineStr">
        <is>
          <t>GA9</t>
        </is>
      </c>
      <c r="HQ6" s="58" t="inlineStr">
        <is>
          <t>GA10</t>
        </is>
      </c>
      <c r="HR6" s="365" t="inlineStr">
        <is>
          <t>GA11</t>
        </is>
      </c>
      <c r="HS6" s="56" t="inlineStr">
        <is>
          <t>GA12</t>
        </is>
      </c>
      <c r="HT6" s="606" t="n"/>
      <c r="HU6" s="652" t="n"/>
      <c r="HV6" s="652" t="n"/>
      <c r="HW6" s="652" t="n"/>
      <c r="HX6" s="652" t="n"/>
      <c r="HY6" s="652" t="n"/>
      <c r="HZ6" s="652" t="n"/>
      <c r="IA6" s="652" t="n"/>
      <c r="IB6" s="652" t="n"/>
      <c r="IC6" s="652" t="n"/>
      <c r="ID6" s="652" t="n"/>
    </row>
    <row r="7" ht="18" customHeight="1" s="590">
      <c r="B7" s="12" t="n">
        <v>1</v>
      </c>
      <c r="C7" s="203" t="inlineStr">
        <is>
          <t>052-25-26075</t>
        </is>
      </c>
      <c r="D7" s="14" t="inlineStr">
        <is>
          <t>Wahaj Nawaz Khan</t>
        </is>
      </c>
      <c r="E7" s="114" t="n">
        <v>0</v>
      </c>
      <c r="F7" s="115" t="n">
        <v>0</v>
      </c>
      <c r="G7" s="115" t="n">
        <v>0</v>
      </c>
      <c r="H7" s="510" t="n">
        <v>0</v>
      </c>
      <c r="I7" s="510" t="n">
        <v>0</v>
      </c>
      <c r="J7" s="117" t="n">
        <v>0</v>
      </c>
      <c r="K7" s="561" t="n">
        <v>0</v>
      </c>
      <c r="L7" s="583" t="n">
        <v>0</v>
      </c>
      <c r="M7" s="546" t="n">
        <v>0</v>
      </c>
      <c r="N7" s="117" t="n">
        <v>83.92</v>
      </c>
      <c r="O7" s="663" t="n"/>
      <c r="P7" s="561" t="n">
        <v>68</v>
      </c>
      <c r="Q7" s="583" t="n">
        <v>56.11</v>
      </c>
      <c r="R7" s="546" t="n">
        <v>50</v>
      </c>
      <c r="S7" s="115" t="n">
        <v>67.27</v>
      </c>
      <c r="T7" s="117" t="n">
        <v>83.33</v>
      </c>
      <c r="U7" s="225" t="n">
        <v>0</v>
      </c>
      <c r="V7" s="543" t="n">
        <v>0</v>
      </c>
      <c r="W7" s="548" t="n">
        <v>0</v>
      </c>
      <c r="X7" s="548" t="n">
        <v>0</v>
      </c>
      <c r="Y7" s="114" t="n">
        <v>0</v>
      </c>
      <c r="Z7" s="115" t="n">
        <v>0</v>
      </c>
      <c r="AA7" s="510" t="n">
        <v>0</v>
      </c>
      <c r="AB7" s="117" t="n">
        <v>0</v>
      </c>
      <c r="AC7" s="117" t="n"/>
      <c r="AD7" s="117" t="n"/>
      <c r="AE7" s="114" t="n"/>
      <c r="AF7" s="117" t="n"/>
      <c r="AG7" s="128" t="n"/>
      <c r="AH7" s="128" t="n"/>
      <c r="AI7" s="128" t="n"/>
      <c r="AJ7" s="128" t="n"/>
      <c r="AK7" s="543" t="n"/>
      <c r="AL7" s="543" t="n"/>
      <c r="AM7" s="127" t="n"/>
      <c r="AN7" s="128" t="n"/>
      <c r="AO7" s="131" t="n"/>
      <c r="AP7" s="127" t="n"/>
      <c r="AQ7" s="128" t="n"/>
      <c r="AR7" s="128" t="n"/>
      <c r="AS7" s="128" t="n"/>
      <c r="AT7" s="131" t="n"/>
      <c r="AU7" s="127" t="n"/>
      <c r="AV7" s="128" t="n"/>
      <c r="AW7" s="128" t="n"/>
      <c r="AX7" s="128" t="n"/>
      <c r="AY7" s="131" t="n"/>
      <c r="AZ7" s="127" t="n"/>
      <c r="BA7" s="128" t="n"/>
      <c r="BB7" s="128" t="n"/>
      <c r="BC7" s="131" t="n"/>
      <c r="BD7" s="131" t="n"/>
      <c r="BE7" s="131" t="n"/>
      <c r="BF7" s="131" t="n"/>
      <c r="BG7" s="114" t="n"/>
      <c r="BH7" s="546" t="n"/>
      <c r="BI7" s="511" t="n"/>
      <c r="BJ7" s="114" t="n"/>
      <c r="BK7" s="546" t="n"/>
      <c r="BL7" s="511" t="n"/>
      <c r="BM7" s="114" t="n"/>
      <c r="BN7" s="546" t="n"/>
      <c r="BO7" s="546" t="n"/>
      <c r="BP7" s="546" t="n"/>
      <c r="BQ7" s="546" t="n"/>
      <c r="BR7" s="546" t="n"/>
      <c r="BS7" s="511" t="n"/>
      <c r="BT7" s="546" t="n"/>
      <c r="BU7" s="546" t="n"/>
      <c r="BV7" s="546" t="n"/>
      <c r="BW7" s="546" t="n"/>
      <c r="BX7" s="546" t="n"/>
      <c r="BY7" s="546" t="n"/>
      <c r="BZ7" s="546" t="n"/>
      <c r="CA7" s="15" t="n"/>
      <c r="CB7" s="546" t="n"/>
      <c r="CC7" s="546" t="n"/>
      <c r="CD7" s="546" t="n"/>
      <c r="CE7" s="546" t="n"/>
      <c r="CF7" s="546" t="n"/>
      <c r="CG7" s="15" t="n"/>
      <c r="CH7" s="546" t="n"/>
      <c r="CI7" s="546" t="n"/>
      <c r="CJ7" s="17" t="n"/>
      <c r="CK7" s="546" t="n"/>
      <c r="CL7" s="546" t="n"/>
      <c r="CM7" s="546" t="n"/>
      <c r="CN7" s="546" t="n"/>
      <c r="CO7" s="583" t="n"/>
      <c r="CP7" s="15" t="n"/>
      <c r="CQ7" s="15" t="n"/>
      <c r="CR7" s="15" t="n"/>
      <c r="CS7" s="15" t="n"/>
      <c r="CT7" s="546" t="n"/>
      <c r="CU7" s="17" t="n"/>
      <c r="CV7" s="74" t="n"/>
      <c r="CW7" s="75" t="n"/>
      <c r="CX7" s="76" t="n"/>
      <c r="CY7" s="76" t="n"/>
      <c r="CZ7" s="91" t="n"/>
      <c r="DA7" s="546" t="n"/>
      <c r="DB7" s="546" t="n"/>
      <c r="DC7" s="546" t="n"/>
      <c r="DD7" s="546" t="n"/>
      <c r="DE7" s="583" t="n"/>
      <c r="DF7" s="141" t="n"/>
      <c r="DG7" s="512" t="n"/>
      <c r="DH7" s="512" t="n"/>
      <c r="DI7" s="512" t="n"/>
      <c r="DJ7" s="665" t="n"/>
      <c r="DK7" s="141" t="n"/>
      <c r="DL7" s="139" t="n"/>
      <c r="DM7" s="139" t="n"/>
      <c r="DN7" s="139" t="n"/>
      <c r="DO7" s="147" t="n"/>
      <c r="DP7" s="664" t="n"/>
      <c r="DQ7" s="512" t="n"/>
      <c r="DR7" s="512" t="n"/>
      <c r="DS7" s="512" t="n"/>
      <c r="DT7" s="512" t="n"/>
      <c r="DU7" s="200" t="n"/>
      <c r="DV7" s="200" t="n"/>
      <c r="DW7" s="491" t="n"/>
      <c r="DX7" s="141" t="n"/>
      <c r="DY7" s="139" t="n"/>
      <c r="DZ7" s="139" t="n"/>
      <c r="EA7" s="139" t="n"/>
      <c r="EB7" s="140" t="n"/>
      <c r="EC7" s="347" t="n"/>
      <c r="ED7" s="147" t="n"/>
      <c r="EE7" s="31" t="n"/>
      <c r="EF7" s="349" t="n"/>
      <c r="EG7" s="665" t="n"/>
      <c r="EH7" s="45" t="n"/>
      <c r="EI7" s="351" t="n"/>
      <c r="EJ7" s="107" t="n"/>
      <c r="EK7" s="139" t="n"/>
      <c r="EL7" s="139" t="n"/>
      <c r="EM7" s="139" t="n"/>
      <c r="EN7" s="140" t="n"/>
      <c r="EO7" s="108" t="n"/>
      <c r="EP7" s="141" t="n"/>
      <c r="EQ7" s="140" t="n"/>
      <c r="ER7" s="140" t="n"/>
      <c r="ES7" s="140" t="n"/>
      <c r="ET7" s="147" t="n"/>
      <c r="EU7" s="664" t="n"/>
      <c r="EV7" s="107" t="n"/>
      <c r="EW7" s="140" t="n"/>
      <c r="EX7" s="140" t="n"/>
      <c r="EY7" s="107" t="n"/>
      <c r="EZ7" s="587" t="n"/>
      <c r="FA7" s="587" t="n"/>
      <c r="FB7" s="141" t="n"/>
      <c r="FC7" s="140" t="n"/>
      <c r="FD7" s="140" t="n"/>
      <c r="FE7" s="140" t="n"/>
      <c r="FF7" s="140" t="n"/>
      <c r="FG7" s="147" t="n"/>
      <c r="FH7" s="74" t="n"/>
      <c r="FI7" s="75" t="n"/>
      <c r="FJ7" s="76" t="n"/>
      <c r="FK7" s="76" t="n"/>
      <c r="FL7" s="91" t="n"/>
      <c r="FM7" s="92" t="n"/>
      <c r="FN7" s="91" t="n"/>
      <c r="FO7" s="74" t="n"/>
      <c r="FP7" s="92" t="n"/>
      <c r="FQ7" s="148" t="n"/>
      <c r="FR7" s="149" t="n"/>
      <c r="FS7" s="150" t="n"/>
      <c r="FT7" s="99" t="n"/>
      <c r="FU7" s="100" t="n"/>
      <c r="FV7" s="100" t="n"/>
      <c r="FW7" s="100" t="n"/>
      <c r="FX7" s="100" t="n"/>
      <c r="FY7" s="100" t="n"/>
      <c r="FZ7" s="100" t="n"/>
      <c r="GA7" s="100" t="n"/>
      <c r="GB7" s="100" t="n"/>
      <c r="GC7" s="100" t="n"/>
      <c r="GD7" s="100" t="n"/>
      <c r="GE7" s="102" t="n"/>
      <c r="GF7" s="15" t="n"/>
      <c r="GG7" s="546" t="n"/>
      <c r="GH7" s="546" t="n"/>
      <c r="GI7" s="17" t="n"/>
      <c r="GJ7" s="15" t="n"/>
      <c r="GK7" s="546" t="n"/>
      <c r="GL7" s="546" t="n"/>
      <c r="GM7" s="17" t="n"/>
      <c r="GN7" s="31" t="n"/>
      <c r="GO7" s="349" t="n"/>
      <c r="GP7" s="665" t="n"/>
      <c r="GQ7" s="45" t="n"/>
      <c r="GR7" s="351" t="n"/>
      <c r="GS7" s="31" t="n"/>
      <c r="GT7" s="45" t="n"/>
      <c r="GU7" s="45" t="n"/>
      <c r="GV7" s="351" t="n"/>
      <c r="GW7" s="663" t="n"/>
      <c r="GX7" s="107" t="n"/>
      <c r="GY7" s="587" t="n"/>
      <c r="GZ7" s="108" t="n"/>
      <c r="HA7" s="15" t="n"/>
      <c r="HB7" s="546" t="n"/>
      <c r="HC7" s="17" t="n"/>
      <c r="HD7" s="15" t="n"/>
      <c r="HE7" s="546" t="n"/>
      <c r="HF7" s="546" t="n"/>
      <c r="HG7" s="17" t="n"/>
      <c r="HH7" s="31" t="n"/>
      <c r="HI7" s="45" t="n"/>
      <c r="HJ7" s="45" t="n"/>
      <c r="HK7" s="45" t="n"/>
      <c r="HL7" s="45" t="n"/>
      <c r="HM7" s="45" t="n"/>
      <c r="HN7" s="45" t="n"/>
      <c r="HO7" s="45" t="n"/>
      <c r="HP7" s="45" t="n"/>
      <c r="HQ7" s="45" t="n"/>
      <c r="HR7" s="45" t="n"/>
      <c r="HS7" s="351" t="n"/>
      <c r="HT7" s="606" t="n"/>
      <c r="HU7" s="65">
        <f>AVERAGE(H7,N7,P7)</f>
        <v/>
      </c>
      <c r="HV7" s="66">
        <f>AVERAGE(E7,J7,Q7,S7,U7,Y7,AD7)</f>
        <v/>
      </c>
      <c r="HW7" s="66">
        <f>AVERAGE(V7)</f>
        <v/>
      </c>
      <c r="HX7" s="66">
        <f>AVERAGE(R7)</f>
        <v/>
      </c>
      <c r="HY7" s="66">
        <f>AVERAGE(Z7,T7,G7)</f>
        <v/>
      </c>
      <c r="HZ7" s="66" t="n"/>
      <c r="IA7" s="66">
        <f>AVERAGE(AB7)</f>
        <v/>
      </c>
      <c r="IB7" s="66" t="n"/>
      <c r="IC7" s="66" t="n"/>
      <c r="ID7" s="66">
        <f>AVERAGE(AC7)</f>
        <v/>
      </c>
    </row>
    <row r="8" ht="18" customHeight="1" s="590">
      <c r="B8" s="12" t="n">
        <v>2</v>
      </c>
      <c r="C8" s="203" t="inlineStr">
        <is>
          <t>052-25-27216</t>
        </is>
      </c>
      <c r="D8" s="14" t="inlineStr">
        <is>
          <t>Muhammad Hamza Abbasi</t>
        </is>
      </c>
      <c r="E8" s="114" t="n">
        <v>76.67</v>
      </c>
      <c r="F8" s="115" t="n">
        <v>83.5</v>
      </c>
      <c r="G8" s="115" t="n">
        <v>79.44</v>
      </c>
      <c r="H8" s="510" t="n">
        <v>79.67</v>
      </c>
      <c r="I8" s="510" t="n">
        <v>80.95</v>
      </c>
      <c r="J8" s="117" t="n">
        <v>80</v>
      </c>
      <c r="K8" s="561" t="n">
        <v>83.33</v>
      </c>
      <c r="L8" s="583" t="n">
        <v>88.89</v>
      </c>
      <c r="M8" s="546" t="n">
        <v>67.94</v>
      </c>
      <c r="N8" s="117" t="n">
        <v>90.33</v>
      </c>
      <c r="O8" s="663" t="n"/>
      <c r="P8" s="561" t="n">
        <v>77.78</v>
      </c>
      <c r="Q8" s="583" t="n">
        <v>77.78</v>
      </c>
      <c r="R8" s="546" t="n">
        <v>51.11</v>
      </c>
      <c r="S8" s="115" t="n">
        <v>79.39</v>
      </c>
      <c r="T8" s="117" t="n">
        <v>82.88</v>
      </c>
      <c r="U8" s="225" t="n">
        <v>65</v>
      </c>
      <c r="V8" s="225" t="n">
        <v>58.33</v>
      </c>
      <c r="W8" s="225" t="n">
        <v>66.67</v>
      </c>
      <c r="X8" s="225" t="n">
        <v>100</v>
      </c>
      <c r="Y8" s="225" t="n">
        <v>91.25</v>
      </c>
      <c r="Z8" s="225" t="n">
        <v>80.67</v>
      </c>
      <c r="AA8" s="225" t="n">
        <v>83.33</v>
      </c>
      <c r="AB8" s="225" t="n">
        <v>85</v>
      </c>
      <c r="AC8" s="117" t="n"/>
      <c r="AD8" s="117" t="n"/>
      <c r="AE8" s="114" t="n"/>
      <c r="AF8" s="117" t="n"/>
      <c r="AG8" s="128" t="n"/>
      <c r="AH8" s="128" t="n"/>
      <c r="AI8" s="128" t="n"/>
      <c r="AJ8" s="128" t="n"/>
      <c r="AK8" s="543" t="n"/>
      <c r="AL8" s="543" t="n"/>
      <c r="AM8" s="127" t="n"/>
      <c r="AN8" s="128" t="n"/>
      <c r="AO8" s="131" t="n"/>
      <c r="AP8" s="127" t="n"/>
      <c r="AQ8" s="128" t="n"/>
      <c r="AR8" s="128" t="n"/>
      <c r="AS8" s="128" t="n"/>
      <c r="AT8" s="131" t="n"/>
      <c r="AU8" s="127" t="n"/>
      <c r="AV8" s="128" t="n"/>
      <c r="AW8" s="128" t="n"/>
      <c r="AX8" s="128" t="n"/>
      <c r="AY8" s="131" t="n"/>
      <c r="AZ8" s="127" t="n"/>
      <c r="BA8" s="128" t="n"/>
      <c r="BB8" s="128" t="n"/>
      <c r="BC8" s="131" t="n"/>
      <c r="BD8" s="131" t="n"/>
      <c r="BE8" s="131" t="n"/>
      <c r="BF8" s="131" t="n"/>
      <c r="BG8" s="114" t="n"/>
      <c r="BH8" s="546" t="n"/>
      <c r="BI8" s="511" t="n"/>
      <c r="BJ8" s="114" t="n"/>
      <c r="BK8" s="546" t="n"/>
      <c r="BL8" s="511" t="n"/>
      <c r="BM8" s="114" t="n"/>
      <c r="BN8" s="546" t="n"/>
      <c r="BO8" s="546" t="n"/>
      <c r="BP8" s="546" t="n"/>
      <c r="BQ8" s="546" t="n"/>
      <c r="BR8" s="546" t="n"/>
      <c r="BS8" s="511" t="n"/>
      <c r="BT8" s="546" t="n"/>
      <c r="BU8" s="546" t="n"/>
      <c r="BV8" s="546" t="n"/>
      <c r="BW8" s="546" t="n"/>
      <c r="BX8" s="546" t="n"/>
      <c r="BY8" s="546" t="n"/>
      <c r="BZ8" s="546" t="n"/>
      <c r="CA8" s="15" t="n"/>
      <c r="CB8" s="546" t="n"/>
      <c r="CC8" s="546" t="n"/>
      <c r="CD8" s="546" t="n"/>
      <c r="CE8" s="546" t="n"/>
      <c r="CF8" s="546" t="n"/>
      <c r="CG8" s="15" t="n"/>
      <c r="CH8" s="546" t="n"/>
      <c r="CI8" s="546" t="n"/>
      <c r="CJ8" s="17" t="n"/>
      <c r="CK8" s="546" t="n"/>
      <c r="CL8" s="546" t="n"/>
      <c r="CM8" s="546" t="n"/>
      <c r="CN8" s="546" t="n"/>
      <c r="CO8" s="583" t="n"/>
      <c r="CP8" s="15" t="n"/>
      <c r="CQ8" s="15" t="n"/>
      <c r="CR8" s="15" t="n"/>
      <c r="CS8" s="15" t="n"/>
      <c r="CT8" s="546" t="n"/>
      <c r="CU8" s="17" t="n"/>
      <c r="CV8" s="74" t="n"/>
      <c r="CW8" s="75" t="n"/>
      <c r="CX8" s="76" t="n"/>
      <c r="CY8" s="76" t="n"/>
      <c r="CZ8" s="91" t="n"/>
      <c r="DA8" s="546" t="n"/>
      <c r="DB8" s="546" t="n"/>
      <c r="DC8" s="546" t="n"/>
      <c r="DD8" s="546" t="n"/>
      <c r="DE8" s="583" t="n"/>
      <c r="DF8" s="141" t="n"/>
      <c r="DG8" s="162" t="n"/>
      <c r="DH8" s="162" t="n"/>
      <c r="DI8" s="512" t="n"/>
      <c r="DJ8" s="491" t="n"/>
      <c r="DK8" s="141" t="n"/>
      <c r="DL8" s="139" t="n"/>
      <c r="DM8" s="139" t="n"/>
      <c r="DN8" s="139" t="n"/>
      <c r="DO8" s="347" t="n"/>
      <c r="DP8" s="348" t="n"/>
      <c r="DQ8" s="162" t="n"/>
      <c r="DR8" s="162" t="n"/>
      <c r="DS8" s="162" t="n"/>
      <c r="DT8" s="162" t="n"/>
      <c r="DU8" s="201" t="n"/>
      <c r="DV8" s="201" t="n"/>
      <c r="DW8" s="163" t="n"/>
      <c r="DX8" s="141" t="n"/>
      <c r="DY8" s="139" t="n"/>
      <c r="DZ8" s="139" t="n"/>
      <c r="EA8" s="139" t="n"/>
      <c r="EB8" s="140" t="n"/>
      <c r="EC8" s="347" t="n"/>
      <c r="ED8" s="147" t="n"/>
      <c r="EE8" s="31" t="n"/>
      <c r="EF8" s="349" t="n"/>
      <c r="EG8" s="349" t="n"/>
      <c r="EH8" s="45" t="n"/>
      <c r="EI8" s="351" t="n"/>
      <c r="EJ8" s="107" t="n"/>
      <c r="EK8" s="139" t="n"/>
      <c r="EL8" s="139" t="n"/>
      <c r="EM8" s="139" t="n"/>
      <c r="EN8" s="140" t="n"/>
      <c r="EO8" s="108" t="n"/>
      <c r="EP8" s="141" t="n"/>
      <c r="EQ8" s="140" t="n"/>
      <c r="ER8" s="140" t="n"/>
      <c r="ES8" s="140" t="n"/>
      <c r="ET8" s="347" t="n"/>
      <c r="EU8" s="348" t="n"/>
      <c r="EV8" s="107" t="n"/>
      <c r="EW8" s="140" t="n"/>
      <c r="EX8" s="140" t="n"/>
      <c r="EY8" s="107" t="n"/>
      <c r="EZ8" s="587" t="n"/>
      <c r="FA8" s="587" t="n"/>
      <c r="FB8" s="141" t="n"/>
      <c r="FC8" s="140" t="n"/>
      <c r="FD8" s="140" t="n"/>
      <c r="FE8" s="140" t="n"/>
      <c r="FF8" s="140" t="n"/>
      <c r="FG8" s="147" t="n"/>
      <c r="FH8" s="74" t="n"/>
      <c r="FI8" s="75" t="n"/>
      <c r="FJ8" s="76" t="n"/>
      <c r="FK8" s="76" t="n"/>
      <c r="FL8" s="91" t="n"/>
      <c r="FM8" s="92" t="n"/>
      <c r="FN8" s="91" t="n"/>
      <c r="FO8" s="74" t="n"/>
      <c r="FP8" s="92" t="n"/>
      <c r="FQ8" s="148" t="n"/>
      <c r="FR8" s="149" t="n"/>
      <c r="FS8" s="150" t="n"/>
      <c r="FT8" s="99" t="n"/>
      <c r="FU8" s="100" t="n"/>
      <c r="FV8" s="100" t="n"/>
      <c r="FW8" s="100" t="n"/>
      <c r="FX8" s="100" t="n"/>
      <c r="FY8" s="100" t="n"/>
      <c r="FZ8" s="100" t="n"/>
      <c r="GA8" s="100" t="n"/>
      <c r="GB8" s="100" t="n"/>
      <c r="GC8" s="100" t="n"/>
      <c r="GD8" s="100" t="n"/>
      <c r="GE8" s="102" t="n"/>
      <c r="GF8" s="15" t="n"/>
      <c r="GG8" s="546" t="n"/>
      <c r="GH8" s="546" t="n"/>
      <c r="GI8" s="17" t="n"/>
      <c r="GJ8" s="15" t="n"/>
      <c r="GK8" s="546" t="n"/>
      <c r="GL8" s="546" t="n"/>
      <c r="GM8" s="17" t="n"/>
      <c r="GN8" s="31" t="n"/>
      <c r="GO8" s="349" t="n"/>
      <c r="GP8" s="349" t="n"/>
      <c r="GQ8" s="45" t="n"/>
      <c r="GR8" s="351" t="n"/>
      <c r="GS8" s="31" t="n"/>
      <c r="GT8" s="45" t="n"/>
      <c r="GU8" s="45" t="n"/>
      <c r="GV8" s="350" t="n"/>
      <c r="GW8" s="351" t="n"/>
      <c r="GX8" s="107" t="n"/>
      <c r="GY8" s="587" t="n"/>
      <c r="GZ8" s="108" t="n"/>
      <c r="HA8" s="15" t="n"/>
      <c r="HB8" s="546" t="n"/>
      <c r="HC8" s="17" t="n"/>
      <c r="HD8" s="15" t="n"/>
      <c r="HE8" s="546" t="n"/>
      <c r="HF8" s="546" t="n"/>
      <c r="HG8" s="17" t="n"/>
      <c r="HH8" s="31" t="n"/>
      <c r="HI8" s="45" t="n"/>
      <c r="HJ8" s="45" t="n"/>
      <c r="HK8" s="45" t="n"/>
      <c r="HL8" s="45" t="n"/>
      <c r="HM8" s="45" t="n"/>
      <c r="HN8" s="45" t="n"/>
      <c r="HO8" s="45" t="n"/>
      <c r="HP8" s="45" t="n"/>
      <c r="HQ8" s="45" t="n"/>
      <c r="HR8" s="45" t="n"/>
      <c r="HS8" s="351" t="n"/>
      <c r="HT8" s="606" t="n"/>
      <c r="HU8" s="65">
        <f>AVERAGE(H8,N8,P8)</f>
        <v/>
      </c>
      <c r="HV8" s="66">
        <f>AVERAGE(E8,J8,Q8,S8,U8,Y8,AD8)</f>
        <v/>
      </c>
      <c r="HW8" s="66">
        <f>AVERAGE(V8)</f>
        <v/>
      </c>
      <c r="HX8" s="66">
        <f>AVERAGE(R8)</f>
        <v/>
      </c>
      <c r="HY8" s="66">
        <f>AVERAGE(Z8,T8,G8)</f>
        <v/>
      </c>
      <c r="HZ8" s="66" t="n"/>
      <c r="IA8" s="66">
        <f>AVERAGE(AB8)</f>
        <v/>
      </c>
      <c r="IB8" s="66" t="n"/>
      <c r="IC8" s="66" t="n"/>
      <c r="ID8" s="66">
        <f>AVERAGE(AC8)</f>
        <v/>
      </c>
    </row>
    <row r="9" ht="18" customHeight="1" s="590">
      <c r="B9" s="12" t="n">
        <v>3</v>
      </c>
      <c r="C9" s="203" t="inlineStr">
        <is>
          <t>052-25-27217</t>
        </is>
      </c>
      <c r="D9" s="14" t="inlineStr">
        <is>
          <t>Fasih Rathiyal</t>
        </is>
      </c>
      <c r="E9" s="114" t="n">
        <v>81.33</v>
      </c>
      <c r="F9" s="115" t="n">
        <v>81</v>
      </c>
      <c r="G9" s="115" t="n">
        <v>78.89</v>
      </c>
      <c r="H9" s="510" t="n">
        <v>78.67</v>
      </c>
      <c r="I9" s="510" t="n">
        <v>84.29000000000001</v>
      </c>
      <c r="J9" s="117" t="n">
        <v>78.33</v>
      </c>
      <c r="K9" s="561" t="n">
        <v>83.5</v>
      </c>
      <c r="L9" s="583" t="n">
        <v>73.61</v>
      </c>
      <c r="M9" s="546" t="n">
        <v>60.58</v>
      </c>
      <c r="N9" s="117" t="n">
        <v>81.09999999999999</v>
      </c>
      <c r="O9" s="663" t="n"/>
      <c r="P9" s="561" t="n">
        <v>64</v>
      </c>
      <c r="Q9" s="583" t="n">
        <v>70.56</v>
      </c>
      <c r="R9" s="546" t="n">
        <v>50.56</v>
      </c>
      <c r="S9" s="115" t="n">
        <v>61.52</v>
      </c>
      <c r="T9" s="117" t="n">
        <v>59.55</v>
      </c>
      <c r="U9" s="225" t="n">
        <v>64.44</v>
      </c>
      <c r="V9" s="225" t="n">
        <v>59.17</v>
      </c>
      <c r="W9" s="225" t="n">
        <v>91.67</v>
      </c>
      <c r="X9" s="225" t="n">
        <v>100</v>
      </c>
      <c r="Y9" s="225" t="n">
        <v>88.75</v>
      </c>
      <c r="Z9" s="225" t="n">
        <v>74</v>
      </c>
      <c r="AA9" s="225" t="n">
        <v>86.67</v>
      </c>
      <c r="AB9" s="225" t="n">
        <v>90</v>
      </c>
      <c r="AC9" s="117" t="n"/>
      <c r="AD9" s="117" t="n"/>
      <c r="AE9" s="114" t="n"/>
      <c r="AF9" s="117" t="n"/>
      <c r="AG9" s="128" t="n"/>
      <c r="AH9" s="128" t="n"/>
      <c r="AI9" s="128" t="n"/>
      <c r="AJ9" s="128" t="n"/>
      <c r="AK9" s="543" t="n"/>
      <c r="AL9" s="543" t="n"/>
      <c r="AM9" s="127" t="n"/>
      <c r="AN9" s="128" t="n"/>
      <c r="AO9" s="131" t="n"/>
      <c r="AP9" s="127" t="n"/>
      <c r="AQ9" s="128" t="n"/>
      <c r="AR9" s="128" t="n"/>
      <c r="AS9" s="128" t="n"/>
      <c r="AT9" s="131" t="n"/>
      <c r="AU9" s="127" t="n"/>
      <c r="AV9" s="128" t="n"/>
      <c r="AW9" s="128" t="n"/>
      <c r="AX9" s="128" t="n"/>
      <c r="AY9" s="131" t="n"/>
      <c r="AZ9" s="127" t="n"/>
      <c r="BA9" s="128" t="n"/>
      <c r="BB9" s="128" t="n"/>
      <c r="BC9" s="131" t="n"/>
      <c r="BD9" s="131" t="n"/>
      <c r="BE9" s="131" t="n"/>
      <c r="BF9" s="131" t="n"/>
      <c r="BG9" s="114" t="n"/>
      <c r="BH9" s="546" t="n"/>
      <c r="BI9" s="511" t="n"/>
      <c r="BJ9" s="114" t="n"/>
      <c r="BK9" s="546" t="n"/>
      <c r="BL9" s="511" t="n"/>
      <c r="BM9" s="114" t="n"/>
      <c r="BN9" s="546" t="n"/>
      <c r="BO9" s="546" t="n"/>
      <c r="BP9" s="546" t="n"/>
      <c r="BQ9" s="546" t="n"/>
      <c r="BR9" s="546" t="n"/>
      <c r="BS9" s="511" t="n"/>
      <c r="BT9" s="546" t="n"/>
      <c r="BU9" s="546" t="n"/>
      <c r="BV9" s="546" t="n"/>
      <c r="BW9" s="546" t="n"/>
      <c r="BX9" s="546" t="n"/>
      <c r="BY9" s="546" t="n"/>
      <c r="BZ9" s="546" t="n"/>
      <c r="CA9" s="15" t="n"/>
      <c r="CB9" s="546" t="n"/>
      <c r="CC9" s="546" t="n"/>
      <c r="CD9" s="546" t="n"/>
      <c r="CE9" s="546" t="n"/>
      <c r="CF9" s="546" t="n"/>
      <c r="CG9" s="15" t="n"/>
      <c r="CH9" s="546" t="n"/>
      <c r="CI9" s="546" t="n"/>
      <c r="CJ9" s="17" t="n"/>
      <c r="CK9" s="546" t="n"/>
      <c r="CL9" s="546" t="n"/>
      <c r="CM9" s="546" t="n"/>
      <c r="CN9" s="546" t="n"/>
      <c r="CO9" s="583" t="n"/>
      <c r="CP9" s="15" t="n"/>
      <c r="CQ9" s="15" t="n"/>
      <c r="CR9" s="15" t="n"/>
      <c r="CS9" s="15" t="n"/>
      <c r="CT9" s="546" t="n"/>
      <c r="CU9" s="17" t="n"/>
      <c r="CV9" s="74" t="n"/>
      <c r="CW9" s="75" t="n"/>
      <c r="CX9" s="76" t="n"/>
      <c r="CY9" s="76" t="n"/>
      <c r="CZ9" s="91" t="n"/>
      <c r="DA9" s="546" t="n"/>
      <c r="DB9" s="546" t="n"/>
      <c r="DC9" s="546" t="n"/>
      <c r="DD9" s="546" t="n"/>
      <c r="DE9" s="583" t="n"/>
      <c r="DF9" s="141" t="n"/>
      <c r="DG9" s="162" t="n"/>
      <c r="DH9" s="162" t="n"/>
      <c r="DI9" s="512" t="n"/>
      <c r="DJ9" s="665" t="n"/>
      <c r="DK9" s="141" t="n"/>
      <c r="DL9" s="139" t="n"/>
      <c r="DM9" s="139" t="n"/>
      <c r="DN9" s="139" t="n"/>
      <c r="DO9" s="147" t="n"/>
      <c r="DP9" s="664" t="n"/>
      <c r="DQ9" s="162" t="n"/>
      <c r="DR9" s="162" t="n"/>
      <c r="DS9" s="162" t="n"/>
      <c r="DT9" s="162" t="n"/>
      <c r="DU9" s="201" t="n"/>
      <c r="DV9" s="201" t="n"/>
      <c r="DW9" s="163" t="n"/>
      <c r="DX9" s="141" t="n"/>
      <c r="DY9" s="139" t="n"/>
      <c r="DZ9" s="139" t="n"/>
      <c r="EA9" s="139" t="n"/>
      <c r="EB9" s="140" t="n"/>
      <c r="EC9" s="347" t="n"/>
      <c r="ED9" s="147" t="n"/>
      <c r="EE9" s="31" t="n"/>
      <c r="EF9" s="349" t="n"/>
      <c r="EG9" s="665" t="n"/>
      <c r="EH9" s="45" t="n"/>
      <c r="EI9" s="351" t="n"/>
      <c r="EJ9" s="107" t="n"/>
      <c r="EK9" s="139" t="n"/>
      <c r="EL9" s="139" t="n"/>
      <c r="EM9" s="139" t="n"/>
      <c r="EN9" s="140" t="n"/>
      <c r="EO9" s="108" t="n"/>
      <c r="EP9" s="141" t="n"/>
      <c r="EQ9" s="140" t="n"/>
      <c r="ER9" s="140" t="n"/>
      <c r="ES9" s="140" t="n"/>
      <c r="ET9" s="147" t="n"/>
      <c r="EU9" s="664" t="n"/>
      <c r="EV9" s="107" t="n"/>
      <c r="EW9" s="140" t="n"/>
      <c r="EX9" s="140" t="n"/>
      <c r="EY9" s="107" t="n"/>
      <c r="EZ9" s="587" t="n"/>
      <c r="FA9" s="587" t="n"/>
      <c r="FB9" s="141" t="n"/>
      <c r="FC9" s="140" t="n"/>
      <c r="FD9" s="140" t="n"/>
      <c r="FE9" s="140" t="n"/>
      <c r="FF9" s="140" t="n"/>
      <c r="FG9" s="147" t="n"/>
      <c r="FH9" s="74" t="n"/>
      <c r="FI9" s="75" t="n"/>
      <c r="FJ9" s="76" t="n"/>
      <c r="FK9" s="76" t="n"/>
      <c r="FL9" s="91" t="n"/>
      <c r="FM9" s="92" t="n"/>
      <c r="FN9" s="91" t="n"/>
      <c r="FO9" s="74" t="n"/>
      <c r="FP9" s="92" t="n"/>
      <c r="FQ9" s="148" t="n"/>
      <c r="FR9" s="149" t="n"/>
      <c r="FS9" s="150" t="n"/>
      <c r="FT9" s="99" t="n"/>
      <c r="FU9" s="100" t="n"/>
      <c r="FV9" s="100" t="n"/>
      <c r="FW9" s="100" t="n"/>
      <c r="FX9" s="100" t="n"/>
      <c r="FY9" s="100" t="n"/>
      <c r="FZ9" s="100" t="n"/>
      <c r="GA9" s="100" t="n"/>
      <c r="GB9" s="100" t="n"/>
      <c r="GC9" s="100" t="n"/>
      <c r="GD9" s="100" t="n"/>
      <c r="GE9" s="102" t="n"/>
      <c r="GF9" s="15" t="n"/>
      <c r="GG9" s="546" t="n"/>
      <c r="GH9" s="546" t="n"/>
      <c r="GI9" s="17" t="n"/>
      <c r="GJ9" s="15" t="n"/>
      <c r="GK9" s="546" t="n"/>
      <c r="GL9" s="546" t="n"/>
      <c r="GM9" s="17" t="n"/>
      <c r="GN9" s="31" t="n"/>
      <c r="GO9" s="349" t="n"/>
      <c r="GP9" s="665" t="n"/>
      <c r="GQ9" s="45" t="n"/>
      <c r="GR9" s="351" t="n"/>
      <c r="GS9" s="31" t="n"/>
      <c r="GT9" s="45" t="n"/>
      <c r="GU9" s="45" t="n"/>
      <c r="GV9" s="351" t="n"/>
      <c r="GW9" s="663" t="n"/>
      <c r="GX9" s="107" t="n"/>
      <c r="GY9" s="587" t="n"/>
      <c r="GZ9" s="108" t="n"/>
      <c r="HA9" s="15" t="n"/>
      <c r="HB9" s="546" t="n"/>
      <c r="HC9" s="17" t="n"/>
      <c r="HD9" s="15" t="n"/>
      <c r="HE9" s="546" t="n"/>
      <c r="HF9" s="546" t="n"/>
      <c r="HG9" s="17" t="n"/>
      <c r="HH9" s="31" t="n"/>
      <c r="HI9" s="45" t="n"/>
      <c r="HJ9" s="45" t="n"/>
      <c r="HK9" s="45" t="n"/>
      <c r="HL9" s="45" t="n"/>
      <c r="HM9" s="45" t="n"/>
      <c r="HN9" s="45" t="n"/>
      <c r="HO9" s="45" t="n"/>
      <c r="HP9" s="45" t="n"/>
      <c r="HQ9" s="45" t="n"/>
      <c r="HR9" s="45" t="n"/>
      <c r="HS9" s="351" t="n"/>
      <c r="HT9" s="606" t="n"/>
      <c r="HU9" s="65">
        <f>AVERAGE(H9,N9,P9)</f>
        <v/>
      </c>
      <c r="HV9" s="66">
        <f>AVERAGE(E9,J9,Q9,S9,U9,Y9,AD9)</f>
        <v/>
      </c>
      <c r="HW9" s="66">
        <f>AVERAGE(V9)</f>
        <v/>
      </c>
      <c r="HX9" s="66">
        <f>AVERAGE(R9)</f>
        <v/>
      </c>
      <c r="HY9" s="66">
        <f>AVERAGE(Z9,T9,G9)</f>
        <v/>
      </c>
      <c r="HZ9" s="66" t="n"/>
      <c r="IA9" s="66">
        <f>AVERAGE(AB9)</f>
        <v/>
      </c>
      <c r="IB9" s="66" t="n"/>
      <c r="IC9" s="66" t="n"/>
      <c r="ID9" s="66">
        <f>AVERAGE(AC9)</f>
        <v/>
      </c>
    </row>
    <row r="10" ht="18" customHeight="1" s="590">
      <c r="B10" s="12" t="n">
        <v>4</v>
      </c>
      <c r="C10" s="203" t="inlineStr">
        <is>
          <t>052-25-27221</t>
        </is>
      </c>
      <c r="D10" s="14" t="inlineStr">
        <is>
          <t>Haider Ali</t>
        </is>
      </c>
      <c r="E10" s="114" t="n">
        <v>78</v>
      </c>
      <c r="F10" s="115" t="n">
        <v>81.5</v>
      </c>
      <c r="G10" s="115" t="n">
        <v>78.89</v>
      </c>
      <c r="H10" s="510" t="n">
        <v>77.67</v>
      </c>
      <c r="I10" s="510" t="n">
        <v>75.23999999999999</v>
      </c>
      <c r="J10" s="117" t="n">
        <v>78.33</v>
      </c>
      <c r="K10" s="561" t="n">
        <v>66.5</v>
      </c>
      <c r="L10" s="583" t="n">
        <v>78.33</v>
      </c>
      <c r="M10" s="546" t="n">
        <v>51.69</v>
      </c>
      <c r="N10" s="117" t="n">
        <v>86.58</v>
      </c>
      <c r="O10" s="663" t="n"/>
      <c r="P10" s="561" t="n">
        <v>50</v>
      </c>
      <c r="Q10" s="583" t="n">
        <v>61.11</v>
      </c>
      <c r="R10" s="546" t="n">
        <v>57.78</v>
      </c>
      <c r="S10" s="115" t="n">
        <v>66.67</v>
      </c>
      <c r="T10" s="117" t="n">
        <v>75.91</v>
      </c>
      <c r="U10" s="225" t="n">
        <v>47.78</v>
      </c>
      <c r="V10" s="225" t="n">
        <v>30</v>
      </c>
      <c r="W10" s="225" t="n">
        <v>0</v>
      </c>
      <c r="X10" s="225" t="n">
        <v>0</v>
      </c>
      <c r="Y10" s="225" t="n">
        <v>83.75</v>
      </c>
      <c r="Z10" s="225" t="n">
        <v>78</v>
      </c>
      <c r="AA10" s="225" t="n">
        <v>80</v>
      </c>
      <c r="AB10" s="225" t="n">
        <v>90</v>
      </c>
      <c r="AC10" s="117" t="n"/>
      <c r="AD10" s="117" t="n"/>
      <c r="AE10" s="114" t="n"/>
      <c r="AF10" s="117" t="n"/>
      <c r="AG10" s="128" t="n"/>
      <c r="AH10" s="128" t="n"/>
      <c r="AI10" s="128" t="n"/>
      <c r="AJ10" s="128" t="n"/>
      <c r="AK10" s="543" t="n"/>
      <c r="AL10" s="543" t="n"/>
      <c r="AM10" s="127" t="n"/>
      <c r="AN10" s="128" t="n"/>
      <c r="AO10" s="131" t="n"/>
      <c r="AP10" s="127" t="n"/>
      <c r="AQ10" s="128" t="n"/>
      <c r="AR10" s="128" t="n"/>
      <c r="AS10" s="128" t="n"/>
      <c r="AT10" s="131" t="n"/>
      <c r="AU10" s="127" t="n"/>
      <c r="AV10" s="128" t="n"/>
      <c r="AW10" s="128" t="n"/>
      <c r="AX10" s="128" t="n"/>
      <c r="AY10" s="131" t="n"/>
      <c r="AZ10" s="127" t="n"/>
      <c r="BA10" s="128" t="n"/>
      <c r="BB10" s="128" t="n"/>
      <c r="BC10" s="131" t="n"/>
      <c r="BD10" s="131" t="n"/>
      <c r="BE10" s="131" t="n"/>
      <c r="BF10" s="131" t="n"/>
      <c r="BG10" s="114" t="n"/>
      <c r="BH10" s="546" t="n"/>
      <c r="BI10" s="511" t="n"/>
      <c r="BJ10" s="114" t="n"/>
      <c r="BK10" s="546" t="n"/>
      <c r="BL10" s="511" t="n"/>
      <c r="BM10" s="114" t="n"/>
      <c r="BN10" s="546" t="n"/>
      <c r="BO10" s="546" t="n"/>
      <c r="BP10" s="546" t="n"/>
      <c r="BQ10" s="546" t="n"/>
      <c r="BR10" s="546" t="n"/>
      <c r="BS10" s="511" t="n"/>
      <c r="BT10" s="546" t="n"/>
      <c r="BU10" s="546" t="n"/>
      <c r="BV10" s="546" t="n"/>
      <c r="BW10" s="546" t="n"/>
      <c r="BX10" s="546" t="n"/>
      <c r="BY10" s="546" t="n"/>
      <c r="BZ10" s="546" t="n"/>
      <c r="CA10" s="15" t="n"/>
      <c r="CB10" s="546" t="n"/>
      <c r="CC10" s="546" t="n"/>
      <c r="CD10" s="546" t="n"/>
      <c r="CE10" s="546" t="n"/>
      <c r="CF10" s="546" t="n"/>
      <c r="CG10" s="15" t="n"/>
      <c r="CH10" s="546" t="n"/>
      <c r="CI10" s="546" t="n"/>
      <c r="CJ10" s="17" t="n"/>
      <c r="CK10" s="546" t="n"/>
      <c r="CL10" s="546" t="n"/>
      <c r="CM10" s="546" t="n"/>
      <c r="CN10" s="546" t="n"/>
      <c r="CO10" s="583" t="n"/>
      <c r="CP10" s="15" t="n"/>
      <c r="CQ10" s="15" t="n"/>
      <c r="CR10" s="15" t="n"/>
      <c r="CS10" s="15" t="n"/>
      <c r="CT10" s="546" t="n"/>
      <c r="CU10" s="17" t="n"/>
      <c r="CV10" s="74" t="n"/>
      <c r="CW10" s="75" t="n"/>
      <c r="CX10" s="76" t="n"/>
      <c r="CY10" s="76" t="n"/>
      <c r="CZ10" s="91" t="n"/>
      <c r="DA10" s="546" t="n"/>
      <c r="DB10" s="546" t="n"/>
      <c r="DC10" s="546" t="n"/>
      <c r="DD10" s="546" t="n"/>
      <c r="DE10" s="583" t="n"/>
      <c r="DF10" s="141" t="n"/>
      <c r="DG10" s="162" t="n"/>
      <c r="DH10" s="162" t="n"/>
      <c r="DI10" s="512" t="n"/>
      <c r="DJ10" s="491" t="n"/>
      <c r="DK10" s="141" t="n"/>
      <c r="DL10" s="139" t="n"/>
      <c r="DM10" s="139" t="n"/>
      <c r="DN10" s="139" t="n"/>
      <c r="DO10" s="347" t="n"/>
      <c r="DP10" s="348" t="n"/>
      <c r="DQ10" s="162" t="n"/>
      <c r="DR10" s="162" t="n"/>
      <c r="DS10" s="162" t="n"/>
      <c r="DT10" s="162" t="n"/>
      <c r="DU10" s="201" t="n"/>
      <c r="DV10" s="201" t="n"/>
      <c r="DW10" s="163" t="n"/>
      <c r="DX10" s="141" t="n"/>
      <c r="DY10" s="139" t="n"/>
      <c r="DZ10" s="139" t="n"/>
      <c r="EA10" s="139" t="n"/>
      <c r="EB10" s="140" t="n"/>
      <c r="EC10" s="347" t="n"/>
      <c r="ED10" s="147" t="n"/>
      <c r="EE10" s="31" t="n"/>
      <c r="EF10" s="349" t="n"/>
      <c r="EG10" s="349" t="n"/>
      <c r="EH10" s="45" t="n"/>
      <c r="EI10" s="351" t="n"/>
      <c r="EJ10" s="107" t="n"/>
      <c r="EK10" s="139" t="n"/>
      <c r="EL10" s="139" t="n"/>
      <c r="EM10" s="139" t="n"/>
      <c r="EN10" s="140" t="n"/>
      <c r="EO10" s="108" t="n"/>
      <c r="EP10" s="141" t="n"/>
      <c r="EQ10" s="140" t="n"/>
      <c r="ER10" s="140" t="n"/>
      <c r="ES10" s="140" t="n"/>
      <c r="ET10" s="347" t="n"/>
      <c r="EU10" s="348" t="n"/>
      <c r="EV10" s="107" t="n"/>
      <c r="EW10" s="140" t="n"/>
      <c r="EX10" s="140" t="n"/>
      <c r="EY10" s="107" t="n"/>
      <c r="EZ10" s="587" t="n"/>
      <c r="FA10" s="587" t="n"/>
      <c r="FB10" s="141" t="n"/>
      <c r="FC10" s="140" t="n"/>
      <c r="FD10" s="140" t="n"/>
      <c r="FE10" s="140" t="n"/>
      <c r="FF10" s="140" t="n"/>
      <c r="FG10" s="147" t="n"/>
      <c r="FH10" s="74" t="n"/>
      <c r="FI10" s="75" t="n"/>
      <c r="FJ10" s="76" t="n"/>
      <c r="FK10" s="76" t="n"/>
      <c r="FL10" s="91" t="n"/>
      <c r="FM10" s="92" t="n"/>
      <c r="FN10" s="91" t="n"/>
      <c r="FO10" s="74" t="n"/>
      <c r="FP10" s="92" t="n"/>
      <c r="FQ10" s="148" t="n"/>
      <c r="FR10" s="149" t="n"/>
      <c r="FS10" s="150" t="n"/>
      <c r="FT10" s="99" t="n"/>
      <c r="FU10" s="100" t="n"/>
      <c r="FV10" s="100" t="n"/>
      <c r="FW10" s="100" t="n"/>
      <c r="FX10" s="100" t="n"/>
      <c r="FY10" s="100" t="n"/>
      <c r="FZ10" s="100" t="n"/>
      <c r="GA10" s="100" t="n"/>
      <c r="GB10" s="100" t="n"/>
      <c r="GC10" s="100" t="n"/>
      <c r="GD10" s="100" t="n"/>
      <c r="GE10" s="102" t="n"/>
      <c r="GF10" s="15" t="n"/>
      <c r="GG10" s="546" t="n"/>
      <c r="GH10" s="546" t="n"/>
      <c r="GI10" s="17" t="n"/>
      <c r="GJ10" s="15" t="n"/>
      <c r="GK10" s="546" t="n"/>
      <c r="GL10" s="546" t="n"/>
      <c r="GM10" s="17" t="n"/>
      <c r="GN10" s="31" t="n"/>
      <c r="GO10" s="349" t="n"/>
      <c r="GP10" s="349" t="n"/>
      <c r="GQ10" s="45" t="n"/>
      <c r="GR10" s="351" t="n"/>
      <c r="GS10" s="31" t="n"/>
      <c r="GT10" s="45" t="n"/>
      <c r="GU10" s="45" t="n"/>
      <c r="GV10" s="350" t="n"/>
      <c r="GW10" s="351" t="n"/>
      <c r="GX10" s="107" t="n"/>
      <c r="GY10" s="587" t="n"/>
      <c r="GZ10" s="108" t="n"/>
      <c r="HA10" s="15" t="n"/>
      <c r="HB10" s="546" t="n"/>
      <c r="HC10" s="17" t="n"/>
      <c r="HD10" s="15" t="n"/>
      <c r="HE10" s="546" t="n"/>
      <c r="HF10" s="546" t="n"/>
      <c r="HG10" s="17" t="n"/>
      <c r="HH10" s="31" t="n"/>
      <c r="HI10" s="45" t="n"/>
      <c r="HJ10" s="45" t="n"/>
      <c r="HK10" s="45" t="n"/>
      <c r="HL10" s="45" t="n"/>
      <c r="HM10" s="45" t="n"/>
      <c r="HN10" s="45" t="n"/>
      <c r="HO10" s="45" t="n"/>
      <c r="HP10" s="45" t="n"/>
      <c r="HQ10" s="45" t="n"/>
      <c r="HR10" s="45" t="n"/>
      <c r="HS10" s="351" t="n"/>
      <c r="HT10" s="606" t="n"/>
      <c r="HU10" s="65">
        <f>AVERAGE(H10,N10,P10)</f>
        <v/>
      </c>
      <c r="HV10" s="66">
        <f>AVERAGE(E10,J10,Q10,S10,U10,Y10,AD10)</f>
        <v/>
      </c>
      <c r="HW10" s="66">
        <f>AVERAGE(V10)</f>
        <v/>
      </c>
      <c r="HX10" s="66">
        <f>AVERAGE(R10)</f>
        <v/>
      </c>
      <c r="HY10" s="66">
        <f>AVERAGE(Z10,T10,G10)</f>
        <v/>
      </c>
      <c r="HZ10" s="66" t="n"/>
      <c r="IA10" s="66">
        <f>AVERAGE(AB10)</f>
        <v/>
      </c>
      <c r="IB10" s="66" t="n"/>
      <c r="IC10" s="66" t="n"/>
      <c r="ID10" s="66">
        <f>AVERAGE(AC10)</f>
        <v/>
      </c>
    </row>
    <row r="11" ht="18" customHeight="1" s="590">
      <c r="B11" s="12" t="n">
        <v>5</v>
      </c>
      <c r="C11" s="203" t="inlineStr">
        <is>
          <t>052-25-27224</t>
        </is>
      </c>
      <c r="D11" s="14" t="inlineStr">
        <is>
          <t xml:space="preserve">Sadia Imran </t>
        </is>
      </c>
      <c r="E11" s="114" t="n">
        <v>84.67</v>
      </c>
      <c r="F11" s="115" t="n">
        <v>81.75</v>
      </c>
      <c r="G11" s="115" t="n">
        <v>83.89</v>
      </c>
      <c r="H11" s="510" t="n">
        <v>86</v>
      </c>
      <c r="I11" s="510" t="n">
        <v>81.90000000000001</v>
      </c>
      <c r="J11" s="117" t="n">
        <v>86.67</v>
      </c>
      <c r="K11" s="561" t="n">
        <v>70.33</v>
      </c>
      <c r="L11" s="583" t="n">
        <v>70.83</v>
      </c>
      <c r="M11" s="546" t="n">
        <v>58.5</v>
      </c>
      <c r="N11" s="117" t="n">
        <v>90.90000000000001</v>
      </c>
      <c r="O11" s="663" t="n"/>
      <c r="P11" s="561" t="n">
        <v>96</v>
      </c>
      <c r="Q11" s="583" t="n">
        <v>90.56</v>
      </c>
      <c r="R11" s="546" t="n">
        <v>83.89</v>
      </c>
      <c r="S11" s="115" t="n">
        <v>86.97</v>
      </c>
      <c r="T11" s="117" t="n">
        <v>91.20999999999999</v>
      </c>
      <c r="U11" s="225" t="n">
        <v>65.56</v>
      </c>
      <c r="V11" s="225" t="n">
        <v>58.33</v>
      </c>
      <c r="W11" s="225" t="n">
        <v>25</v>
      </c>
      <c r="X11" s="225" t="n">
        <v>75</v>
      </c>
      <c r="Y11" s="225" t="n">
        <v>96.25</v>
      </c>
      <c r="Z11" s="225" t="n">
        <v>92</v>
      </c>
      <c r="AA11" s="225" t="n">
        <v>90</v>
      </c>
      <c r="AB11" s="225" t="n">
        <v>90</v>
      </c>
      <c r="AC11" s="117" t="n"/>
      <c r="AD11" s="117" t="n"/>
      <c r="AE11" s="114" t="n"/>
      <c r="AF11" s="117" t="n"/>
      <c r="AG11" s="128" t="n"/>
      <c r="AH11" s="128" t="n"/>
      <c r="AI11" s="128" t="n"/>
      <c r="AJ11" s="128" t="n"/>
      <c r="AK11" s="543" t="n"/>
      <c r="AL11" s="543" t="n"/>
      <c r="AM11" s="127" t="n"/>
      <c r="AN11" s="128" t="n"/>
      <c r="AO11" s="131" t="n"/>
      <c r="AP11" s="127" t="n"/>
      <c r="AQ11" s="128" t="n"/>
      <c r="AR11" s="128" t="n"/>
      <c r="AS11" s="128" t="n"/>
      <c r="AT11" s="131" t="n"/>
      <c r="AU11" s="127" t="n"/>
      <c r="AV11" s="128" t="n"/>
      <c r="AW11" s="128" t="n"/>
      <c r="AX11" s="128" t="n"/>
      <c r="AY11" s="131" t="n"/>
      <c r="AZ11" s="127" t="n"/>
      <c r="BA11" s="128" t="n"/>
      <c r="BB11" s="128" t="n"/>
      <c r="BC11" s="131" t="n"/>
      <c r="BD11" s="131" t="n"/>
      <c r="BE11" s="131" t="n"/>
      <c r="BF11" s="131" t="n"/>
      <c r="BG11" s="114" t="n"/>
      <c r="BH11" s="546" t="n"/>
      <c r="BI11" s="511" t="n"/>
      <c r="BJ11" s="114" t="n"/>
      <c r="BK11" s="546" t="n"/>
      <c r="BL11" s="511" t="n"/>
      <c r="BM11" s="114" t="n"/>
      <c r="BN11" s="546" t="n"/>
      <c r="BO11" s="546" t="n"/>
      <c r="BP11" s="546" t="n"/>
      <c r="BQ11" s="546" t="n"/>
      <c r="BR11" s="546" t="n"/>
      <c r="BS11" s="511" t="n"/>
      <c r="BT11" s="546" t="n"/>
      <c r="BU11" s="546" t="n"/>
      <c r="BV11" s="546" t="n"/>
      <c r="BW11" s="546" t="n"/>
      <c r="BX11" s="546" t="n"/>
      <c r="BY11" s="546" t="n"/>
      <c r="BZ11" s="546" t="n"/>
      <c r="CA11" s="15" t="n"/>
      <c r="CB11" s="546" t="n"/>
      <c r="CC11" s="546" t="n"/>
      <c r="CD11" s="546" t="n"/>
      <c r="CE11" s="546" t="n"/>
      <c r="CF11" s="546" t="n"/>
      <c r="CG11" s="15" t="n"/>
      <c r="CH11" s="546" t="n"/>
      <c r="CI11" s="546" t="n"/>
      <c r="CJ11" s="17" t="n"/>
      <c r="CK11" s="546" t="n"/>
      <c r="CL11" s="546" t="n"/>
      <c r="CM11" s="546" t="n"/>
      <c r="CN11" s="546" t="n"/>
      <c r="CO11" s="583" t="n"/>
      <c r="CP11" s="15" t="n"/>
      <c r="CQ11" s="15" t="n"/>
      <c r="CR11" s="15" t="n"/>
      <c r="CS11" s="15" t="n"/>
      <c r="CT11" s="546" t="n"/>
      <c r="CU11" s="17" t="n"/>
      <c r="CV11" s="74" t="n"/>
      <c r="CW11" s="75" t="n"/>
      <c r="CX11" s="76" t="n"/>
      <c r="CY11" s="76" t="n"/>
      <c r="CZ11" s="91" t="n"/>
      <c r="DA11" s="546" t="n"/>
      <c r="DB11" s="546" t="n"/>
      <c r="DC11" s="546" t="n"/>
      <c r="DD11" s="546" t="n"/>
      <c r="DE11" s="583" t="n"/>
      <c r="DF11" s="141" t="n"/>
      <c r="DG11" s="162" t="n"/>
      <c r="DH11" s="162" t="n"/>
      <c r="DI11" s="512" t="n"/>
      <c r="DJ11" s="491" t="n"/>
      <c r="DK11" s="141" t="n"/>
      <c r="DL11" s="139" t="n"/>
      <c r="DM11" s="139" t="n"/>
      <c r="DN11" s="139" t="n"/>
      <c r="DO11" s="347" t="n"/>
      <c r="DP11" s="348" t="n"/>
      <c r="DQ11" s="162" t="n"/>
      <c r="DR11" s="162" t="n"/>
      <c r="DS11" s="162" t="n"/>
      <c r="DT11" s="162" t="n"/>
      <c r="DU11" s="201" t="n"/>
      <c r="DV11" s="201" t="n"/>
      <c r="DW11" s="163" t="n"/>
      <c r="DX11" s="141" t="n"/>
      <c r="DY11" s="139" t="n"/>
      <c r="DZ11" s="139" t="n"/>
      <c r="EA11" s="139" t="n"/>
      <c r="EB11" s="140" t="n"/>
      <c r="EC11" s="347" t="n"/>
      <c r="ED11" s="147" t="n"/>
      <c r="EE11" s="31" t="n"/>
      <c r="EF11" s="349" t="n"/>
      <c r="EG11" s="349" t="n"/>
      <c r="EH11" s="45" t="n"/>
      <c r="EI11" s="351" t="n"/>
      <c r="EJ11" s="107" t="n"/>
      <c r="EK11" s="139" t="n"/>
      <c r="EL11" s="139" t="n"/>
      <c r="EM11" s="139" t="n"/>
      <c r="EN11" s="140" t="n"/>
      <c r="EO11" s="108" t="n"/>
      <c r="EP11" s="141" t="n"/>
      <c r="EQ11" s="140" t="n"/>
      <c r="ER11" s="140" t="n"/>
      <c r="ES11" s="140" t="n"/>
      <c r="ET11" s="347" t="n"/>
      <c r="EU11" s="348" t="n"/>
      <c r="EV11" s="107" t="n"/>
      <c r="EW11" s="140" t="n"/>
      <c r="EX11" s="140" t="n"/>
      <c r="EY11" s="107" t="n"/>
      <c r="EZ11" s="587" t="n"/>
      <c r="FA11" s="587" t="n"/>
      <c r="FB11" s="141" t="n"/>
      <c r="FC11" s="140" t="n"/>
      <c r="FD11" s="140" t="n"/>
      <c r="FE11" s="140" t="n"/>
      <c r="FF11" s="140" t="n"/>
      <c r="FG11" s="147" t="n"/>
      <c r="FH11" s="74" t="n"/>
      <c r="FI11" s="75" t="n"/>
      <c r="FJ11" s="76" t="n"/>
      <c r="FK11" s="76" t="n"/>
      <c r="FL11" s="91" t="n"/>
      <c r="FM11" s="92" t="n"/>
      <c r="FN11" s="91" t="n"/>
      <c r="FO11" s="74" t="n"/>
      <c r="FP11" s="92" t="n"/>
      <c r="FQ11" s="148" t="n"/>
      <c r="FR11" s="149" t="n"/>
      <c r="FS11" s="150" t="n"/>
      <c r="FT11" s="99" t="n"/>
      <c r="FU11" s="100" t="n"/>
      <c r="FV11" s="100" t="n"/>
      <c r="FW11" s="100" t="n"/>
      <c r="FX11" s="100" t="n"/>
      <c r="FY11" s="100" t="n"/>
      <c r="FZ11" s="100" t="n"/>
      <c r="GA11" s="100" t="n"/>
      <c r="GB11" s="100" t="n"/>
      <c r="GC11" s="100" t="n"/>
      <c r="GD11" s="100" t="n"/>
      <c r="GE11" s="102" t="n"/>
      <c r="GF11" s="15" t="n"/>
      <c r="GG11" s="546" t="n"/>
      <c r="GH11" s="546" t="n"/>
      <c r="GI11" s="17" t="n"/>
      <c r="GJ11" s="15" t="n"/>
      <c r="GK11" s="546" t="n"/>
      <c r="GL11" s="546" t="n"/>
      <c r="GM11" s="17" t="n"/>
      <c r="GN11" s="31" t="n"/>
      <c r="GO11" s="349" t="n"/>
      <c r="GP11" s="349" t="n"/>
      <c r="GQ11" s="45" t="n"/>
      <c r="GR11" s="351" t="n"/>
      <c r="GS11" s="31" t="n"/>
      <c r="GT11" s="45" t="n"/>
      <c r="GU11" s="45" t="n"/>
      <c r="GV11" s="350" t="n"/>
      <c r="GW11" s="351" t="n"/>
      <c r="GX11" s="107" t="n"/>
      <c r="GY11" s="587" t="n"/>
      <c r="GZ11" s="108" t="n"/>
      <c r="HA11" s="15" t="n"/>
      <c r="HB11" s="546" t="n"/>
      <c r="HC11" s="17" t="n"/>
      <c r="HD11" s="15" t="n"/>
      <c r="HE11" s="546" t="n"/>
      <c r="HF11" s="546" t="n"/>
      <c r="HG11" s="17" t="n"/>
      <c r="HH11" s="31" t="n"/>
      <c r="HI11" s="45" t="n"/>
      <c r="HJ11" s="45" t="n"/>
      <c r="HK11" s="45" t="n"/>
      <c r="HL11" s="45" t="n"/>
      <c r="HM11" s="45" t="n"/>
      <c r="HN11" s="45" t="n"/>
      <c r="HO11" s="45" t="n"/>
      <c r="HP11" s="45" t="n"/>
      <c r="HQ11" s="45" t="n"/>
      <c r="HR11" s="45" t="n"/>
      <c r="HS11" s="351" t="n"/>
      <c r="HT11" s="606" t="n"/>
      <c r="HU11" s="65">
        <f>AVERAGE(H11,N11,P11)</f>
        <v/>
      </c>
      <c r="HV11" s="66">
        <f>AVERAGE(E11,J11,Q11,S11,U11,Y11,AD11)</f>
        <v/>
      </c>
      <c r="HW11" s="66">
        <f>AVERAGE(V11)</f>
        <v/>
      </c>
      <c r="HX11" s="66">
        <f>AVERAGE(R11)</f>
        <v/>
      </c>
      <c r="HY11" s="66">
        <f>AVERAGE(Z11,T11,G11)</f>
        <v/>
      </c>
      <c r="HZ11" s="66" t="n"/>
      <c r="IA11" s="66">
        <f>AVERAGE(AB11)</f>
        <v/>
      </c>
      <c r="IB11" s="66" t="n"/>
      <c r="IC11" s="66" t="n"/>
      <c r="ID11" s="66">
        <f>AVERAGE(AC11)</f>
        <v/>
      </c>
    </row>
    <row r="12" ht="18" customHeight="1" s="590">
      <c r="B12" s="12" t="n">
        <v>6</v>
      </c>
      <c r="C12" s="203" t="inlineStr">
        <is>
          <t>052-25-27229</t>
        </is>
      </c>
      <c r="D12" s="14" t="inlineStr">
        <is>
          <t xml:space="preserve">Muhammad Haider Iqbal </t>
        </is>
      </c>
      <c r="E12" s="114" t="n">
        <v>66.67</v>
      </c>
      <c r="F12" s="115" t="n">
        <v>76.25</v>
      </c>
      <c r="G12" s="115" t="n">
        <v>73.89</v>
      </c>
      <c r="H12" s="510" t="n">
        <v>73.33</v>
      </c>
      <c r="I12" s="510" t="n">
        <v>75.70999999999999</v>
      </c>
      <c r="J12" s="117" t="n">
        <v>73.33</v>
      </c>
      <c r="K12" s="561" t="n">
        <v>74.67</v>
      </c>
      <c r="L12" s="583" t="n">
        <v>79.72</v>
      </c>
      <c r="M12" s="546" t="n">
        <v>63.22</v>
      </c>
      <c r="N12" s="117" t="n">
        <v>20.42</v>
      </c>
      <c r="O12" s="663" t="n"/>
      <c r="P12" s="561" t="n">
        <v>18</v>
      </c>
      <c r="Q12" s="583" t="n">
        <v>26.67</v>
      </c>
      <c r="R12" s="546" t="n">
        <v>15</v>
      </c>
      <c r="S12" s="115" t="n">
        <v>21.21</v>
      </c>
      <c r="T12" s="117" t="n">
        <v>9.09</v>
      </c>
      <c r="U12" s="225" t="n">
        <v>57.78</v>
      </c>
      <c r="V12" s="225" t="n">
        <v>65</v>
      </c>
      <c r="W12" s="225" t="n">
        <v>25</v>
      </c>
      <c r="X12" s="225" t="n">
        <v>75</v>
      </c>
      <c r="Y12" s="225" t="n">
        <v>96.25</v>
      </c>
      <c r="Z12" s="225" t="n">
        <v>82.67</v>
      </c>
      <c r="AA12" s="225" t="n">
        <v>93.33</v>
      </c>
      <c r="AB12" s="225" t="n">
        <v>90</v>
      </c>
      <c r="AC12" s="117" t="n"/>
      <c r="AD12" s="117" t="n"/>
      <c r="AE12" s="114" t="n"/>
      <c r="AF12" s="117" t="n"/>
      <c r="AG12" s="128" t="n"/>
      <c r="AH12" s="128" t="n"/>
      <c r="AI12" s="128" t="n"/>
      <c r="AJ12" s="128" t="n"/>
      <c r="AK12" s="543" t="n"/>
      <c r="AL12" s="543" t="n"/>
      <c r="AM12" s="127" t="n"/>
      <c r="AN12" s="128" t="n"/>
      <c r="AO12" s="131" t="n"/>
      <c r="AP12" s="127" t="n"/>
      <c r="AQ12" s="128" t="n"/>
      <c r="AR12" s="128" t="n"/>
      <c r="AS12" s="128" t="n"/>
      <c r="AT12" s="131" t="n"/>
      <c r="AU12" s="127" t="n"/>
      <c r="AV12" s="128" t="n"/>
      <c r="AW12" s="128" t="n"/>
      <c r="AX12" s="128" t="n"/>
      <c r="AY12" s="131" t="n"/>
      <c r="AZ12" s="127" t="n"/>
      <c r="BA12" s="128" t="n"/>
      <c r="BB12" s="128" t="n"/>
      <c r="BC12" s="131" t="n"/>
      <c r="BD12" s="131" t="n"/>
      <c r="BE12" s="131" t="n"/>
      <c r="BF12" s="131" t="n"/>
      <c r="BG12" s="114" t="n"/>
      <c r="BH12" s="546" t="n"/>
      <c r="BI12" s="511" t="n"/>
      <c r="BJ12" s="114" t="n"/>
      <c r="BK12" s="546" t="n"/>
      <c r="BL12" s="511" t="n"/>
      <c r="BM12" s="114" t="n"/>
      <c r="BN12" s="546" t="n"/>
      <c r="BO12" s="546" t="n"/>
      <c r="BP12" s="546" t="n"/>
      <c r="BQ12" s="546" t="n"/>
      <c r="BR12" s="546" t="n"/>
      <c r="BS12" s="511" t="n"/>
      <c r="BT12" s="546" t="n"/>
      <c r="BU12" s="546" t="n"/>
      <c r="BV12" s="546" t="n"/>
      <c r="BW12" s="546" t="n"/>
      <c r="BX12" s="546" t="n"/>
      <c r="BY12" s="546" t="n"/>
      <c r="BZ12" s="546" t="n"/>
      <c r="CA12" s="15" t="n"/>
      <c r="CB12" s="546" t="n"/>
      <c r="CC12" s="546" t="n"/>
      <c r="CD12" s="546" t="n"/>
      <c r="CE12" s="546" t="n"/>
      <c r="CF12" s="546" t="n"/>
      <c r="CG12" s="15" t="n"/>
      <c r="CH12" s="546" t="n"/>
      <c r="CI12" s="546" t="n"/>
      <c r="CJ12" s="17" t="n"/>
      <c r="CK12" s="546" t="n"/>
      <c r="CL12" s="546" t="n"/>
      <c r="CM12" s="546" t="n"/>
      <c r="CN12" s="546" t="n"/>
      <c r="CO12" s="583" t="n"/>
      <c r="CP12" s="15" t="n"/>
      <c r="CQ12" s="15" t="n"/>
      <c r="CR12" s="15" t="n"/>
      <c r="CS12" s="15" t="n"/>
      <c r="CT12" s="546" t="n"/>
      <c r="CU12" s="17" t="n"/>
      <c r="CV12" s="74" t="n"/>
      <c r="CW12" s="75" t="n"/>
      <c r="CX12" s="76" t="n"/>
      <c r="CY12" s="76" t="n"/>
      <c r="CZ12" s="91" t="n"/>
      <c r="DA12" s="546" t="n"/>
      <c r="DB12" s="546" t="n"/>
      <c r="DC12" s="546" t="n"/>
      <c r="DD12" s="546" t="n"/>
      <c r="DE12" s="583" t="n"/>
      <c r="DF12" s="141" t="n"/>
      <c r="DG12" s="162" t="n"/>
      <c r="DH12" s="162" t="n"/>
      <c r="DI12" s="512" t="n"/>
      <c r="DJ12" s="491" t="n"/>
      <c r="DK12" s="141" t="n"/>
      <c r="DL12" s="139" t="n"/>
      <c r="DM12" s="139" t="n"/>
      <c r="DN12" s="139" t="n"/>
      <c r="DO12" s="347" t="n"/>
      <c r="DP12" s="348" t="n"/>
      <c r="DQ12" s="162" t="n"/>
      <c r="DR12" s="162" t="n"/>
      <c r="DS12" s="162" t="n"/>
      <c r="DT12" s="162" t="n"/>
      <c r="DU12" s="201" t="n"/>
      <c r="DV12" s="201" t="n"/>
      <c r="DW12" s="163" t="n"/>
      <c r="DX12" s="141" t="n"/>
      <c r="DY12" s="139" t="n"/>
      <c r="DZ12" s="139" t="n"/>
      <c r="EA12" s="139" t="n"/>
      <c r="EB12" s="140" t="n"/>
      <c r="EC12" s="347" t="n"/>
      <c r="ED12" s="147" t="n"/>
      <c r="EE12" s="31" t="n"/>
      <c r="EF12" s="349" t="n"/>
      <c r="EG12" s="349" t="n"/>
      <c r="EH12" s="45" t="n"/>
      <c r="EI12" s="351" t="n"/>
      <c r="EJ12" s="107" t="n"/>
      <c r="EK12" s="139" t="n"/>
      <c r="EL12" s="139" t="n"/>
      <c r="EM12" s="139" t="n"/>
      <c r="EN12" s="140" t="n"/>
      <c r="EO12" s="108" t="n"/>
      <c r="EP12" s="141" t="n"/>
      <c r="EQ12" s="140" t="n"/>
      <c r="ER12" s="140" t="n"/>
      <c r="ES12" s="140" t="n"/>
      <c r="ET12" s="347" t="n"/>
      <c r="EU12" s="348" t="n"/>
      <c r="EV12" s="107" t="n"/>
      <c r="EW12" s="140" t="n"/>
      <c r="EX12" s="140" t="n"/>
      <c r="EY12" s="107" t="n"/>
      <c r="EZ12" s="587" t="n"/>
      <c r="FA12" s="587" t="n"/>
      <c r="FB12" s="141" t="n"/>
      <c r="FC12" s="140" t="n"/>
      <c r="FD12" s="140" t="n"/>
      <c r="FE12" s="140" t="n"/>
      <c r="FF12" s="140" t="n"/>
      <c r="FG12" s="147" t="n"/>
      <c r="FH12" s="74" t="n"/>
      <c r="FI12" s="75" t="n"/>
      <c r="FJ12" s="76" t="n"/>
      <c r="FK12" s="76" t="n"/>
      <c r="FL12" s="91" t="n"/>
      <c r="FM12" s="92" t="n"/>
      <c r="FN12" s="91" t="n"/>
      <c r="FO12" s="74" t="n"/>
      <c r="FP12" s="92" t="n"/>
      <c r="FQ12" s="148" t="n"/>
      <c r="FR12" s="149" t="n"/>
      <c r="FS12" s="150" t="n"/>
      <c r="FT12" s="99" t="n"/>
      <c r="FU12" s="100" t="n"/>
      <c r="FV12" s="100" t="n"/>
      <c r="FW12" s="100" t="n"/>
      <c r="FX12" s="100" t="n"/>
      <c r="FY12" s="100" t="n"/>
      <c r="FZ12" s="100" t="n"/>
      <c r="GA12" s="100" t="n"/>
      <c r="GB12" s="100" t="n"/>
      <c r="GC12" s="100" t="n"/>
      <c r="GD12" s="100" t="n"/>
      <c r="GE12" s="102" t="n"/>
      <c r="GF12" s="15" t="n"/>
      <c r="GG12" s="546" t="n"/>
      <c r="GH12" s="546" t="n"/>
      <c r="GI12" s="17" t="n"/>
      <c r="GJ12" s="15" t="n"/>
      <c r="GK12" s="546" t="n"/>
      <c r="GL12" s="546" t="n"/>
      <c r="GM12" s="17" t="n"/>
      <c r="GN12" s="31" t="n"/>
      <c r="GO12" s="349" t="n"/>
      <c r="GP12" s="349" t="n"/>
      <c r="GQ12" s="45" t="n"/>
      <c r="GR12" s="351" t="n"/>
      <c r="GS12" s="31" t="n"/>
      <c r="GT12" s="45" t="n"/>
      <c r="GU12" s="45" t="n"/>
      <c r="GV12" s="350" t="n"/>
      <c r="GW12" s="351" t="n"/>
      <c r="GX12" s="107" t="n"/>
      <c r="GY12" s="587" t="n"/>
      <c r="GZ12" s="108" t="n"/>
      <c r="HA12" s="15" t="n"/>
      <c r="HB12" s="546" t="n"/>
      <c r="HC12" s="17" t="n"/>
      <c r="HD12" s="15" t="n"/>
      <c r="HE12" s="546" t="n"/>
      <c r="HF12" s="546" t="n"/>
      <c r="HG12" s="17" t="n"/>
      <c r="HH12" s="31" t="n"/>
      <c r="HI12" s="45" t="n"/>
      <c r="HJ12" s="45" t="n"/>
      <c r="HK12" s="45" t="n"/>
      <c r="HL12" s="45" t="n"/>
      <c r="HM12" s="45" t="n"/>
      <c r="HN12" s="45" t="n"/>
      <c r="HO12" s="45" t="n"/>
      <c r="HP12" s="45" t="n"/>
      <c r="HQ12" s="45" t="n"/>
      <c r="HR12" s="45" t="n"/>
      <c r="HS12" s="351" t="n"/>
      <c r="HT12" s="606" t="n"/>
      <c r="HU12" s="65">
        <f>AVERAGE(H12,N12,P12)</f>
        <v/>
      </c>
      <c r="HV12" s="66">
        <f>AVERAGE(E12,J12,Q12,S12,U12,Y12,AD12)</f>
        <v/>
      </c>
      <c r="HW12" s="66">
        <f>AVERAGE(V12)</f>
        <v/>
      </c>
      <c r="HX12" s="66">
        <f>AVERAGE(R12)</f>
        <v/>
      </c>
      <c r="HY12" s="66">
        <f>AVERAGE(Z12,T12,G12)</f>
        <v/>
      </c>
      <c r="HZ12" s="66" t="n"/>
      <c r="IA12" s="66">
        <f>AVERAGE(AB12)</f>
        <v/>
      </c>
      <c r="IB12" s="66" t="n"/>
      <c r="IC12" s="66" t="n"/>
      <c r="ID12" s="66">
        <f>AVERAGE(AC12)</f>
        <v/>
      </c>
    </row>
    <row r="13" ht="18" customHeight="1" s="590">
      <c r="B13" s="12" t="n">
        <v>7</v>
      </c>
      <c r="C13" s="203" t="inlineStr">
        <is>
          <t>052-25-27252</t>
        </is>
      </c>
      <c r="D13" s="14" t="inlineStr">
        <is>
          <t>Hifza Noor</t>
        </is>
      </c>
      <c r="E13" s="114" t="n">
        <v>85.33</v>
      </c>
      <c r="F13" s="115" t="n">
        <v>83.5</v>
      </c>
      <c r="G13" s="115" t="n">
        <v>78.89</v>
      </c>
      <c r="H13" s="510" t="n">
        <v>84.33</v>
      </c>
      <c r="I13" s="510" t="n">
        <v>85.70999999999999</v>
      </c>
      <c r="J13" s="117" t="n">
        <v>87.78</v>
      </c>
      <c r="K13" s="561" t="n">
        <v>78.5</v>
      </c>
      <c r="L13" s="583" t="n">
        <v>85</v>
      </c>
      <c r="M13" s="546" t="n">
        <v>72.53</v>
      </c>
      <c r="N13" s="117" t="n">
        <v>89.66</v>
      </c>
      <c r="O13" s="663" t="n"/>
      <c r="P13" s="561" t="n">
        <v>74</v>
      </c>
      <c r="Q13" s="583" t="n">
        <v>60</v>
      </c>
      <c r="R13" s="546" t="n">
        <v>60.56</v>
      </c>
      <c r="S13" s="115" t="n">
        <v>77.27</v>
      </c>
      <c r="T13" s="117" t="n">
        <v>84.55</v>
      </c>
      <c r="U13" s="225" t="n">
        <v>67.22</v>
      </c>
      <c r="V13" s="225" t="n">
        <v>67.5</v>
      </c>
      <c r="W13" s="225" t="n">
        <v>58.33</v>
      </c>
      <c r="X13" s="225" t="n">
        <v>25</v>
      </c>
      <c r="Y13" s="225" t="n">
        <v>81.25</v>
      </c>
      <c r="Z13" s="225" t="n">
        <v>70.67</v>
      </c>
      <c r="AA13" s="225" t="n">
        <v>83.33</v>
      </c>
      <c r="AB13" s="225" t="n">
        <v>85</v>
      </c>
      <c r="AC13" s="117" t="n"/>
      <c r="AD13" s="117" t="n"/>
      <c r="AE13" s="114" t="n"/>
      <c r="AF13" s="117" t="n"/>
      <c r="AG13" s="115" t="n"/>
      <c r="AH13" s="115" t="n"/>
      <c r="AI13" s="115" t="n"/>
      <c r="AJ13" s="115" t="n"/>
      <c r="AK13" s="510" t="n"/>
      <c r="AL13" s="510" t="n"/>
      <c r="AM13" s="127" t="n"/>
      <c r="AN13" s="128" t="n"/>
      <c r="AO13" s="131" t="n"/>
      <c r="AP13" s="127" t="n"/>
      <c r="AQ13" s="128" t="n"/>
      <c r="AR13" s="128" t="n"/>
      <c r="AS13" s="128" t="n"/>
      <c r="AT13" s="131" t="n"/>
      <c r="AU13" s="127" t="n"/>
      <c r="AV13" s="128" t="n"/>
      <c r="AW13" s="128" t="n"/>
      <c r="AX13" s="128" t="n"/>
      <c r="AY13" s="131" t="n"/>
      <c r="AZ13" s="127" t="n"/>
      <c r="BA13" s="128" t="n"/>
      <c r="BB13" s="128" t="n"/>
      <c r="BC13" s="131" t="n"/>
      <c r="BD13" s="131" t="n"/>
      <c r="BE13" s="131" t="n"/>
      <c r="BF13" s="131" t="n"/>
      <c r="BG13" s="114" t="n"/>
      <c r="BH13" s="546" t="n"/>
      <c r="BI13" s="511" t="n"/>
      <c r="BJ13" s="114" t="n"/>
      <c r="BK13" s="546" t="n"/>
      <c r="BL13" s="511" t="n"/>
      <c r="BM13" s="114" t="n"/>
      <c r="BN13" s="546" t="n"/>
      <c r="BO13" s="546" t="n"/>
      <c r="BP13" s="546" t="n"/>
      <c r="BQ13" s="546" t="n"/>
      <c r="BR13" s="546" t="n"/>
      <c r="BS13" s="511" t="n"/>
      <c r="BT13" s="546" t="n"/>
      <c r="BU13" s="546" t="n"/>
      <c r="BV13" s="546" t="n"/>
      <c r="BW13" s="546" t="n"/>
      <c r="BX13" s="546" t="n"/>
      <c r="BY13" s="546" t="n"/>
      <c r="BZ13" s="546" t="n"/>
      <c r="CA13" s="15" t="n"/>
      <c r="CB13" s="546" t="n"/>
      <c r="CC13" s="546" t="n"/>
      <c r="CD13" s="546" t="n"/>
      <c r="CE13" s="546" t="n"/>
      <c r="CF13" s="546" t="n"/>
      <c r="CG13" s="15" t="n"/>
      <c r="CH13" s="546" t="n"/>
      <c r="CI13" s="546" t="n"/>
      <c r="CJ13" s="17" t="n"/>
      <c r="CK13" s="546" t="n"/>
      <c r="CL13" s="546" t="n"/>
      <c r="CM13" s="546" t="n"/>
      <c r="CN13" s="546" t="n"/>
      <c r="CO13" s="583" t="n"/>
      <c r="CP13" s="15" t="n"/>
      <c r="CQ13" s="15" t="n"/>
      <c r="CR13" s="15" t="n"/>
      <c r="CS13" s="15" t="n"/>
      <c r="CT13" s="546" t="n"/>
      <c r="CU13" s="17" t="n"/>
      <c r="CV13" s="74" t="n"/>
      <c r="CW13" s="75" t="n"/>
      <c r="CX13" s="76" t="n"/>
      <c r="CY13" s="76" t="n"/>
      <c r="CZ13" s="91" t="n"/>
      <c r="DA13" s="546" t="n"/>
      <c r="DB13" s="546" t="n"/>
      <c r="DC13" s="546" t="n"/>
      <c r="DD13" s="546" t="n"/>
      <c r="DE13" s="583" t="n"/>
      <c r="DF13" s="141" t="n"/>
      <c r="DG13" s="162" t="n"/>
      <c r="DH13" s="162" t="n"/>
      <c r="DI13" s="512" t="n"/>
      <c r="DJ13" s="665" t="n"/>
      <c r="DK13" s="141" t="n"/>
      <c r="DL13" s="139" t="n"/>
      <c r="DM13" s="139" t="n"/>
      <c r="DN13" s="139" t="n"/>
      <c r="DO13" s="147" t="n"/>
      <c r="DP13" s="664" t="n"/>
      <c r="DQ13" s="162" t="n"/>
      <c r="DR13" s="162" t="n"/>
      <c r="DS13" s="162" t="n"/>
      <c r="DT13" s="162" t="n"/>
      <c r="DU13" s="201" t="n"/>
      <c r="DV13" s="201" t="n"/>
      <c r="DW13" s="163" t="n"/>
      <c r="DX13" s="141" t="n"/>
      <c r="DY13" s="139" t="n"/>
      <c r="DZ13" s="139" t="n"/>
      <c r="EA13" s="139" t="n"/>
      <c r="EB13" s="140" t="n"/>
      <c r="EC13" s="347" t="n"/>
      <c r="ED13" s="147" t="n"/>
      <c r="EE13" s="31" t="n"/>
      <c r="EF13" s="349" t="n"/>
      <c r="EG13" s="665" t="n"/>
      <c r="EH13" s="45" t="n"/>
      <c r="EI13" s="351" t="n"/>
      <c r="EJ13" s="107" t="n"/>
      <c r="EK13" s="139" t="n"/>
      <c r="EL13" s="139" t="n"/>
      <c r="EM13" s="139" t="n"/>
      <c r="EN13" s="140" t="n"/>
      <c r="EO13" s="108" t="n"/>
      <c r="EP13" s="141" t="n"/>
      <c r="EQ13" s="140" t="n"/>
      <c r="ER13" s="140" t="n"/>
      <c r="ES13" s="140" t="n"/>
      <c r="ET13" s="147" t="n"/>
      <c r="EU13" s="664" t="n"/>
      <c r="EV13" s="107" t="n"/>
      <c r="EW13" s="140" t="n"/>
      <c r="EX13" s="140" t="n"/>
      <c r="EY13" s="107" t="n"/>
      <c r="EZ13" s="587" t="n"/>
      <c r="FA13" s="587" t="n"/>
      <c r="FB13" s="141" t="n"/>
      <c r="FC13" s="140" t="n"/>
      <c r="FD13" s="140" t="n"/>
      <c r="FE13" s="140" t="n"/>
      <c r="FF13" s="140" t="n"/>
      <c r="FG13" s="147" t="n"/>
      <c r="FH13" s="74" t="n"/>
      <c r="FI13" s="75" t="n"/>
      <c r="FJ13" s="76" t="n"/>
      <c r="FK13" s="76" t="n"/>
      <c r="FL13" s="91" t="n"/>
      <c r="FM13" s="92" t="n"/>
      <c r="FN13" s="91" t="n"/>
      <c r="FO13" s="74" t="n"/>
      <c r="FP13" s="92" t="n"/>
      <c r="FQ13" s="148" t="n"/>
      <c r="FR13" s="149" t="n"/>
      <c r="FS13" s="150" t="n"/>
      <c r="FT13" s="99" t="n"/>
      <c r="FU13" s="100" t="n"/>
      <c r="FV13" s="100" t="n"/>
      <c r="FW13" s="100" t="n"/>
      <c r="FX13" s="100" t="n"/>
      <c r="FY13" s="100" t="n"/>
      <c r="FZ13" s="100" t="n"/>
      <c r="GA13" s="100" t="n"/>
      <c r="GB13" s="100" t="n"/>
      <c r="GC13" s="100" t="n"/>
      <c r="GD13" s="100" t="n"/>
      <c r="GE13" s="102" t="n"/>
      <c r="GF13" s="15" t="n"/>
      <c r="GG13" s="546" t="n"/>
      <c r="GH13" s="546" t="n"/>
      <c r="GI13" s="17" t="n"/>
      <c r="GJ13" s="15" t="n"/>
      <c r="GK13" s="546" t="n"/>
      <c r="GL13" s="546" t="n"/>
      <c r="GM13" s="17" t="n"/>
      <c r="GN13" s="31" t="n"/>
      <c r="GO13" s="349" t="n"/>
      <c r="GP13" s="665" t="n"/>
      <c r="GQ13" s="45" t="n"/>
      <c r="GR13" s="351" t="n"/>
      <c r="GS13" s="31" t="n"/>
      <c r="GT13" s="45" t="n"/>
      <c r="GU13" s="45" t="n"/>
      <c r="GV13" s="351" t="n"/>
      <c r="GW13" s="663" t="n"/>
      <c r="GX13" s="107" t="n"/>
      <c r="GY13" s="587" t="n"/>
      <c r="GZ13" s="108" t="n"/>
      <c r="HA13" s="15" t="n"/>
      <c r="HB13" s="546" t="n"/>
      <c r="HC13" s="17" t="n"/>
      <c r="HD13" s="15" t="n"/>
      <c r="HE13" s="546" t="n"/>
      <c r="HF13" s="546" t="n"/>
      <c r="HG13" s="17" t="n"/>
      <c r="HH13" s="31" t="n"/>
      <c r="HI13" s="45" t="n"/>
      <c r="HJ13" s="45" t="n"/>
      <c r="HK13" s="45" t="n"/>
      <c r="HL13" s="45" t="n"/>
      <c r="HM13" s="45" t="n"/>
      <c r="HN13" s="45" t="n"/>
      <c r="HO13" s="45" t="n"/>
      <c r="HP13" s="45" t="n"/>
      <c r="HQ13" s="45" t="n"/>
      <c r="HR13" s="45" t="n"/>
      <c r="HS13" s="351" t="n"/>
      <c r="HT13" s="606" t="n"/>
      <c r="HU13" s="65">
        <f>AVERAGE(H13,N13,P13)</f>
        <v/>
      </c>
      <c r="HV13" s="66">
        <f>AVERAGE(E13,J13,Q13,S13,U13,Y13,AD13)</f>
        <v/>
      </c>
      <c r="HW13" s="66">
        <f>AVERAGE(V13)</f>
        <v/>
      </c>
      <c r="HX13" s="66">
        <f>AVERAGE(R13)</f>
        <v/>
      </c>
      <c r="HY13" s="66">
        <f>AVERAGE(Z13,T13,G13)</f>
        <v/>
      </c>
      <c r="HZ13" s="66" t="n"/>
      <c r="IA13" s="66">
        <f>AVERAGE(AB13)</f>
        <v/>
      </c>
      <c r="IB13" s="66" t="n"/>
      <c r="IC13" s="66" t="n"/>
      <c r="ID13" s="66">
        <f>AVERAGE(AC13)</f>
        <v/>
      </c>
    </row>
    <row r="14" ht="18" customHeight="1" s="590">
      <c r="B14" s="12" t="n">
        <v>8</v>
      </c>
      <c r="C14" s="203" t="inlineStr">
        <is>
          <t>052-25-27262</t>
        </is>
      </c>
      <c r="D14" s="14" t="inlineStr">
        <is>
          <t xml:space="preserve">Usman Khan </t>
        </is>
      </c>
      <c r="E14" s="114" t="n">
        <v>38.67</v>
      </c>
      <c r="F14" s="115" t="n">
        <v>51</v>
      </c>
      <c r="G14" s="115" t="n">
        <v>46.11</v>
      </c>
      <c r="H14" s="510" t="n">
        <v>49</v>
      </c>
      <c r="I14" s="510" t="n">
        <v>52.38</v>
      </c>
      <c r="J14" s="117" t="n">
        <v>53.33</v>
      </c>
      <c r="K14" s="561" t="n">
        <v>70.33</v>
      </c>
      <c r="L14" s="583" t="n">
        <v>79.17</v>
      </c>
      <c r="M14" s="546" t="n">
        <v>61.86</v>
      </c>
      <c r="N14" s="117" t="n">
        <v>51.11</v>
      </c>
      <c r="O14" s="663" t="n"/>
      <c r="P14" s="561" t="n">
        <v>72</v>
      </c>
      <c r="Q14" s="583" t="n">
        <v>60</v>
      </c>
      <c r="R14" s="546" t="n">
        <v>58.89</v>
      </c>
      <c r="S14" s="115" t="n">
        <v>62.73</v>
      </c>
      <c r="T14" s="117" t="n">
        <v>73.18000000000001</v>
      </c>
      <c r="U14" s="225" t="n">
        <v>41.11</v>
      </c>
      <c r="V14" s="225" t="n">
        <v>37.5</v>
      </c>
      <c r="W14" s="225" t="n">
        <v>8.33</v>
      </c>
      <c r="X14" s="225" t="n">
        <v>50</v>
      </c>
      <c r="Y14" s="225" t="n">
        <v>82.5</v>
      </c>
      <c r="Z14" s="225" t="n">
        <v>68</v>
      </c>
      <c r="AA14" s="225" t="n">
        <v>83.33</v>
      </c>
      <c r="AB14" s="225" t="n">
        <v>85</v>
      </c>
      <c r="AC14" s="117" t="n"/>
      <c r="AD14" s="117" t="n"/>
      <c r="AE14" s="114" t="n"/>
      <c r="AF14" s="117" t="n"/>
      <c r="AG14" s="115" t="n"/>
      <c r="AH14" s="115" t="n"/>
      <c r="AI14" s="115" t="n"/>
      <c r="AJ14" s="115" t="n"/>
      <c r="AK14" s="510" t="n"/>
      <c r="AL14" s="510" t="n"/>
      <c r="AM14" s="127" t="n"/>
      <c r="AN14" s="128" t="n"/>
      <c r="AO14" s="131" t="n"/>
      <c r="AP14" s="127" t="n"/>
      <c r="AQ14" s="128" t="n"/>
      <c r="AR14" s="128" t="n"/>
      <c r="AS14" s="128" t="n"/>
      <c r="AT14" s="131" t="n"/>
      <c r="AU14" s="127" t="n"/>
      <c r="AV14" s="128" t="n"/>
      <c r="AW14" s="128" t="n"/>
      <c r="AX14" s="128" t="n"/>
      <c r="AY14" s="131" t="n"/>
      <c r="AZ14" s="127" t="n"/>
      <c r="BA14" s="128" t="n"/>
      <c r="BB14" s="128" t="n"/>
      <c r="BC14" s="131" t="n"/>
      <c r="BD14" s="131" t="n"/>
      <c r="BE14" s="131" t="n"/>
      <c r="BF14" s="131" t="n"/>
      <c r="BG14" s="114" t="n"/>
      <c r="BH14" s="546" t="n"/>
      <c r="BI14" s="511" t="n"/>
      <c r="BJ14" s="114" t="n"/>
      <c r="BK14" s="546" t="n"/>
      <c r="BL14" s="511" t="n"/>
      <c r="BM14" s="114" t="n"/>
      <c r="BN14" s="546" t="n"/>
      <c r="BO14" s="546" t="n"/>
      <c r="BP14" s="546" t="n"/>
      <c r="BQ14" s="546" t="n"/>
      <c r="BR14" s="546" t="n"/>
      <c r="BS14" s="511" t="n"/>
      <c r="BT14" s="546" t="n"/>
      <c r="BU14" s="546" t="n"/>
      <c r="BV14" s="546" t="n"/>
      <c r="BW14" s="546" t="n"/>
      <c r="BX14" s="546" t="n"/>
      <c r="BY14" s="546" t="n"/>
      <c r="BZ14" s="546" t="n"/>
      <c r="CA14" s="15" t="n"/>
      <c r="CB14" s="546" t="n"/>
      <c r="CC14" s="546" t="n"/>
      <c r="CD14" s="546" t="n"/>
      <c r="CE14" s="546" t="n"/>
      <c r="CF14" s="546" t="n"/>
      <c r="CG14" s="15" t="n"/>
      <c r="CH14" s="546" t="n"/>
      <c r="CI14" s="546" t="n"/>
      <c r="CJ14" s="17" t="n"/>
      <c r="CK14" s="546" t="n"/>
      <c r="CL14" s="546" t="n"/>
      <c r="CM14" s="546" t="n"/>
      <c r="CN14" s="546" t="n"/>
      <c r="CO14" s="583" t="n"/>
      <c r="CP14" s="15" t="n"/>
      <c r="CQ14" s="15" t="n"/>
      <c r="CR14" s="15" t="n"/>
      <c r="CS14" s="15" t="n"/>
      <c r="CT14" s="546" t="n"/>
      <c r="CU14" s="17" t="n"/>
      <c r="CV14" s="74" t="n"/>
      <c r="CW14" s="75" t="n"/>
      <c r="CX14" s="76" t="n"/>
      <c r="CY14" s="76" t="n"/>
      <c r="CZ14" s="91" t="n"/>
      <c r="DA14" s="546" t="n"/>
      <c r="DB14" s="546" t="n"/>
      <c r="DC14" s="546" t="n"/>
      <c r="DD14" s="546" t="n"/>
      <c r="DE14" s="583" t="n"/>
      <c r="DF14" s="141" t="n"/>
      <c r="DG14" s="162" t="n"/>
      <c r="DH14" s="162" t="n"/>
      <c r="DI14" s="512" t="n"/>
      <c r="DJ14" s="491" t="n"/>
      <c r="DK14" s="141" t="n"/>
      <c r="DL14" s="139" t="n"/>
      <c r="DM14" s="139" t="n"/>
      <c r="DN14" s="139" t="n"/>
      <c r="DO14" s="347" t="n"/>
      <c r="DP14" s="348" t="n"/>
      <c r="DQ14" s="162" t="n"/>
      <c r="DR14" s="162" t="n"/>
      <c r="DS14" s="162" t="n"/>
      <c r="DT14" s="162" t="n"/>
      <c r="DU14" s="201" t="n"/>
      <c r="DV14" s="201" t="n"/>
      <c r="DW14" s="163" t="n"/>
      <c r="DX14" s="141" t="n"/>
      <c r="DY14" s="139" t="n"/>
      <c r="DZ14" s="139" t="n"/>
      <c r="EA14" s="139" t="n"/>
      <c r="EB14" s="140" t="n"/>
      <c r="EC14" s="347" t="n"/>
      <c r="ED14" s="147" t="n"/>
      <c r="EE14" s="31" t="n"/>
      <c r="EF14" s="349" t="n"/>
      <c r="EG14" s="349" t="n"/>
      <c r="EH14" s="45" t="n"/>
      <c r="EI14" s="351" t="n"/>
      <c r="EJ14" s="107" t="n"/>
      <c r="EK14" s="139" t="n"/>
      <c r="EL14" s="139" t="n"/>
      <c r="EM14" s="139" t="n"/>
      <c r="EN14" s="140" t="n"/>
      <c r="EO14" s="108" t="n"/>
      <c r="EP14" s="141" t="n"/>
      <c r="EQ14" s="140" t="n"/>
      <c r="ER14" s="140" t="n"/>
      <c r="ES14" s="140" t="n"/>
      <c r="ET14" s="347" t="n"/>
      <c r="EU14" s="348" t="n"/>
      <c r="EV14" s="107" t="n"/>
      <c r="EW14" s="140" t="n"/>
      <c r="EX14" s="140" t="n"/>
      <c r="EY14" s="107" t="n"/>
      <c r="EZ14" s="587" t="n"/>
      <c r="FA14" s="587" t="n"/>
      <c r="FB14" s="141" t="n"/>
      <c r="FC14" s="140" t="n"/>
      <c r="FD14" s="140" t="n"/>
      <c r="FE14" s="140" t="n"/>
      <c r="FF14" s="140" t="n"/>
      <c r="FG14" s="147" t="n"/>
      <c r="FH14" s="74" t="n"/>
      <c r="FI14" s="75" t="n"/>
      <c r="FJ14" s="76" t="n"/>
      <c r="FK14" s="76" t="n"/>
      <c r="FL14" s="91" t="n"/>
      <c r="FM14" s="92" t="n"/>
      <c r="FN14" s="91" t="n"/>
      <c r="FO14" s="74" t="n"/>
      <c r="FP14" s="92" t="n"/>
      <c r="FQ14" s="148" t="n"/>
      <c r="FR14" s="149" t="n"/>
      <c r="FS14" s="150" t="n"/>
      <c r="FT14" s="99" t="n"/>
      <c r="FU14" s="100" t="n"/>
      <c r="FV14" s="100" t="n"/>
      <c r="FW14" s="100" t="n"/>
      <c r="FX14" s="100" t="n"/>
      <c r="FY14" s="100" t="n"/>
      <c r="FZ14" s="100" t="n"/>
      <c r="GA14" s="100" t="n"/>
      <c r="GB14" s="100" t="n"/>
      <c r="GC14" s="100" t="n"/>
      <c r="GD14" s="100" t="n"/>
      <c r="GE14" s="102" t="n"/>
      <c r="GF14" s="15" t="n"/>
      <c r="GG14" s="546" t="n"/>
      <c r="GH14" s="546" t="n"/>
      <c r="GI14" s="17" t="n"/>
      <c r="GJ14" s="15" t="n"/>
      <c r="GK14" s="546" t="n"/>
      <c r="GL14" s="546" t="n"/>
      <c r="GM14" s="17" t="n"/>
      <c r="GN14" s="31" t="n"/>
      <c r="GO14" s="349" t="n"/>
      <c r="GP14" s="349" t="n"/>
      <c r="GQ14" s="45" t="n"/>
      <c r="GR14" s="351" t="n"/>
      <c r="GS14" s="31" t="n"/>
      <c r="GT14" s="45" t="n"/>
      <c r="GU14" s="45" t="n"/>
      <c r="GV14" s="350" t="n"/>
      <c r="GW14" s="351" t="n"/>
      <c r="GX14" s="107" t="n"/>
      <c r="GY14" s="587" t="n"/>
      <c r="GZ14" s="108" t="n"/>
      <c r="HA14" s="15" t="n"/>
      <c r="HB14" s="546" t="n"/>
      <c r="HC14" s="17" t="n"/>
      <c r="HD14" s="15" t="n"/>
      <c r="HE14" s="546" t="n"/>
      <c r="HF14" s="546" t="n"/>
      <c r="HG14" s="17" t="n"/>
      <c r="HH14" s="31" t="n"/>
      <c r="HI14" s="45" t="n"/>
      <c r="HJ14" s="45" t="n"/>
      <c r="HK14" s="45" t="n"/>
      <c r="HL14" s="45" t="n"/>
      <c r="HM14" s="45" t="n"/>
      <c r="HN14" s="45" t="n"/>
      <c r="HO14" s="45" t="n"/>
      <c r="HP14" s="45" t="n"/>
      <c r="HQ14" s="45" t="n"/>
      <c r="HR14" s="45" t="n"/>
      <c r="HS14" s="351" t="n"/>
      <c r="HT14" s="606" t="n"/>
      <c r="HU14" s="65">
        <f>AVERAGE(H14,N14,P14)</f>
        <v/>
      </c>
      <c r="HV14" s="66">
        <f>AVERAGE(E14,J14,Q14,S14,U14,Y14,AD14)</f>
        <v/>
      </c>
      <c r="HW14" s="66">
        <f>AVERAGE(V14)</f>
        <v/>
      </c>
      <c r="HX14" s="66">
        <f>AVERAGE(R14)</f>
        <v/>
      </c>
      <c r="HY14" s="66">
        <f>AVERAGE(Z14,T14,G14)</f>
        <v/>
      </c>
      <c r="HZ14" s="66" t="n"/>
      <c r="IA14" s="66">
        <f>AVERAGE(AB14)</f>
        <v/>
      </c>
      <c r="IB14" s="66" t="n"/>
      <c r="IC14" s="66" t="n"/>
      <c r="ID14" s="66">
        <f>AVERAGE(AC14)</f>
        <v/>
      </c>
    </row>
    <row r="15" ht="18" customHeight="1" s="590">
      <c r="B15" s="12" t="n">
        <v>9</v>
      </c>
      <c r="C15" s="203" t="inlineStr">
        <is>
          <t>052-25-27270</t>
        </is>
      </c>
      <c r="D15" s="14" t="inlineStr">
        <is>
          <t>Fasih Ur Rehman</t>
        </is>
      </c>
      <c r="E15" s="114" t="n">
        <v>85.33</v>
      </c>
      <c r="F15" s="115" t="n">
        <v>85.5</v>
      </c>
      <c r="G15" s="115" t="n">
        <v>84.44</v>
      </c>
      <c r="H15" s="510" t="n">
        <v>83.33</v>
      </c>
      <c r="I15" s="510" t="n">
        <v>84.76000000000001</v>
      </c>
      <c r="J15" s="117" t="n">
        <v>87.22</v>
      </c>
      <c r="K15" s="561" t="n">
        <v>74.33</v>
      </c>
      <c r="L15" s="583" t="n">
        <v>81.94</v>
      </c>
      <c r="M15" s="546" t="n">
        <v>67.11</v>
      </c>
      <c r="N15" s="117" t="n">
        <v>88.31999999999999</v>
      </c>
      <c r="O15" s="663" t="n"/>
      <c r="P15" s="561" t="n">
        <v>74</v>
      </c>
      <c r="Q15" s="583" t="n">
        <v>90.56</v>
      </c>
      <c r="R15" s="546" t="n">
        <v>73.33</v>
      </c>
      <c r="S15" s="115" t="n">
        <v>84.84999999999999</v>
      </c>
      <c r="T15" s="117" t="n">
        <v>78.18000000000001</v>
      </c>
      <c r="U15" s="225" t="n">
        <v>68.33</v>
      </c>
      <c r="V15" s="225" t="n">
        <v>78.33</v>
      </c>
      <c r="W15" s="225" t="n">
        <v>16.67</v>
      </c>
      <c r="X15" s="225" t="n">
        <v>100</v>
      </c>
      <c r="Y15" s="225" t="n">
        <v>76.25</v>
      </c>
      <c r="Z15" s="225" t="n">
        <v>76.67</v>
      </c>
      <c r="AA15" s="225" t="n">
        <v>90</v>
      </c>
      <c r="AB15" s="225" t="n">
        <v>85</v>
      </c>
      <c r="AC15" s="117" t="n"/>
      <c r="AD15" s="117" t="n"/>
      <c r="AE15" s="114" t="n"/>
      <c r="AF15" s="117" t="n"/>
      <c r="AG15" s="115" t="n"/>
      <c r="AH15" s="115" t="n"/>
      <c r="AI15" s="115" t="n"/>
      <c r="AJ15" s="115" t="n"/>
      <c r="AK15" s="510" t="n"/>
      <c r="AL15" s="510" t="n"/>
      <c r="AM15" s="127" t="n"/>
      <c r="AN15" s="128" t="n"/>
      <c r="AO15" s="131" t="n"/>
      <c r="AP15" s="127" t="n"/>
      <c r="AQ15" s="128" t="n"/>
      <c r="AR15" s="128" t="n"/>
      <c r="AS15" s="128" t="n"/>
      <c r="AT15" s="131" t="n"/>
      <c r="AU15" s="127" t="n"/>
      <c r="AV15" s="128" t="n"/>
      <c r="AW15" s="128" t="n"/>
      <c r="AX15" s="128" t="n"/>
      <c r="AY15" s="131" t="n"/>
      <c r="AZ15" s="127" t="n"/>
      <c r="BA15" s="128" t="n"/>
      <c r="BB15" s="128" t="n"/>
      <c r="BC15" s="131" t="n"/>
      <c r="BD15" s="131" t="n"/>
      <c r="BE15" s="131" t="n"/>
      <c r="BF15" s="131" t="n"/>
      <c r="BG15" s="114" t="n"/>
      <c r="BH15" s="546" t="n"/>
      <c r="BI15" s="511" t="n"/>
      <c r="BJ15" s="114" t="n"/>
      <c r="BK15" s="546" t="n"/>
      <c r="BL15" s="511" t="n"/>
      <c r="BM15" s="114" t="n"/>
      <c r="BN15" s="546" t="n"/>
      <c r="BO15" s="546" t="n"/>
      <c r="BP15" s="546" t="n"/>
      <c r="BQ15" s="546" t="n"/>
      <c r="BR15" s="546" t="n"/>
      <c r="BS15" s="511" t="n"/>
      <c r="BT15" s="546" t="n"/>
      <c r="BU15" s="546" t="n"/>
      <c r="BV15" s="546" t="n"/>
      <c r="BW15" s="546" t="n"/>
      <c r="BX15" s="546" t="n"/>
      <c r="BY15" s="546" t="n"/>
      <c r="BZ15" s="546" t="n"/>
      <c r="CA15" s="15" t="n"/>
      <c r="CB15" s="546" t="n"/>
      <c r="CC15" s="546" t="n"/>
      <c r="CD15" s="546" t="n"/>
      <c r="CE15" s="546" t="n"/>
      <c r="CF15" s="546" t="n"/>
      <c r="CG15" s="15" t="n"/>
      <c r="CH15" s="546" t="n"/>
      <c r="CI15" s="546" t="n"/>
      <c r="CJ15" s="17" t="n"/>
      <c r="CK15" s="546" t="n"/>
      <c r="CL15" s="546" t="n"/>
      <c r="CM15" s="546" t="n"/>
      <c r="CN15" s="546" t="n"/>
      <c r="CO15" s="583" t="n"/>
      <c r="CP15" s="15" t="n"/>
      <c r="CQ15" s="15" t="n"/>
      <c r="CR15" s="15" t="n"/>
      <c r="CS15" s="15" t="n"/>
      <c r="CT15" s="546" t="n"/>
      <c r="CU15" s="17" t="n"/>
      <c r="CV15" s="74" t="n"/>
      <c r="CW15" s="75" t="n"/>
      <c r="CX15" s="76" t="n"/>
      <c r="CY15" s="76" t="n"/>
      <c r="CZ15" s="91" t="n"/>
      <c r="DA15" s="546" t="n"/>
      <c r="DB15" s="546" t="n"/>
      <c r="DC15" s="546" t="n"/>
      <c r="DD15" s="546" t="n"/>
      <c r="DE15" s="583" t="n"/>
      <c r="DF15" s="141" t="n"/>
      <c r="DG15" s="162" t="n"/>
      <c r="DH15" s="162" t="n"/>
      <c r="DI15" s="512" t="n"/>
      <c r="DJ15" s="491" t="n"/>
      <c r="DK15" s="141" t="n"/>
      <c r="DL15" s="139" t="n"/>
      <c r="DM15" s="139" t="n"/>
      <c r="DN15" s="139" t="n"/>
      <c r="DO15" s="347" t="n"/>
      <c r="DP15" s="348" t="n"/>
      <c r="DQ15" s="162" t="n"/>
      <c r="DR15" s="162" t="n"/>
      <c r="DS15" s="162" t="n"/>
      <c r="DT15" s="162" t="n"/>
      <c r="DU15" s="201" t="n"/>
      <c r="DV15" s="201" t="n"/>
      <c r="DW15" s="163" t="n"/>
      <c r="DX15" s="141" t="n"/>
      <c r="DY15" s="139" t="n"/>
      <c r="DZ15" s="139" t="n"/>
      <c r="EA15" s="139" t="n"/>
      <c r="EB15" s="140" t="n"/>
      <c r="EC15" s="347" t="n"/>
      <c r="ED15" s="147" t="n"/>
      <c r="EE15" s="31" t="n"/>
      <c r="EF15" s="349" t="n"/>
      <c r="EG15" s="349" t="n"/>
      <c r="EH15" s="45" t="n"/>
      <c r="EI15" s="351" t="n"/>
      <c r="EJ15" s="107" t="n"/>
      <c r="EK15" s="139" t="n"/>
      <c r="EL15" s="139" t="n"/>
      <c r="EM15" s="139" t="n"/>
      <c r="EN15" s="140" t="n"/>
      <c r="EO15" s="108" t="n"/>
      <c r="EP15" s="141" t="n"/>
      <c r="EQ15" s="140" t="n"/>
      <c r="ER15" s="140" t="n"/>
      <c r="ES15" s="140" t="n"/>
      <c r="ET15" s="347" t="n"/>
      <c r="EU15" s="348" t="n"/>
      <c r="EV15" s="107" t="n"/>
      <c r="EW15" s="140" t="n"/>
      <c r="EX15" s="140" t="n"/>
      <c r="EY15" s="107" t="n"/>
      <c r="EZ15" s="587" t="n"/>
      <c r="FA15" s="587" t="n"/>
      <c r="FB15" s="141" t="n"/>
      <c r="FC15" s="140" t="n"/>
      <c r="FD15" s="140" t="n"/>
      <c r="FE15" s="140" t="n"/>
      <c r="FF15" s="140" t="n"/>
      <c r="FG15" s="147" t="n"/>
      <c r="FH15" s="74" t="n"/>
      <c r="FI15" s="75" t="n"/>
      <c r="FJ15" s="76" t="n"/>
      <c r="FK15" s="76" t="n"/>
      <c r="FL15" s="91" t="n"/>
      <c r="FM15" s="92" t="n"/>
      <c r="FN15" s="91" t="n"/>
      <c r="FO15" s="74" t="n"/>
      <c r="FP15" s="92" t="n"/>
      <c r="FQ15" s="148" t="n"/>
      <c r="FR15" s="149" t="n"/>
      <c r="FS15" s="150" t="n"/>
      <c r="FT15" s="99" t="n"/>
      <c r="FU15" s="100" t="n"/>
      <c r="FV15" s="100" t="n"/>
      <c r="FW15" s="100" t="n"/>
      <c r="FX15" s="100" t="n"/>
      <c r="FY15" s="100" t="n"/>
      <c r="FZ15" s="100" t="n"/>
      <c r="GA15" s="100" t="n"/>
      <c r="GB15" s="100" t="n"/>
      <c r="GC15" s="100" t="n"/>
      <c r="GD15" s="100" t="n"/>
      <c r="GE15" s="102" t="n"/>
      <c r="GF15" s="15" t="n"/>
      <c r="GG15" s="546" t="n"/>
      <c r="GH15" s="546" t="n"/>
      <c r="GI15" s="17" t="n"/>
      <c r="GJ15" s="15" t="n"/>
      <c r="GK15" s="546" t="n"/>
      <c r="GL15" s="546" t="n"/>
      <c r="GM15" s="17" t="n"/>
      <c r="GN15" s="31" t="n"/>
      <c r="GO15" s="349" t="n"/>
      <c r="GP15" s="349" t="n"/>
      <c r="GQ15" s="45" t="n"/>
      <c r="GR15" s="351" t="n"/>
      <c r="GS15" s="31" t="n"/>
      <c r="GT15" s="45" t="n"/>
      <c r="GU15" s="45" t="n"/>
      <c r="GV15" s="350" t="n"/>
      <c r="GW15" s="351" t="n"/>
      <c r="GX15" s="107" t="n"/>
      <c r="GY15" s="587" t="n"/>
      <c r="GZ15" s="108" t="n"/>
      <c r="HA15" s="15" t="n"/>
      <c r="HB15" s="546" t="n"/>
      <c r="HC15" s="17" t="n"/>
      <c r="HD15" s="15" t="n"/>
      <c r="HE15" s="546" t="n"/>
      <c r="HF15" s="546" t="n"/>
      <c r="HG15" s="17" t="n"/>
      <c r="HH15" s="31" t="n"/>
      <c r="HI15" s="45" t="n"/>
      <c r="HJ15" s="45" t="n"/>
      <c r="HK15" s="45" t="n"/>
      <c r="HL15" s="45" t="n"/>
      <c r="HM15" s="45" t="n"/>
      <c r="HN15" s="45" t="n"/>
      <c r="HO15" s="45" t="n"/>
      <c r="HP15" s="45" t="n"/>
      <c r="HQ15" s="45" t="n"/>
      <c r="HR15" s="45" t="n"/>
      <c r="HS15" s="351" t="n"/>
      <c r="HT15" s="606" t="n"/>
      <c r="HU15" s="65">
        <f>AVERAGE(H15,N15,P15)</f>
        <v/>
      </c>
      <c r="HV15" s="66">
        <f>AVERAGE(E15,J15,Q15,S15,U15,Y15,AD15)</f>
        <v/>
      </c>
      <c r="HW15" s="66">
        <f>AVERAGE(V15)</f>
        <v/>
      </c>
      <c r="HX15" s="66">
        <f>AVERAGE(R15)</f>
        <v/>
      </c>
      <c r="HY15" s="66">
        <f>AVERAGE(Z15,T15,G15)</f>
        <v/>
      </c>
      <c r="HZ15" s="66" t="n"/>
      <c r="IA15" s="66">
        <f>AVERAGE(AB15)</f>
        <v/>
      </c>
      <c r="IB15" s="66" t="n"/>
      <c r="IC15" s="66" t="n"/>
      <c r="ID15" s="66">
        <f>AVERAGE(AC15)</f>
        <v/>
      </c>
    </row>
    <row r="16" ht="18" customHeight="1" s="590">
      <c r="B16" s="12" t="n">
        <v>10</v>
      </c>
      <c r="C16" s="203" t="inlineStr">
        <is>
          <t>052-25-27273</t>
        </is>
      </c>
      <c r="D16" s="14" t="inlineStr">
        <is>
          <t>Muhammad Arslan</t>
        </is>
      </c>
      <c r="E16" s="114" t="n">
        <v>67.33</v>
      </c>
      <c r="F16" s="115" t="n">
        <v>79.5</v>
      </c>
      <c r="G16" s="115" t="n">
        <v>83.89</v>
      </c>
      <c r="H16" s="510" t="n">
        <v>84.67</v>
      </c>
      <c r="I16" s="510" t="n">
        <v>76.67</v>
      </c>
      <c r="J16" s="117" t="n">
        <v>83.33</v>
      </c>
      <c r="K16" s="561" t="n">
        <v>75.17</v>
      </c>
      <c r="L16" s="583" t="n">
        <v>74.44</v>
      </c>
      <c r="M16" s="546" t="n">
        <v>54.61</v>
      </c>
      <c r="N16" s="117" t="n">
        <v>85.73999999999999</v>
      </c>
      <c r="O16" s="663" t="n"/>
      <c r="P16" s="561" t="n">
        <v>72</v>
      </c>
      <c r="Q16" s="583" t="n">
        <v>51.67</v>
      </c>
      <c r="R16" s="546" t="n">
        <v>51.11</v>
      </c>
      <c r="S16" s="115" t="n">
        <v>76.97</v>
      </c>
      <c r="T16" s="117" t="n">
        <v>80</v>
      </c>
      <c r="U16" s="225" t="n">
        <v>52.22</v>
      </c>
      <c r="V16" s="225" t="n">
        <v>54.17</v>
      </c>
      <c r="W16" s="225" t="n">
        <v>50</v>
      </c>
      <c r="X16" s="225" t="n">
        <v>50</v>
      </c>
      <c r="Y16" s="225" t="n">
        <v>87.5</v>
      </c>
      <c r="Z16" s="225" t="n">
        <v>80</v>
      </c>
      <c r="AA16" s="225" t="n">
        <v>83.33</v>
      </c>
      <c r="AB16" s="225" t="n">
        <v>90</v>
      </c>
      <c r="AC16" s="117" t="n"/>
      <c r="AD16" s="117" t="n"/>
      <c r="AE16" s="114" t="n"/>
      <c r="AF16" s="117" t="n"/>
      <c r="AG16" s="115" t="n"/>
      <c r="AH16" s="115" t="n"/>
      <c r="AI16" s="115" t="n"/>
      <c r="AJ16" s="115" t="n"/>
      <c r="AK16" s="510" t="n"/>
      <c r="AL16" s="510" t="n"/>
      <c r="AM16" s="127" t="n"/>
      <c r="AN16" s="128" t="n"/>
      <c r="AO16" s="131" t="n"/>
      <c r="AP16" s="127" t="n"/>
      <c r="AQ16" s="128" t="n"/>
      <c r="AR16" s="128" t="n"/>
      <c r="AS16" s="128" t="n"/>
      <c r="AT16" s="131" t="n"/>
      <c r="AU16" s="127" t="n"/>
      <c r="AV16" s="128" t="n"/>
      <c r="AW16" s="128" t="n"/>
      <c r="AX16" s="128" t="n"/>
      <c r="AY16" s="131" t="n"/>
      <c r="AZ16" s="127" t="n"/>
      <c r="BA16" s="128" t="n"/>
      <c r="BB16" s="128" t="n"/>
      <c r="BC16" s="131" t="n"/>
      <c r="BD16" s="131" t="n"/>
      <c r="BE16" s="131" t="n"/>
      <c r="BF16" s="131" t="n"/>
      <c r="BG16" s="114" t="n"/>
      <c r="BH16" s="546" t="n"/>
      <c r="BI16" s="511" t="n"/>
      <c r="BJ16" s="114" t="n"/>
      <c r="BK16" s="546" t="n"/>
      <c r="BL16" s="511" t="n"/>
      <c r="BM16" s="114" t="n"/>
      <c r="BN16" s="546" t="n"/>
      <c r="BO16" s="546" t="n"/>
      <c r="BP16" s="546" t="n"/>
      <c r="BQ16" s="546" t="n"/>
      <c r="BR16" s="546" t="n"/>
      <c r="BS16" s="511" t="n"/>
      <c r="BT16" s="546" t="n"/>
      <c r="BU16" s="546" t="n"/>
      <c r="BV16" s="546" t="n"/>
      <c r="BW16" s="546" t="n"/>
      <c r="BX16" s="546" t="n"/>
      <c r="BY16" s="546" t="n"/>
      <c r="BZ16" s="546" t="n"/>
      <c r="CA16" s="15" t="n"/>
      <c r="CB16" s="546" t="n"/>
      <c r="CC16" s="546" t="n"/>
      <c r="CD16" s="546" t="n"/>
      <c r="CE16" s="546" t="n"/>
      <c r="CF16" s="546" t="n"/>
      <c r="CG16" s="15" t="n"/>
      <c r="CH16" s="546" t="n"/>
      <c r="CI16" s="546" t="n"/>
      <c r="CJ16" s="17" t="n"/>
      <c r="CK16" s="546" t="n"/>
      <c r="CL16" s="546" t="n"/>
      <c r="CM16" s="546" t="n"/>
      <c r="CN16" s="546" t="n"/>
      <c r="CO16" s="583" t="n"/>
      <c r="CP16" s="15" t="n"/>
      <c r="CQ16" s="15" t="n"/>
      <c r="CR16" s="15" t="n"/>
      <c r="CS16" s="15" t="n"/>
      <c r="CT16" s="546" t="n"/>
      <c r="CU16" s="17" t="n"/>
      <c r="CV16" s="74" t="n"/>
      <c r="CW16" s="75" t="n"/>
      <c r="CX16" s="76" t="n"/>
      <c r="CY16" s="76" t="n"/>
      <c r="CZ16" s="91" t="n"/>
      <c r="DA16" s="546" t="n"/>
      <c r="DB16" s="546" t="n"/>
      <c r="DC16" s="546" t="n"/>
      <c r="DD16" s="546" t="n"/>
      <c r="DE16" s="583" t="n"/>
      <c r="DF16" s="141" t="n"/>
      <c r="DG16" s="162" t="n"/>
      <c r="DH16" s="162" t="n"/>
      <c r="DI16" s="512" t="n"/>
      <c r="DJ16" s="491" t="n"/>
      <c r="DK16" s="141" t="n"/>
      <c r="DL16" s="139" t="n"/>
      <c r="DM16" s="139" t="n"/>
      <c r="DN16" s="139" t="n"/>
      <c r="DO16" s="347" t="n"/>
      <c r="DP16" s="348" t="n"/>
      <c r="DQ16" s="162" t="n"/>
      <c r="DR16" s="162" t="n"/>
      <c r="DS16" s="162" t="n"/>
      <c r="DT16" s="162" t="n"/>
      <c r="DU16" s="201" t="n"/>
      <c r="DV16" s="201" t="n"/>
      <c r="DW16" s="163" t="n"/>
      <c r="DX16" s="141" t="n"/>
      <c r="DY16" s="139" t="n"/>
      <c r="DZ16" s="139" t="n"/>
      <c r="EA16" s="139" t="n"/>
      <c r="EB16" s="140" t="n"/>
      <c r="EC16" s="347" t="n"/>
      <c r="ED16" s="147" t="n"/>
      <c r="EE16" s="31" t="n"/>
      <c r="EF16" s="349" t="n"/>
      <c r="EG16" s="349" t="n"/>
      <c r="EH16" s="45" t="n"/>
      <c r="EI16" s="351" t="n"/>
      <c r="EJ16" s="107" t="n"/>
      <c r="EK16" s="139" t="n"/>
      <c r="EL16" s="139" t="n"/>
      <c r="EM16" s="139" t="n"/>
      <c r="EN16" s="140" t="n"/>
      <c r="EO16" s="108" t="n"/>
      <c r="EP16" s="141" t="n"/>
      <c r="EQ16" s="140" t="n"/>
      <c r="ER16" s="140" t="n"/>
      <c r="ES16" s="140" t="n"/>
      <c r="ET16" s="347" t="n"/>
      <c r="EU16" s="348" t="n"/>
      <c r="EV16" s="107" t="n"/>
      <c r="EW16" s="140" t="n"/>
      <c r="EX16" s="140" t="n"/>
      <c r="EY16" s="107" t="n"/>
      <c r="EZ16" s="587" t="n"/>
      <c r="FA16" s="587" t="n"/>
      <c r="FB16" s="141" t="n"/>
      <c r="FC16" s="140" t="n"/>
      <c r="FD16" s="140" t="n"/>
      <c r="FE16" s="140" t="n"/>
      <c r="FF16" s="140" t="n"/>
      <c r="FG16" s="147" t="n"/>
      <c r="FH16" s="74" t="n"/>
      <c r="FI16" s="75" t="n"/>
      <c r="FJ16" s="76" t="n"/>
      <c r="FK16" s="76" t="n"/>
      <c r="FL16" s="91" t="n"/>
      <c r="FM16" s="92" t="n"/>
      <c r="FN16" s="91" t="n"/>
      <c r="FO16" s="74" t="n"/>
      <c r="FP16" s="92" t="n"/>
      <c r="FQ16" s="148" t="n"/>
      <c r="FR16" s="149" t="n"/>
      <c r="FS16" s="150" t="n"/>
      <c r="FT16" s="99" t="n"/>
      <c r="FU16" s="100" t="n"/>
      <c r="FV16" s="100" t="n"/>
      <c r="FW16" s="100" t="n"/>
      <c r="FX16" s="100" t="n"/>
      <c r="FY16" s="100" t="n"/>
      <c r="FZ16" s="100" t="n"/>
      <c r="GA16" s="100" t="n"/>
      <c r="GB16" s="100" t="n"/>
      <c r="GC16" s="100" t="n"/>
      <c r="GD16" s="100" t="n"/>
      <c r="GE16" s="102" t="n"/>
      <c r="GF16" s="15" t="n"/>
      <c r="GG16" s="546" t="n"/>
      <c r="GH16" s="546" t="n"/>
      <c r="GI16" s="17" t="n"/>
      <c r="GJ16" s="15" t="n"/>
      <c r="GK16" s="546" t="n"/>
      <c r="GL16" s="546" t="n"/>
      <c r="GM16" s="17" t="n"/>
      <c r="GN16" s="31" t="n"/>
      <c r="GO16" s="349" t="n"/>
      <c r="GP16" s="349" t="n"/>
      <c r="GQ16" s="45" t="n"/>
      <c r="GR16" s="351" t="n"/>
      <c r="GS16" s="31" t="n"/>
      <c r="GT16" s="45" t="n"/>
      <c r="GU16" s="45" t="n"/>
      <c r="GV16" s="350" t="n"/>
      <c r="GW16" s="351" t="n"/>
      <c r="GX16" s="107" t="n"/>
      <c r="GY16" s="587" t="n"/>
      <c r="GZ16" s="108" t="n"/>
      <c r="HA16" s="15" t="n"/>
      <c r="HB16" s="546" t="n"/>
      <c r="HC16" s="17" t="n"/>
      <c r="HD16" s="15" t="n"/>
      <c r="HE16" s="546" t="n"/>
      <c r="HF16" s="546" t="n"/>
      <c r="HG16" s="17" t="n"/>
      <c r="HH16" s="31" t="n"/>
      <c r="HI16" s="45" t="n"/>
      <c r="HJ16" s="45" t="n"/>
      <c r="HK16" s="45" t="n"/>
      <c r="HL16" s="45" t="n"/>
      <c r="HM16" s="45" t="n"/>
      <c r="HN16" s="45" t="n"/>
      <c r="HO16" s="45" t="n"/>
      <c r="HP16" s="45" t="n"/>
      <c r="HQ16" s="45" t="n"/>
      <c r="HR16" s="45" t="n"/>
      <c r="HS16" s="351" t="n"/>
      <c r="HT16" s="606" t="n"/>
      <c r="HU16" s="65">
        <f>AVERAGE(H16,N16,P16)</f>
        <v/>
      </c>
      <c r="HV16" s="66">
        <f>AVERAGE(E16,J16,Q16,S16,U16,Y16,AD16)</f>
        <v/>
      </c>
      <c r="HW16" s="66">
        <f>AVERAGE(V16)</f>
        <v/>
      </c>
      <c r="HX16" s="66">
        <f>AVERAGE(R16)</f>
        <v/>
      </c>
      <c r="HY16" s="66">
        <f>AVERAGE(Z16,T16,G16)</f>
        <v/>
      </c>
      <c r="HZ16" s="66" t="n"/>
      <c r="IA16" s="66">
        <f>AVERAGE(AB16)</f>
        <v/>
      </c>
      <c r="IB16" s="66" t="n"/>
      <c r="IC16" s="66" t="n"/>
      <c r="ID16" s="66">
        <f>AVERAGE(AC16)</f>
        <v/>
      </c>
    </row>
    <row r="17" ht="18" customHeight="1" s="590">
      <c r="B17" s="12" t="n">
        <v>11</v>
      </c>
      <c r="C17" s="203" t="inlineStr">
        <is>
          <t>052-25-27286</t>
        </is>
      </c>
      <c r="D17" s="14" t="inlineStr">
        <is>
          <t xml:space="preserve">Sajjad Hussain </t>
        </is>
      </c>
      <c r="E17" s="114" t="n">
        <v>64</v>
      </c>
      <c r="F17" s="115" t="n">
        <v>67.5</v>
      </c>
      <c r="G17" s="115" t="n">
        <v>68.33</v>
      </c>
      <c r="H17" s="510" t="n">
        <v>63.33</v>
      </c>
      <c r="I17" s="510" t="n">
        <v>72.38</v>
      </c>
      <c r="J17" s="117" t="n">
        <v>71.67</v>
      </c>
      <c r="K17" s="561" t="n">
        <v>96</v>
      </c>
      <c r="L17" s="583" t="n">
        <v>92.22</v>
      </c>
      <c r="M17" s="546" t="n">
        <v>57</v>
      </c>
      <c r="N17" s="117" t="n">
        <v>91.72</v>
      </c>
      <c r="O17" s="663" t="n"/>
      <c r="P17" s="561" t="n">
        <v>94</v>
      </c>
      <c r="Q17" s="583" t="n">
        <v>92.22</v>
      </c>
      <c r="R17" s="546" t="n">
        <v>91.11</v>
      </c>
      <c r="S17" s="115" t="n">
        <v>90.61</v>
      </c>
      <c r="T17" s="117" t="n">
        <v>97.58</v>
      </c>
      <c r="U17" s="225" t="n">
        <v>41.11</v>
      </c>
      <c r="V17" s="225" t="n">
        <v>29.17</v>
      </c>
      <c r="W17" s="225" t="n">
        <v>0</v>
      </c>
      <c r="X17" s="225" t="n">
        <v>0</v>
      </c>
      <c r="Y17" s="225" t="n">
        <v>80</v>
      </c>
      <c r="Z17" s="225" t="n">
        <v>76</v>
      </c>
      <c r="AA17" s="225" t="n">
        <v>76.67</v>
      </c>
      <c r="AB17" s="225" t="n">
        <v>85</v>
      </c>
      <c r="AC17" s="117" t="n"/>
      <c r="AD17" s="117" t="n"/>
      <c r="AE17" s="114" t="n"/>
      <c r="AF17" s="117" t="n"/>
      <c r="AG17" s="115" t="n"/>
      <c r="AH17" s="115" t="n"/>
      <c r="AI17" s="115" t="n"/>
      <c r="AJ17" s="115" t="n"/>
      <c r="AK17" s="510" t="n"/>
      <c r="AL17" s="510" t="n"/>
      <c r="AM17" s="127" t="n"/>
      <c r="AN17" s="128" t="n"/>
      <c r="AO17" s="131" t="n"/>
      <c r="AP17" s="127" t="n"/>
      <c r="AQ17" s="128" t="n"/>
      <c r="AR17" s="128" t="n"/>
      <c r="AS17" s="128" t="n"/>
      <c r="AT17" s="131" t="n"/>
      <c r="AU17" s="127" t="n"/>
      <c r="AV17" s="128" t="n"/>
      <c r="AW17" s="128" t="n"/>
      <c r="AX17" s="128" t="n"/>
      <c r="AY17" s="131" t="n"/>
      <c r="AZ17" s="127" t="n"/>
      <c r="BA17" s="128" t="n"/>
      <c r="BB17" s="128" t="n"/>
      <c r="BC17" s="131" t="n"/>
      <c r="BD17" s="131" t="n"/>
      <c r="BE17" s="131" t="n"/>
      <c r="BF17" s="131" t="n"/>
      <c r="BG17" s="114" t="n"/>
      <c r="BH17" s="546" t="n"/>
      <c r="BI17" s="511" t="n"/>
      <c r="BJ17" s="114" t="n"/>
      <c r="BK17" s="546" t="n"/>
      <c r="BL17" s="511" t="n"/>
      <c r="BM17" s="114" t="n"/>
      <c r="BN17" s="546" t="n"/>
      <c r="BO17" s="546" t="n"/>
      <c r="BP17" s="546" t="n"/>
      <c r="BQ17" s="546" t="n"/>
      <c r="BR17" s="546" t="n"/>
      <c r="BS17" s="511" t="n"/>
      <c r="BT17" s="546" t="n"/>
      <c r="BU17" s="546" t="n"/>
      <c r="BV17" s="546" t="n"/>
      <c r="BW17" s="546" t="n"/>
      <c r="BX17" s="546" t="n"/>
      <c r="BY17" s="546" t="n"/>
      <c r="BZ17" s="546" t="n"/>
      <c r="CA17" s="15" t="n"/>
      <c r="CB17" s="546" t="n"/>
      <c r="CC17" s="546" t="n"/>
      <c r="CD17" s="546" t="n"/>
      <c r="CE17" s="546" t="n"/>
      <c r="CF17" s="546" t="n"/>
      <c r="CG17" s="15" t="n"/>
      <c r="CH17" s="546" t="n"/>
      <c r="CI17" s="546" t="n"/>
      <c r="CJ17" s="17" t="n"/>
      <c r="CK17" s="546" t="n"/>
      <c r="CL17" s="546" t="n"/>
      <c r="CM17" s="546" t="n"/>
      <c r="CN17" s="546" t="n"/>
      <c r="CO17" s="583" t="n"/>
      <c r="CP17" s="15" t="n"/>
      <c r="CQ17" s="15" t="n"/>
      <c r="CR17" s="15" t="n"/>
      <c r="CS17" s="15" t="n"/>
      <c r="CT17" s="546" t="n"/>
      <c r="CU17" s="17" t="n"/>
      <c r="CV17" s="74" t="n"/>
      <c r="CW17" s="75" t="n"/>
      <c r="CX17" s="76" t="n"/>
      <c r="CY17" s="76" t="n"/>
      <c r="CZ17" s="91" t="n"/>
      <c r="DA17" s="546" t="n"/>
      <c r="DB17" s="546" t="n"/>
      <c r="DC17" s="546" t="n"/>
      <c r="DD17" s="546" t="n"/>
      <c r="DE17" s="583" t="n"/>
      <c r="DF17" s="141" t="n"/>
      <c r="DG17" s="162" t="n"/>
      <c r="DH17" s="162" t="n"/>
      <c r="DI17" s="512" t="n"/>
      <c r="DJ17" s="491" t="n"/>
      <c r="DK17" s="141" t="n"/>
      <c r="DL17" s="139" t="n"/>
      <c r="DM17" s="139" t="n"/>
      <c r="DN17" s="139" t="n"/>
      <c r="DO17" s="347" t="n"/>
      <c r="DP17" s="348" t="n"/>
      <c r="DQ17" s="162" t="n"/>
      <c r="DR17" s="162" t="n"/>
      <c r="DS17" s="162" t="n"/>
      <c r="DT17" s="162" t="n"/>
      <c r="DU17" s="201" t="n"/>
      <c r="DV17" s="201" t="n"/>
      <c r="DW17" s="163" t="n"/>
      <c r="DX17" s="141" t="n"/>
      <c r="DY17" s="139" t="n"/>
      <c r="DZ17" s="139" t="n"/>
      <c r="EA17" s="139" t="n"/>
      <c r="EB17" s="140" t="n"/>
      <c r="EC17" s="347" t="n"/>
      <c r="ED17" s="147" t="n"/>
      <c r="EE17" s="31" t="n"/>
      <c r="EF17" s="349" t="n"/>
      <c r="EG17" s="349" t="n"/>
      <c r="EH17" s="45" t="n"/>
      <c r="EI17" s="351" t="n"/>
      <c r="EJ17" s="107" t="n"/>
      <c r="EK17" s="139" t="n"/>
      <c r="EL17" s="139" t="n"/>
      <c r="EM17" s="139" t="n"/>
      <c r="EN17" s="140" t="n"/>
      <c r="EO17" s="108" t="n"/>
      <c r="EP17" s="141" t="n"/>
      <c r="EQ17" s="140" t="n"/>
      <c r="ER17" s="140" t="n"/>
      <c r="ES17" s="140" t="n"/>
      <c r="ET17" s="347" t="n"/>
      <c r="EU17" s="348" t="n"/>
      <c r="EV17" s="107" t="n"/>
      <c r="EW17" s="140" t="n"/>
      <c r="EX17" s="140" t="n"/>
      <c r="EY17" s="107" t="n"/>
      <c r="EZ17" s="587" t="n"/>
      <c r="FA17" s="587" t="n"/>
      <c r="FB17" s="141" t="n"/>
      <c r="FC17" s="140" t="n"/>
      <c r="FD17" s="140" t="n"/>
      <c r="FE17" s="140" t="n"/>
      <c r="FF17" s="140" t="n"/>
      <c r="FG17" s="147" t="n"/>
      <c r="FH17" s="74" t="n"/>
      <c r="FI17" s="75" t="n"/>
      <c r="FJ17" s="76" t="n"/>
      <c r="FK17" s="76" t="n"/>
      <c r="FL17" s="91" t="n"/>
      <c r="FM17" s="92" t="n"/>
      <c r="FN17" s="91" t="n"/>
      <c r="FO17" s="74" t="n"/>
      <c r="FP17" s="92" t="n"/>
      <c r="FQ17" s="148" t="n"/>
      <c r="FR17" s="149" t="n"/>
      <c r="FS17" s="150" t="n"/>
      <c r="FT17" s="99" t="n"/>
      <c r="FU17" s="100" t="n"/>
      <c r="FV17" s="100" t="n"/>
      <c r="FW17" s="100" t="n"/>
      <c r="FX17" s="100" t="n"/>
      <c r="FY17" s="100" t="n"/>
      <c r="FZ17" s="100" t="n"/>
      <c r="GA17" s="100" t="n"/>
      <c r="GB17" s="100" t="n"/>
      <c r="GC17" s="100" t="n"/>
      <c r="GD17" s="100" t="n"/>
      <c r="GE17" s="102" t="n"/>
      <c r="GF17" s="15" t="n"/>
      <c r="GG17" s="546" t="n"/>
      <c r="GH17" s="546" t="n"/>
      <c r="GI17" s="17" t="n"/>
      <c r="GJ17" s="15" t="n"/>
      <c r="GK17" s="546" t="n"/>
      <c r="GL17" s="546" t="n"/>
      <c r="GM17" s="17" t="n"/>
      <c r="GN17" s="31" t="n"/>
      <c r="GO17" s="349" t="n"/>
      <c r="GP17" s="349" t="n"/>
      <c r="GQ17" s="45" t="n"/>
      <c r="GR17" s="351" t="n"/>
      <c r="GS17" s="31" t="n"/>
      <c r="GT17" s="45" t="n"/>
      <c r="GU17" s="45" t="n"/>
      <c r="GV17" s="350" t="n"/>
      <c r="GW17" s="351" t="n"/>
      <c r="GX17" s="107" t="n"/>
      <c r="GY17" s="587" t="n"/>
      <c r="GZ17" s="108" t="n"/>
      <c r="HA17" s="15" t="n"/>
      <c r="HB17" s="546" t="n"/>
      <c r="HC17" s="17" t="n"/>
      <c r="HD17" s="15" t="n"/>
      <c r="HE17" s="546" t="n"/>
      <c r="HF17" s="546" t="n"/>
      <c r="HG17" s="17" t="n"/>
      <c r="HH17" s="31" t="n"/>
      <c r="HI17" s="45" t="n"/>
      <c r="HJ17" s="45" t="n"/>
      <c r="HK17" s="45" t="n"/>
      <c r="HL17" s="45" t="n"/>
      <c r="HM17" s="45" t="n"/>
      <c r="HN17" s="45" t="n"/>
      <c r="HO17" s="45" t="n"/>
      <c r="HP17" s="45" t="n"/>
      <c r="HQ17" s="45" t="n"/>
      <c r="HR17" s="45" t="n"/>
      <c r="HS17" s="351" t="n"/>
      <c r="HT17" s="606" t="n"/>
      <c r="HU17" s="65">
        <f>AVERAGE(H17,N17,P17)</f>
        <v/>
      </c>
      <c r="HV17" s="66">
        <f>AVERAGE(E17,J17,Q17,S17,U17,Y17,AD17)</f>
        <v/>
      </c>
      <c r="HW17" s="66">
        <f>AVERAGE(V17)</f>
        <v/>
      </c>
      <c r="HX17" s="66">
        <f>AVERAGE(R17)</f>
        <v/>
      </c>
      <c r="HY17" s="66">
        <f>AVERAGE(Z17,T17,G17)</f>
        <v/>
      </c>
      <c r="HZ17" s="66" t="n"/>
      <c r="IA17" s="66">
        <f>AVERAGE(AB17)</f>
        <v/>
      </c>
      <c r="IB17" s="66" t="n"/>
      <c r="IC17" s="66" t="n"/>
      <c r="ID17" s="66">
        <f>AVERAGE(AC17)</f>
        <v/>
      </c>
    </row>
    <row r="18" ht="18" customHeight="1" s="590">
      <c r="B18" s="12" t="n">
        <v>12</v>
      </c>
      <c r="C18" s="203" t="inlineStr">
        <is>
          <t>052-25-27301</t>
        </is>
      </c>
      <c r="D18" s="14" t="inlineStr">
        <is>
          <t>Abdar Hussain</t>
        </is>
      </c>
      <c r="E18" s="114" t="n">
        <v>64.67</v>
      </c>
      <c r="F18" s="115" t="n">
        <v>60.5</v>
      </c>
      <c r="G18" s="115" t="n">
        <v>58.33</v>
      </c>
      <c r="H18" s="510" t="n">
        <v>61</v>
      </c>
      <c r="I18" s="510" t="n">
        <v>58.57</v>
      </c>
      <c r="J18" s="117" t="n">
        <v>62.22</v>
      </c>
      <c r="K18" s="561" t="n">
        <v>75.83</v>
      </c>
      <c r="L18" s="583" t="n">
        <v>74.44</v>
      </c>
      <c r="M18" s="546" t="n">
        <v>69.19</v>
      </c>
      <c r="N18" s="117" t="n">
        <v>81.64</v>
      </c>
      <c r="O18" s="663" t="n"/>
      <c r="P18" s="561" t="n">
        <v>90</v>
      </c>
      <c r="Q18" s="583" t="n">
        <v>91.67</v>
      </c>
      <c r="R18" s="546" t="n">
        <v>80</v>
      </c>
      <c r="S18" s="115" t="n">
        <v>87.88</v>
      </c>
      <c r="T18" s="117" t="n">
        <v>80.91</v>
      </c>
      <c r="U18" s="225" t="n">
        <v>55</v>
      </c>
      <c r="V18" s="225" t="n">
        <v>46.67</v>
      </c>
      <c r="W18" s="225" t="n">
        <v>25</v>
      </c>
      <c r="X18" s="225" t="n">
        <v>50</v>
      </c>
      <c r="Y18" s="225" t="n">
        <v>90</v>
      </c>
      <c r="Z18" s="225" t="n">
        <v>83.33</v>
      </c>
      <c r="AA18" s="225" t="n">
        <v>83.33</v>
      </c>
      <c r="AB18" s="225" t="n">
        <v>90</v>
      </c>
      <c r="AC18" s="117" t="n"/>
      <c r="AD18" s="117" t="n"/>
      <c r="AE18" s="114" t="n"/>
      <c r="AF18" s="117" t="n"/>
      <c r="AG18" s="115" t="n"/>
      <c r="AH18" s="115" t="n"/>
      <c r="AI18" s="115" t="n"/>
      <c r="AJ18" s="115" t="n"/>
      <c r="AK18" s="510" t="n"/>
      <c r="AL18" s="510" t="n"/>
      <c r="AM18" s="127" t="n"/>
      <c r="AN18" s="128" t="n"/>
      <c r="AO18" s="131" t="n"/>
      <c r="AP18" s="127" t="n"/>
      <c r="AQ18" s="128" t="n"/>
      <c r="AR18" s="128" t="n"/>
      <c r="AS18" s="128" t="n"/>
      <c r="AT18" s="131" t="n"/>
      <c r="AU18" s="127" t="n"/>
      <c r="AV18" s="128" t="n"/>
      <c r="AW18" s="128" t="n"/>
      <c r="AX18" s="128" t="n"/>
      <c r="AY18" s="131" t="n"/>
      <c r="AZ18" s="127" t="n"/>
      <c r="BA18" s="128" t="n"/>
      <c r="BB18" s="128" t="n"/>
      <c r="BC18" s="131" t="n"/>
      <c r="BD18" s="131" t="n"/>
      <c r="BE18" s="131" t="n"/>
      <c r="BF18" s="131" t="n"/>
      <c r="BG18" s="114" t="n"/>
      <c r="BH18" s="546" t="n"/>
      <c r="BI18" s="511" t="n"/>
      <c r="BJ18" s="114" t="n"/>
      <c r="BK18" s="546" t="n"/>
      <c r="BL18" s="511" t="n"/>
      <c r="BM18" s="114" t="n"/>
      <c r="BN18" s="546" t="n"/>
      <c r="BO18" s="546" t="n"/>
      <c r="BP18" s="546" t="n"/>
      <c r="BQ18" s="546" t="n"/>
      <c r="BR18" s="546" t="n"/>
      <c r="BS18" s="511" t="n"/>
      <c r="BT18" s="546" t="n"/>
      <c r="BU18" s="546" t="n"/>
      <c r="BV18" s="546" t="n"/>
      <c r="BW18" s="546" t="n"/>
      <c r="BX18" s="546" t="n"/>
      <c r="BY18" s="546" t="n"/>
      <c r="BZ18" s="546" t="n"/>
      <c r="CA18" s="15" t="n"/>
      <c r="CB18" s="546" t="n"/>
      <c r="CC18" s="546" t="n"/>
      <c r="CD18" s="546" t="n"/>
      <c r="CE18" s="546" t="n"/>
      <c r="CF18" s="546" t="n"/>
      <c r="CG18" s="15" t="n"/>
      <c r="CH18" s="546" t="n"/>
      <c r="CI18" s="546" t="n"/>
      <c r="CJ18" s="17" t="n"/>
      <c r="CK18" s="546" t="n"/>
      <c r="CL18" s="546" t="n"/>
      <c r="CM18" s="546" t="n"/>
      <c r="CN18" s="546" t="n"/>
      <c r="CO18" s="583" t="n"/>
      <c r="CP18" s="15" t="n"/>
      <c r="CQ18" s="15" t="n"/>
      <c r="CR18" s="15" t="n"/>
      <c r="CS18" s="15" t="n"/>
      <c r="CT18" s="546" t="n"/>
      <c r="CU18" s="17" t="n"/>
      <c r="CV18" s="74" t="n"/>
      <c r="CW18" s="75" t="n"/>
      <c r="CX18" s="76" t="n"/>
      <c r="CY18" s="76" t="n"/>
      <c r="CZ18" s="91" t="n"/>
      <c r="DA18" s="546" t="n"/>
      <c r="DB18" s="546" t="n"/>
      <c r="DC18" s="546" t="n"/>
      <c r="DD18" s="546" t="n"/>
      <c r="DE18" s="583" t="n"/>
      <c r="DF18" s="141" t="n"/>
      <c r="DG18" s="162" t="n"/>
      <c r="DH18" s="162" t="n"/>
      <c r="DI18" s="512" t="n"/>
      <c r="DJ18" s="665" t="n"/>
      <c r="DK18" s="141" t="n"/>
      <c r="DL18" s="139" t="n"/>
      <c r="DM18" s="139" t="n"/>
      <c r="DN18" s="139" t="n"/>
      <c r="DO18" s="147" t="n"/>
      <c r="DP18" s="664" t="n"/>
      <c r="DQ18" s="162" t="n"/>
      <c r="DR18" s="162" t="n"/>
      <c r="DS18" s="162" t="n"/>
      <c r="DT18" s="162" t="n"/>
      <c r="DU18" s="201" t="n"/>
      <c r="DV18" s="201" t="n"/>
      <c r="DW18" s="163" t="n"/>
      <c r="DX18" s="141" t="n"/>
      <c r="DY18" s="139" t="n"/>
      <c r="DZ18" s="139" t="n"/>
      <c r="EA18" s="139" t="n"/>
      <c r="EB18" s="140" t="n"/>
      <c r="EC18" s="347" t="n"/>
      <c r="ED18" s="147" t="n"/>
      <c r="EE18" s="31" t="n"/>
      <c r="EF18" s="349" t="n"/>
      <c r="EG18" s="665" t="n"/>
      <c r="EH18" s="45" t="n"/>
      <c r="EI18" s="351" t="n"/>
      <c r="EJ18" s="107" t="n"/>
      <c r="EK18" s="139" t="n"/>
      <c r="EL18" s="139" t="n"/>
      <c r="EM18" s="139" t="n"/>
      <c r="EN18" s="140" t="n"/>
      <c r="EO18" s="108" t="n"/>
      <c r="EP18" s="141" t="n"/>
      <c r="EQ18" s="140" t="n"/>
      <c r="ER18" s="140" t="n"/>
      <c r="ES18" s="140" t="n"/>
      <c r="ET18" s="147" t="n"/>
      <c r="EU18" s="664" t="n"/>
      <c r="EV18" s="107" t="n"/>
      <c r="EW18" s="140" t="n"/>
      <c r="EX18" s="140" t="n"/>
      <c r="EY18" s="107" t="n"/>
      <c r="EZ18" s="587" t="n"/>
      <c r="FA18" s="587" t="n"/>
      <c r="FB18" s="141" t="n"/>
      <c r="FC18" s="140" t="n"/>
      <c r="FD18" s="140" t="n"/>
      <c r="FE18" s="140" t="n"/>
      <c r="FF18" s="140" t="n"/>
      <c r="FG18" s="147" t="n"/>
      <c r="FH18" s="74" t="n"/>
      <c r="FI18" s="75" t="n"/>
      <c r="FJ18" s="76" t="n"/>
      <c r="FK18" s="76" t="n"/>
      <c r="FL18" s="91" t="n"/>
      <c r="FM18" s="92" t="n"/>
      <c r="FN18" s="91" t="n"/>
      <c r="FO18" s="74" t="n"/>
      <c r="FP18" s="92" t="n"/>
      <c r="FQ18" s="148" t="n"/>
      <c r="FR18" s="149" t="n"/>
      <c r="FS18" s="150" t="n"/>
      <c r="FT18" s="99" t="n"/>
      <c r="FU18" s="100" t="n"/>
      <c r="FV18" s="100" t="n"/>
      <c r="FW18" s="100" t="n"/>
      <c r="FX18" s="100" t="n"/>
      <c r="FY18" s="100" t="n"/>
      <c r="FZ18" s="100" t="n"/>
      <c r="GA18" s="100" t="n"/>
      <c r="GB18" s="100" t="n"/>
      <c r="GC18" s="100" t="n"/>
      <c r="GD18" s="100" t="n"/>
      <c r="GE18" s="102" t="n"/>
      <c r="GF18" s="15" t="n"/>
      <c r="GG18" s="546" t="n"/>
      <c r="GH18" s="546" t="n"/>
      <c r="GI18" s="17" t="n"/>
      <c r="GJ18" s="15" t="n"/>
      <c r="GK18" s="546" t="n"/>
      <c r="GL18" s="546" t="n"/>
      <c r="GM18" s="17" t="n"/>
      <c r="GN18" s="31" t="n"/>
      <c r="GO18" s="349" t="n"/>
      <c r="GP18" s="665" t="n"/>
      <c r="GQ18" s="45" t="n"/>
      <c r="GR18" s="351" t="n"/>
      <c r="GS18" s="31" t="n"/>
      <c r="GT18" s="45" t="n"/>
      <c r="GU18" s="45" t="n"/>
      <c r="GV18" s="351" t="n"/>
      <c r="GW18" s="663" t="n"/>
      <c r="GX18" s="107" t="n"/>
      <c r="GY18" s="587" t="n"/>
      <c r="GZ18" s="108" t="n"/>
      <c r="HA18" s="15" t="n"/>
      <c r="HB18" s="546" t="n"/>
      <c r="HC18" s="17" t="n"/>
      <c r="HD18" s="15" t="n"/>
      <c r="HE18" s="546" t="n"/>
      <c r="HF18" s="546" t="n"/>
      <c r="HG18" s="17" t="n"/>
      <c r="HH18" s="31" t="n"/>
      <c r="HI18" s="45" t="n"/>
      <c r="HJ18" s="45" t="n"/>
      <c r="HK18" s="45" t="n"/>
      <c r="HL18" s="45" t="n"/>
      <c r="HM18" s="45" t="n"/>
      <c r="HN18" s="45" t="n"/>
      <c r="HO18" s="45" t="n"/>
      <c r="HP18" s="45" t="n"/>
      <c r="HQ18" s="45" t="n"/>
      <c r="HR18" s="45" t="n"/>
      <c r="HS18" s="351" t="n"/>
      <c r="HT18" s="606" t="n"/>
      <c r="HU18" s="65">
        <f>AVERAGE(H18,N18,P18)</f>
        <v/>
      </c>
      <c r="HV18" s="66">
        <f>AVERAGE(E18,J18,Q18,S18,U18,Y18,AD18)</f>
        <v/>
      </c>
      <c r="HW18" s="66">
        <f>AVERAGE(V18)</f>
        <v/>
      </c>
      <c r="HX18" s="66">
        <f>AVERAGE(R18)</f>
        <v/>
      </c>
      <c r="HY18" s="66">
        <f>AVERAGE(Z18,T18,G18)</f>
        <v/>
      </c>
      <c r="HZ18" s="66" t="n"/>
      <c r="IA18" s="66">
        <f>AVERAGE(AB18)</f>
        <v/>
      </c>
      <c r="IB18" s="66" t="n"/>
      <c r="IC18" s="66" t="n"/>
      <c r="ID18" s="66">
        <f>AVERAGE(AC18)</f>
        <v/>
      </c>
    </row>
    <row r="19" ht="18" customHeight="1" s="590">
      <c r="B19" s="12" t="n">
        <v>13</v>
      </c>
      <c r="C19" s="203" t="inlineStr">
        <is>
          <t>052-25-27306</t>
        </is>
      </c>
      <c r="D19" s="14" t="inlineStr">
        <is>
          <t>Sibtain Hussain Shah</t>
        </is>
      </c>
      <c r="E19" s="114" t="n">
        <v>66.67</v>
      </c>
      <c r="F19" s="115" t="n">
        <v>61</v>
      </c>
      <c r="G19" s="115" t="n">
        <v>54.44</v>
      </c>
      <c r="H19" s="510" t="n">
        <v>73</v>
      </c>
      <c r="I19" s="510" t="n">
        <v>74.76000000000001</v>
      </c>
      <c r="J19" s="117" t="n">
        <v>71.67</v>
      </c>
      <c r="K19" s="561" t="n">
        <v>75.33</v>
      </c>
      <c r="L19" s="583" t="n">
        <v>75.83</v>
      </c>
      <c r="M19" s="546" t="n">
        <v>59.47</v>
      </c>
      <c r="N19" s="117" t="n">
        <v>0</v>
      </c>
      <c r="O19" s="663" t="n"/>
      <c r="P19" s="561" t="n">
        <v>0</v>
      </c>
      <c r="Q19" s="583" t="n">
        <v>0</v>
      </c>
      <c r="R19" s="546" t="n">
        <v>0</v>
      </c>
      <c r="S19" s="115" t="n">
        <v>28.18</v>
      </c>
      <c r="T19" s="117" t="n">
        <v>2.73</v>
      </c>
      <c r="U19" s="225" t="n">
        <v>57.22</v>
      </c>
      <c r="V19" s="225" t="n">
        <v>54.17</v>
      </c>
      <c r="W19" s="225" t="n">
        <v>50</v>
      </c>
      <c r="X19" s="225" t="n">
        <v>75</v>
      </c>
      <c r="Y19" s="225" t="n">
        <v>85</v>
      </c>
      <c r="Z19" s="225" t="n">
        <v>78</v>
      </c>
      <c r="AA19" s="225" t="n">
        <v>83.33</v>
      </c>
      <c r="AB19" s="225" t="n">
        <v>85</v>
      </c>
      <c r="AC19" s="117" t="n"/>
      <c r="AD19" s="117" t="n"/>
      <c r="AE19" s="114" t="n"/>
      <c r="AF19" s="117" t="n"/>
      <c r="AG19" s="115" t="n"/>
      <c r="AH19" s="115" t="n"/>
      <c r="AI19" s="115" t="n"/>
      <c r="AJ19" s="115" t="n"/>
      <c r="AK19" s="510" t="n"/>
      <c r="AL19" s="510" t="n"/>
      <c r="AM19" s="127" t="n"/>
      <c r="AN19" s="128" t="n"/>
      <c r="AO19" s="131" t="n"/>
      <c r="AP19" s="127" t="n"/>
      <c r="AQ19" s="128" t="n"/>
      <c r="AR19" s="128" t="n"/>
      <c r="AS19" s="128" t="n"/>
      <c r="AT19" s="131" t="n"/>
      <c r="AU19" s="127" t="n"/>
      <c r="AV19" s="128" t="n"/>
      <c r="AW19" s="128" t="n"/>
      <c r="AX19" s="128" t="n"/>
      <c r="AY19" s="131" t="n"/>
      <c r="AZ19" s="127" t="n"/>
      <c r="BA19" s="128" t="n"/>
      <c r="BB19" s="128" t="n"/>
      <c r="BC19" s="131" t="n"/>
      <c r="BD19" s="131" t="n"/>
      <c r="BE19" s="131" t="n"/>
      <c r="BF19" s="131" t="n"/>
      <c r="BG19" s="114" t="n"/>
      <c r="BH19" s="546" t="n"/>
      <c r="BI19" s="511" t="n"/>
      <c r="BJ19" s="114" t="n"/>
      <c r="BK19" s="546" t="n"/>
      <c r="BL19" s="511" t="n"/>
      <c r="BM19" s="114" t="n"/>
      <c r="BN19" s="546" t="n"/>
      <c r="BO19" s="546" t="n"/>
      <c r="BP19" s="546" t="n"/>
      <c r="BQ19" s="546" t="n"/>
      <c r="BR19" s="546" t="n"/>
      <c r="BS19" s="511" t="n"/>
      <c r="BT19" s="546" t="n"/>
      <c r="BU19" s="546" t="n"/>
      <c r="BV19" s="546" t="n"/>
      <c r="BW19" s="546" t="n"/>
      <c r="BX19" s="546" t="n"/>
      <c r="BY19" s="546" t="n"/>
      <c r="BZ19" s="546" t="n"/>
      <c r="CA19" s="15" t="n"/>
      <c r="CB19" s="546" t="n"/>
      <c r="CC19" s="546" t="n"/>
      <c r="CD19" s="546" t="n"/>
      <c r="CE19" s="546" t="n"/>
      <c r="CF19" s="546" t="n"/>
      <c r="CG19" s="15" t="n"/>
      <c r="CH19" s="546" t="n"/>
      <c r="CI19" s="546" t="n"/>
      <c r="CJ19" s="17" t="n"/>
      <c r="CK19" s="546" t="n"/>
      <c r="CL19" s="546" t="n"/>
      <c r="CM19" s="546" t="n"/>
      <c r="CN19" s="546" t="n"/>
      <c r="CO19" s="583" t="n"/>
      <c r="CP19" s="15" t="n"/>
      <c r="CQ19" s="15" t="n"/>
      <c r="CR19" s="15" t="n"/>
      <c r="CS19" s="15" t="n"/>
      <c r="CT19" s="546" t="n"/>
      <c r="CU19" s="17" t="n"/>
      <c r="CV19" s="74" t="n"/>
      <c r="CW19" s="75" t="n"/>
      <c r="CX19" s="76" t="n"/>
      <c r="CY19" s="76" t="n"/>
      <c r="CZ19" s="91" t="n"/>
      <c r="DA19" s="546" t="n"/>
      <c r="DB19" s="546" t="n"/>
      <c r="DC19" s="546" t="n"/>
      <c r="DD19" s="546" t="n"/>
      <c r="DE19" s="583" t="n"/>
      <c r="DF19" s="141" t="n"/>
      <c r="DG19" s="162" t="n"/>
      <c r="DH19" s="162" t="n"/>
      <c r="DI19" s="512" t="n"/>
      <c r="DJ19" s="491" t="n"/>
      <c r="DK19" s="141" t="n"/>
      <c r="DL19" s="139" t="n"/>
      <c r="DM19" s="139" t="n"/>
      <c r="DN19" s="139" t="n"/>
      <c r="DO19" s="347" t="n"/>
      <c r="DP19" s="348" t="n"/>
      <c r="DQ19" s="162" t="n"/>
      <c r="DR19" s="162" t="n"/>
      <c r="DS19" s="162" t="n"/>
      <c r="DT19" s="162" t="n"/>
      <c r="DU19" s="201" t="n"/>
      <c r="DV19" s="201" t="n"/>
      <c r="DW19" s="163" t="n"/>
      <c r="DX19" s="141" t="n"/>
      <c r="DY19" s="139" t="n"/>
      <c r="DZ19" s="139" t="n"/>
      <c r="EA19" s="139" t="n"/>
      <c r="EB19" s="140" t="n"/>
      <c r="EC19" s="347" t="n"/>
      <c r="ED19" s="147" t="n"/>
      <c r="EE19" s="31" t="n"/>
      <c r="EF19" s="349" t="n"/>
      <c r="EG19" s="349" t="n"/>
      <c r="EH19" s="45" t="n"/>
      <c r="EI19" s="351" t="n"/>
      <c r="EJ19" s="107" t="n"/>
      <c r="EK19" s="139" t="n"/>
      <c r="EL19" s="139" t="n"/>
      <c r="EM19" s="139" t="n"/>
      <c r="EN19" s="140" t="n"/>
      <c r="EO19" s="108" t="n"/>
      <c r="EP19" s="141" t="n"/>
      <c r="EQ19" s="140" t="n"/>
      <c r="ER19" s="140" t="n"/>
      <c r="ES19" s="140" t="n"/>
      <c r="ET19" s="347" t="n"/>
      <c r="EU19" s="348" t="n"/>
      <c r="EV19" s="107" t="n"/>
      <c r="EW19" s="140" t="n"/>
      <c r="EX19" s="140" t="n"/>
      <c r="EY19" s="107" t="n"/>
      <c r="EZ19" s="587" t="n"/>
      <c r="FA19" s="587" t="n"/>
      <c r="FB19" s="141" t="n"/>
      <c r="FC19" s="140" t="n"/>
      <c r="FD19" s="140" t="n"/>
      <c r="FE19" s="140" t="n"/>
      <c r="FF19" s="140" t="n"/>
      <c r="FG19" s="147" t="n"/>
      <c r="FH19" s="74" t="n"/>
      <c r="FI19" s="75" t="n"/>
      <c r="FJ19" s="76" t="n"/>
      <c r="FK19" s="76" t="n"/>
      <c r="FL19" s="91" t="n"/>
      <c r="FM19" s="92" t="n"/>
      <c r="FN19" s="91" t="n"/>
      <c r="FO19" s="74" t="n"/>
      <c r="FP19" s="92" t="n"/>
      <c r="FQ19" s="148" t="n"/>
      <c r="FR19" s="149" t="n"/>
      <c r="FS19" s="150" t="n"/>
      <c r="FT19" s="99" t="n"/>
      <c r="FU19" s="100" t="n"/>
      <c r="FV19" s="100" t="n"/>
      <c r="FW19" s="100" t="n"/>
      <c r="FX19" s="100" t="n"/>
      <c r="FY19" s="100" t="n"/>
      <c r="FZ19" s="100" t="n"/>
      <c r="GA19" s="100" t="n"/>
      <c r="GB19" s="100" t="n"/>
      <c r="GC19" s="100" t="n"/>
      <c r="GD19" s="100" t="n"/>
      <c r="GE19" s="102" t="n"/>
      <c r="GF19" s="15" t="n"/>
      <c r="GG19" s="546" t="n"/>
      <c r="GH19" s="546" t="n"/>
      <c r="GI19" s="17" t="n"/>
      <c r="GJ19" s="15" t="n"/>
      <c r="GK19" s="546" t="n"/>
      <c r="GL19" s="546" t="n"/>
      <c r="GM19" s="17" t="n"/>
      <c r="GN19" s="31" t="n"/>
      <c r="GO19" s="349" t="n"/>
      <c r="GP19" s="349" t="n"/>
      <c r="GQ19" s="45" t="n"/>
      <c r="GR19" s="351" t="n"/>
      <c r="GS19" s="31" t="n"/>
      <c r="GT19" s="45" t="n"/>
      <c r="GU19" s="45" t="n"/>
      <c r="GV19" s="350" t="n"/>
      <c r="GW19" s="351" t="n"/>
      <c r="GX19" s="107" t="n"/>
      <c r="GY19" s="587" t="n"/>
      <c r="GZ19" s="108" t="n"/>
      <c r="HA19" s="15" t="n"/>
      <c r="HB19" s="546" t="n"/>
      <c r="HC19" s="17" t="n"/>
      <c r="HD19" s="15" t="n"/>
      <c r="HE19" s="546" t="n"/>
      <c r="HF19" s="546" t="n"/>
      <c r="HG19" s="17" t="n"/>
      <c r="HH19" s="31" t="n"/>
      <c r="HI19" s="45" t="n"/>
      <c r="HJ19" s="45" t="n"/>
      <c r="HK19" s="45" t="n"/>
      <c r="HL19" s="45" t="n"/>
      <c r="HM19" s="45" t="n"/>
      <c r="HN19" s="45" t="n"/>
      <c r="HO19" s="45" t="n"/>
      <c r="HP19" s="45" t="n"/>
      <c r="HQ19" s="45" t="n"/>
      <c r="HR19" s="45" t="n"/>
      <c r="HS19" s="351" t="n"/>
      <c r="HT19" s="606" t="n"/>
      <c r="HU19" s="65">
        <f>AVERAGE(H19,N19,P19)</f>
        <v/>
      </c>
      <c r="HV19" s="66">
        <f>AVERAGE(E19,J19,Q19,S19,U19,Y19,AD19)</f>
        <v/>
      </c>
      <c r="HW19" s="66">
        <f>AVERAGE(V19)</f>
        <v/>
      </c>
      <c r="HX19" s="66">
        <f>AVERAGE(R19)</f>
        <v/>
      </c>
      <c r="HY19" s="66">
        <f>AVERAGE(Z19,T19,G19)</f>
        <v/>
      </c>
      <c r="HZ19" s="66" t="n"/>
      <c r="IA19" s="66">
        <f>AVERAGE(AB19)</f>
        <v/>
      </c>
      <c r="IB19" s="66" t="n"/>
      <c r="IC19" s="66" t="n"/>
      <c r="ID19" s="66">
        <f>AVERAGE(AC19)</f>
        <v/>
      </c>
    </row>
    <row r="20" ht="18" customHeight="1" s="590">
      <c r="B20" s="12" t="n">
        <v>14</v>
      </c>
      <c r="C20" s="203" t="inlineStr">
        <is>
          <t>052-25-27314</t>
        </is>
      </c>
      <c r="D20" s="14" t="inlineStr">
        <is>
          <t>Moiz Khalid</t>
        </is>
      </c>
      <c r="E20" s="114" t="n">
        <v>82</v>
      </c>
      <c r="F20" s="115" t="n">
        <v>86</v>
      </c>
      <c r="G20" s="115" t="n">
        <v>83.89</v>
      </c>
      <c r="H20" s="510" t="n">
        <v>96</v>
      </c>
      <c r="I20" s="510" t="n">
        <v>88.09999999999999</v>
      </c>
      <c r="J20" s="117" t="n">
        <v>91.67</v>
      </c>
      <c r="K20" s="561" t="n">
        <v>73</v>
      </c>
      <c r="L20" s="583" t="n">
        <v>72.78</v>
      </c>
      <c r="M20" s="546" t="n">
        <v>67.53</v>
      </c>
      <c r="N20" s="117" t="n">
        <v>56.92</v>
      </c>
      <c r="O20" s="663" t="n"/>
      <c r="P20" s="561" t="n">
        <v>80</v>
      </c>
      <c r="Q20" s="583" t="n">
        <v>76.67</v>
      </c>
      <c r="R20" s="546" t="n">
        <v>69.44</v>
      </c>
      <c r="S20" s="115" t="n">
        <v>61.82</v>
      </c>
      <c r="T20" s="117" t="n">
        <v>59.39</v>
      </c>
      <c r="U20" s="225" t="n">
        <v>48.89</v>
      </c>
      <c r="V20" s="225" t="n">
        <v>45.83</v>
      </c>
      <c r="W20" s="225" t="n">
        <v>25</v>
      </c>
      <c r="X20" s="225" t="n">
        <v>100</v>
      </c>
      <c r="Y20" s="225" t="n">
        <v>82.5</v>
      </c>
      <c r="Z20" s="225" t="n">
        <v>72</v>
      </c>
      <c r="AA20" s="225" t="n">
        <v>86.67</v>
      </c>
      <c r="AB20" s="225" t="n">
        <v>90</v>
      </c>
      <c r="AC20" s="117" t="n"/>
      <c r="AD20" s="117" t="n"/>
      <c r="AE20" s="114" t="n"/>
      <c r="AF20" s="117" t="n"/>
      <c r="AG20" s="115" t="n"/>
      <c r="AH20" s="115" t="n"/>
      <c r="AI20" s="115" t="n"/>
      <c r="AJ20" s="115" t="n"/>
      <c r="AK20" s="510" t="n"/>
      <c r="AL20" s="510" t="n"/>
      <c r="AM20" s="127" t="n"/>
      <c r="AN20" s="128" t="n"/>
      <c r="AO20" s="131" t="n"/>
      <c r="AP20" s="127" t="n"/>
      <c r="AQ20" s="128" t="n"/>
      <c r="AR20" s="128" t="n"/>
      <c r="AS20" s="128" t="n"/>
      <c r="AT20" s="131" t="n"/>
      <c r="AU20" s="127" t="n"/>
      <c r="AV20" s="128" t="n"/>
      <c r="AW20" s="128" t="n"/>
      <c r="AX20" s="128" t="n"/>
      <c r="AY20" s="131" t="n"/>
      <c r="AZ20" s="127" t="n"/>
      <c r="BA20" s="128" t="n"/>
      <c r="BB20" s="128" t="n"/>
      <c r="BC20" s="131" t="n"/>
      <c r="BD20" s="131" t="n"/>
      <c r="BE20" s="131" t="n"/>
      <c r="BF20" s="131" t="n"/>
      <c r="BG20" s="114" t="n"/>
      <c r="BH20" s="546" t="n"/>
      <c r="BI20" s="511" t="n"/>
      <c r="BJ20" s="114" t="n"/>
      <c r="BK20" s="546" t="n"/>
      <c r="BL20" s="511" t="n"/>
      <c r="BM20" s="114" t="n"/>
      <c r="BN20" s="546" t="n"/>
      <c r="BO20" s="546" t="n"/>
      <c r="BP20" s="546" t="n"/>
      <c r="BQ20" s="546" t="n"/>
      <c r="BR20" s="546" t="n"/>
      <c r="BS20" s="511" t="n"/>
      <c r="BT20" s="546" t="n"/>
      <c r="BU20" s="546" t="n"/>
      <c r="BV20" s="546" t="n"/>
      <c r="BW20" s="546" t="n"/>
      <c r="BX20" s="546" t="n"/>
      <c r="BY20" s="546" t="n"/>
      <c r="BZ20" s="546" t="n"/>
      <c r="CA20" s="15" t="n"/>
      <c r="CB20" s="546" t="n"/>
      <c r="CC20" s="546" t="n"/>
      <c r="CD20" s="546" t="n"/>
      <c r="CE20" s="546" t="n"/>
      <c r="CF20" s="546" t="n"/>
      <c r="CG20" s="15" t="n"/>
      <c r="CH20" s="546" t="n"/>
      <c r="CI20" s="546" t="n"/>
      <c r="CJ20" s="17" t="n"/>
      <c r="CK20" s="546" t="n"/>
      <c r="CL20" s="546" t="n"/>
      <c r="CM20" s="546" t="n"/>
      <c r="CN20" s="546" t="n"/>
      <c r="CO20" s="583" t="n"/>
      <c r="CP20" s="15" t="n"/>
      <c r="CQ20" s="15" t="n"/>
      <c r="CR20" s="15" t="n"/>
      <c r="CS20" s="15" t="n"/>
      <c r="CT20" s="546" t="n"/>
      <c r="CU20" s="17" t="n"/>
      <c r="CV20" s="74" t="n"/>
      <c r="CW20" s="75" t="n"/>
      <c r="CX20" s="76" t="n"/>
      <c r="CY20" s="76" t="n"/>
      <c r="CZ20" s="91" t="n"/>
      <c r="DA20" s="546" t="n"/>
      <c r="DB20" s="546" t="n"/>
      <c r="DC20" s="546" t="n"/>
      <c r="DD20" s="546" t="n"/>
      <c r="DE20" s="583" t="n"/>
      <c r="DF20" s="141" t="n"/>
      <c r="DG20" s="162" t="n"/>
      <c r="DH20" s="162" t="n"/>
      <c r="DI20" s="512" t="n"/>
      <c r="DJ20" s="491" t="n"/>
      <c r="DK20" s="141" t="n"/>
      <c r="DL20" s="139" t="n"/>
      <c r="DM20" s="139" t="n"/>
      <c r="DN20" s="139" t="n"/>
      <c r="DO20" s="347" t="n"/>
      <c r="DP20" s="348" t="n"/>
      <c r="DQ20" s="162" t="n"/>
      <c r="DR20" s="162" t="n"/>
      <c r="DS20" s="162" t="n"/>
      <c r="DT20" s="162" t="n"/>
      <c r="DU20" s="201" t="n"/>
      <c r="DV20" s="201" t="n"/>
      <c r="DW20" s="163" t="n"/>
      <c r="DX20" s="141" t="n"/>
      <c r="DY20" s="139" t="n"/>
      <c r="DZ20" s="139" t="n"/>
      <c r="EA20" s="139" t="n"/>
      <c r="EB20" s="140" t="n"/>
      <c r="EC20" s="347" t="n"/>
      <c r="ED20" s="147" t="n"/>
      <c r="EE20" s="31" t="n"/>
      <c r="EF20" s="349" t="n"/>
      <c r="EG20" s="349" t="n"/>
      <c r="EH20" s="45" t="n"/>
      <c r="EI20" s="351" t="n"/>
      <c r="EJ20" s="107" t="n"/>
      <c r="EK20" s="139" t="n"/>
      <c r="EL20" s="139" t="n"/>
      <c r="EM20" s="139" t="n"/>
      <c r="EN20" s="140" t="n"/>
      <c r="EO20" s="108" t="n"/>
      <c r="EP20" s="141" t="n"/>
      <c r="EQ20" s="140" t="n"/>
      <c r="ER20" s="140" t="n"/>
      <c r="ES20" s="140" t="n"/>
      <c r="ET20" s="347" t="n"/>
      <c r="EU20" s="348" t="n"/>
      <c r="EV20" s="107" t="n"/>
      <c r="EW20" s="140" t="n"/>
      <c r="EX20" s="140" t="n"/>
      <c r="EY20" s="107" t="n"/>
      <c r="EZ20" s="587" t="n"/>
      <c r="FA20" s="587" t="n"/>
      <c r="FB20" s="141" t="n"/>
      <c r="FC20" s="140" t="n"/>
      <c r="FD20" s="140" t="n"/>
      <c r="FE20" s="140" t="n"/>
      <c r="FF20" s="140" t="n"/>
      <c r="FG20" s="147" t="n"/>
      <c r="FH20" s="74" t="n"/>
      <c r="FI20" s="75" t="n"/>
      <c r="FJ20" s="76" t="n"/>
      <c r="FK20" s="76" t="n"/>
      <c r="FL20" s="91" t="n"/>
      <c r="FM20" s="92" t="n"/>
      <c r="FN20" s="91" t="n"/>
      <c r="FO20" s="74" t="n"/>
      <c r="FP20" s="92" t="n"/>
      <c r="FQ20" s="148" t="n"/>
      <c r="FR20" s="149" t="n"/>
      <c r="FS20" s="150" t="n"/>
      <c r="FT20" s="99" t="n"/>
      <c r="FU20" s="100" t="n"/>
      <c r="FV20" s="100" t="n"/>
      <c r="FW20" s="100" t="n"/>
      <c r="FX20" s="100" t="n"/>
      <c r="FY20" s="100" t="n"/>
      <c r="FZ20" s="100" t="n"/>
      <c r="GA20" s="100" t="n"/>
      <c r="GB20" s="100" t="n"/>
      <c r="GC20" s="100" t="n"/>
      <c r="GD20" s="100" t="n"/>
      <c r="GE20" s="102" t="n"/>
      <c r="GF20" s="15" t="n"/>
      <c r="GG20" s="546" t="n"/>
      <c r="GH20" s="546" t="n"/>
      <c r="GI20" s="17" t="n"/>
      <c r="GJ20" s="15" t="n"/>
      <c r="GK20" s="546" t="n"/>
      <c r="GL20" s="546" t="n"/>
      <c r="GM20" s="17" t="n"/>
      <c r="GN20" s="31" t="n"/>
      <c r="GO20" s="349" t="n"/>
      <c r="GP20" s="349" t="n"/>
      <c r="GQ20" s="45" t="n"/>
      <c r="GR20" s="351" t="n"/>
      <c r="GS20" s="31" t="n"/>
      <c r="GT20" s="45" t="n"/>
      <c r="GU20" s="45" t="n"/>
      <c r="GV20" s="350" t="n"/>
      <c r="GW20" s="351" t="n"/>
      <c r="GX20" s="107" t="n"/>
      <c r="GY20" s="587" t="n"/>
      <c r="GZ20" s="108" t="n"/>
      <c r="HA20" s="15" t="n"/>
      <c r="HB20" s="546" t="n"/>
      <c r="HC20" s="17" t="n"/>
      <c r="HD20" s="15" t="n"/>
      <c r="HE20" s="546" t="n"/>
      <c r="HF20" s="546" t="n"/>
      <c r="HG20" s="17" t="n"/>
      <c r="HH20" s="31" t="n"/>
      <c r="HI20" s="45" t="n"/>
      <c r="HJ20" s="45" t="n"/>
      <c r="HK20" s="45" t="n"/>
      <c r="HL20" s="45" t="n"/>
      <c r="HM20" s="45" t="n"/>
      <c r="HN20" s="45" t="n"/>
      <c r="HO20" s="45" t="n"/>
      <c r="HP20" s="45" t="n"/>
      <c r="HQ20" s="45" t="n"/>
      <c r="HR20" s="45" t="n"/>
      <c r="HS20" s="351" t="n"/>
      <c r="HT20" s="606" t="n"/>
      <c r="HU20" s="65">
        <f>AVERAGE(H20,N20,P20)</f>
        <v/>
      </c>
      <c r="HV20" s="66">
        <f>AVERAGE(E20,J20,Q20,S20,U20,Y20,AD20)</f>
        <v/>
      </c>
      <c r="HW20" s="66">
        <f>AVERAGE(V20)</f>
        <v/>
      </c>
      <c r="HX20" s="66">
        <f>AVERAGE(R20)</f>
        <v/>
      </c>
      <c r="HY20" s="66">
        <f>AVERAGE(Z20,T20,G20)</f>
        <v/>
      </c>
      <c r="HZ20" s="66" t="n"/>
      <c r="IA20" s="66">
        <f>AVERAGE(AB20)</f>
        <v/>
      </c>
      <c r="IB20" s="66" t="n"/>
      <c r="IC20" s="66" t="n"/>
      <c r="ID20" s="66">
        <f>AVERAGE(AC20)</f>
        <v/>
      </c>
    </row>
    <row r="21" ht="18" customHeight="1" s="590">
      <c r="B21" s="12" t="n">
        <v>15</v>
      </c>
      <c r="C21" s="203" t="inlineStr">
        <is>
          <t>052-25-27343</t>
        </is>
      </c>
      <c r="D21" s="14" t="inlineStr">
        <is>
          <t>Muhammad Shahzad</t>
        </is>
      </c>
      <c r="E21" s="114" t="n">
        <v>74.67</v>
      </c>
      <c r="F21" s="115" t="n">
        <v>75.5</v>
      </c>
      <c r="G21" s="115" t="n">
        <v>73.33</v>
      </c>
      <c r="H21" s="510" t="n">
        <v>73.67</v>
      </c>
      <c r="I21" s="510" t="n">
        <v>72.38</v>
      </c>
      <c r="J21" s="117" t="n">
        <v>73.89</v>
      </c>
      <c r="K21" s="561" t="n">
        <v>80.5</v>
      </c>
      <c r="L21" s="583" t="n">
        <v>82.22</v>
      </c>
      <c r="M21" s="546" t="n">
        <v>77.53</v>
      </c>
      <c r="N21" s="117" t="n">
        <v>88.59999999999999</v>
      </c>
      <c r="O21" s="663" t="n"/>
      <c r="P21" s="561" t="n">
        <v>70</v>
      </c>
      <c r="Q21" s="583" t="n">
        <v>67.78</v>
      </c>
      <c r="R21" s="546" t="n">
        <v>66.67</v>
      </c>
      <c r="S21" s="115" t="n">
        <v>82.42</v>
      </c>
      <c r="T21" s="117" t="n">
        <v>78.64</v>
      </c>
      <c r="U21" s="225" t="n">
        <v>75</v>
      </c>
      <c r="V21" s="225" t="n">
        <v>63.33</v>
      </c>
      <c r="W21" s="225" t="n">
        <v>75</v>
      </c>
      <c r="X21" s="225" t="n">
        <v>100</v>
      </c>
      <c r="Y21" s="225" t="n">
        <v>90</v>
      </c>
      <c r="Z21" s="225" t="n">
        <v>80.67</v>
      </c>
      <c r="AA21" s="225" t="n">
        <v>90</v>
      </c>
      <c r="AB21" s="225" t="n">
        <v>90</v>
      </c>
      <c r="AC21" s="117" t="n"/>
      <c r="AD21" s="117" t="n"/>
      <c r="AE21" s="114" t="n"/>
      <c r="AF21" s="117" t="n"/>
      <c r="AG21" s="115" t="n"/>
      <c r="AH21" s="115" t="n"/>
      <c r="AI21" s="115" t="n"/>
      <c r="AJ21" s="115" t="n"/>
      <c r="AK21" s="510" t="n"/>
      <c r="AL21" s="510" t="n"/>
      <c r="AM21" s="127" t="n"/>
      <c r="AN21" s="128" t="n"/>
      <c r="AO21" s="131" t="n"/>
      <c r="AP21" s="127" t="n"/>
      <c r="AQ21" s="128" t="n"/>
      <c r="AR21" s="128" t="n"/>
      <c r="AS21" s="128" t="n"/>
      <c r="AT21" s="131" t="n"/>
      <c r="AU21" s="127" t="n"/>
      <c r="AV21" s="128" t="n"/>
      <c r="AW21" s="128" t="n"/>
      <c r="AX21" s="128" t="n"/>
      <c r="AY21" s="131" t="n"/>
      <c r="AZ21" s="127" t="n"/>
      <c r="BA21" s="128" t="n"/>
      <c r="BB21" s="128" t="n"/>
      <c r="BC21" s="131" t="n"/>
      <c r="BD21" s="131" t="n"/>
      <c r="BE21" s="131" t="n"/>
      <c r="BF21" s="131" t="n"/>
      <c r="BG21" s="114" t="n"/>
      <c r="BH21" s="546" t="n"/>
      <c r="BI21" s="511" t="n"/>
      <c r="BJ21" s="114" t="n"/>
      <c r="BK21" s="546" t="n"/>
      <c r="BL21" s="511" t="n"/>
      <c r="BM21" s="114" t="n"/>
      <c r="BN21" s="546" t="n"/>
      <c r="BO21" s="546" t="n"/>
      <c r="BP21" s="546" t="n"/>
      <c r="BQ21" s="546" t="n"/>
      <c r="BR21" s="546" t="n"/>
      <c r="BS21" s="511" t="n"/>
      <c r="BT21" s="546" t="n"/>
      <c r="BU21" s="546" t="n"/>
      <c r="BV21" s="546" t="n"/>
      <c r="BW21" s="546" t="n"/>
      <c r="BX21" s="546" t="n"/>
      <c r="BY21" s="546" t="n"/>
      <c r="BZ21" s="546" t="n"/>
      <c r="CA21" s="15" t="n"/>
      <c r="CB21" s="546" t="n"/>
      <c r="CC21" s="546" t="n"/>
      <c r="CD21" s="546" t="n"/>
      <c r="CE21" s="546" t="n"/>
      <c r="CF21" s="546" t="n"/>
      <c r="CG21" s="15" t="n"/>
      <c r="CH21" s="546" t="n"/>
      <c r="CI21" s="546" t="n"/>
      <c r="CJ21" s="17" t="n"/>
      <c r="CK21" s="546" t="n"/>
      <c r="CL21" s="546" t="n"/>
      <c r="CM21" s="546" t="n"/>
      <c r="CN21" s="546" t="n"/>
      <c r="CO21" s="583" t="n"/>
      <c r="CP21" s="15" t="n"/>
      <c r="CQ21" s="15" t="n"/>
      <c r="CR21" s="15" t="n"/>
      <c r="CS21" s="15" t="n"/>
      <c r="CT21" s="546" t="n"/>
      <c r="CU21" s="17" t="n"/>
      <c r="CV21" s="74" t="n"/>
      <c r="CW21" s="75" t="n"/>
      <c r="CX21" s="76" t="n"/>
      <c r="CY21" s="76" t="n"/>
      <c r="CZ21" s="91" t="n"/>
      <c r="DA21" s="546" t="n"/>
      <c r="DB21" s="546" t="n"/>
      <c r="DC21" s="546" t="n"/>
      <c r="DD21" s="546" t="n"/>
      <c r="DE21" s="583" t="n"/>
      <c r="DF21" s="141" t="n"/>
      <c r="DG21" s="162" t="n"/>
      <c r="DH21" s="162" t="n"/>
      <c r="DI21" s="512" t="n"/>
      <c r="DJ21" s="491" t="n"/>
      <c r="DK21" s="141" t="n"/>
      <c r="DL21" s="139" t="n"/>
      <c r="DM21" s="139" t="n"/>
      <c r="DN21" s="139" t="n"/>
      <c r="DO21" s="347" t="n"/>
      <c r="DP21" s="348" t="n"/>
      <c r="DQ21" s="162" t="n"/>
      <c r="DR21" s="162" t="n"/>
      <c r="DS21" s="162" t="n"/>
      <c r="DT21" s="162" t="n"/>
      <c r="DU21" s="201" t="n"/>
      <c r="DV21" s="201" t="n"/>
      <c r="DW21" s="163" t="n"/>
      <c r="DX21" s="141" t="n"/>
      <c r="DY21" s="139" t="n"/>
      <c r="DZ21" s="139" t="n"/>
      <c r="EA21" s="139" t="n"/>
      <c r="EB21" s="140" t="n"/>
      <c r="EC21" s="347" t="n"/>
      <c r="ED21" s="147" t="n"/>
      <c r="EE21" s="31" t="n"/>
      <c r="EF21" s="349" t="n"/>
      <c r="EG21" s="349" t="n"/>
      <c r="EH21" s="45" t="n"/>
      <c r="EI21" s="351" t="n"/>
      <c r="EJ21" s="107" t="n"/>
      <c r="EK21" s="139" t="n"/>
      <c r="EL21" s="139" t="n"/>
      <c r="EM21" s="139" t="n"/>
      <c r="EN21" s="140" t="n"/>
      <c r="EO21" s="108" t="n"/>
      <c r="EP21" s="141" t="n"/>
      <c r="EQ21" s="140" t="n"/>
      <c r="ER21" s="140" t="n"/>
      <c r="ES21" s="140" t="n"/>
      <c r="ET21" s="347" t="n"/>
      <c r="EU21" s="348" t="n"/>
      <c r="EV21" s="107" t="n"/>
      <c r="EW21" s="140" t="n"/>
      <c r="EX21" s="140" t="n"/>
      <c r="EY21" s="107" t="n"/>
      <c r="EZ21" s="587" t="n"/>
      <c r="FA21" s="587" t="n"/>
      <c r="FB21" s="141" t="n"/>
      <c r="FC21" s="140" t="n"/>
      <c r="FD21" s="140" t="n"/>
      <c r="FE21" s="140" t="n"/>
      <c r="FF21" s="140" t="n"/>
      <c r="FG21" s="147" t="n"/>
      <c r="FH21" s="74" t="n"/>
      <c r="FI21" s="75" t="n"/>
      <c r="FJ21" s="76" t="n"/>
      <c r="FK21" s="76" t="n"/>
      <c r="FL21" s="91" t="n"/>
      <c r="FM21" s="92" t="n"/>
      <c r="FN21" s="91" t="n"/>
      <c r="FO21" s="74" t="n"/>
      <c r="FP21" s="92" t="n"/>
      <c r="FQ21" s="148" t="n"/>
      <c r="FR21" s="149" t="n"/>
      <c r="FS21" s="150" t="n"/>
      <c r="FT21" s="99" t="n"/>
      <c r="FU21" s="100" t="n"/>
      <c r="FV21" s="100" t="n"/>
      <c r="FW21" s="100" t="n"/>
      <c r="FX21" s="100" t="n"/>
      <c r="FY21" s="100" t="n"/>
      <c r="FZ21" s="100" t="n"/>
      <c r="GA21" s="100" t="n"/>
      <c r="GB21" s="100" t="n"/>
      <c r="GC21" s="100" t="n"/>
      <c r="GD21" s="100" t="n"/>
      <c r="GE21" s="102" t="n"/>
      <c r="GF21" s="15" t="n"/>
      <c r="GG21" s="546" t="n"/>
      <c r="GH21" s="546" t="n"/>
      <c r="GI21" s="17" t="n"/>
      <c r="GJ21" s="15" t="n"/>
      <c r="GK21" s="546" t="n"/>
      <c r="GL21" s="546" t="n"/>
      <c r="GM21" s="17" t="n"/>
      <c r="GN21" s="31" t="n"/>
      <c r="GO21" s="349" t="n"/>
      <c r="GP21" s="349" t="n"/>
      <c r="GQ21" s="45" t="n"/>
      <c r="GR21" s="351" t="n"/>
      <c r="GS21" s="31" t="n"/>
      <c r="GT21" s="45" t="n"/>
      <c r="GU21" s="45" t="n"/>
      <c r="GV21" s="350" t="n"/>
      <c r="GW21" s="351" t="n"/>
      <c r="GX21" s="107" t="n"/>
      <c r="GY21" s="587" t="n"/>
      <c r="GZ21" s="108" t="n"/>
      <c r="HA21" s="15" t="n"/>
      <c r="HB21" s="546" t="n"/>
      <c r="HC21" s="17" t="n"/>
      <c r="HD21" s="15" t="n"/>
      <c r="HE21" s="546" t="n"/>
      <c r="HF21" s="546" t="n"/>
      <c r="HG21" s="17" t="n"/>
      <c r="HH21" s="31" t="n"/>
      <c r="HI21" s="45" t="n"/>
      <c r="HJ21" s="45" t="n"/>
      <c r="HK21" s="45" t="n"/>
      <c r="HL21" s="45" t="n"/>
      <c r="HM21" s="45" t="n"/>
      <c r="HN21" s="45" t="n"/>
      <c r="HO21" s="45" t="n"/>
      <c r="HP21" s="45" t="n"/>
      <c r="HQ21" s="45" t="n"/>
      <c r="HR21" s="45" t="n"/>
      <c r="HS21" s="351" t="n"/>
      <c r="HT21" s="606" t="n"/>
      <c r="HU21" s="65">
        <f>AVERAGE(H21,N21,P21)</f>
        <v/>
      </c>
      <c r="HV21" s="66">
        <f>AVERAGE(E21,J21,Q21,S21,U21,Y21,AD21)</f>
        <v/>
      </c>
      <c r="HW21" s="66">
        <f>AVERAGE(V21)</f>
        <v/>
      </c>
      <c r="HX21" s="66">
        <f>AVERAGE(R21)</f>
        <v/>
      </c>
      <c r="HY21" s="66">
        <f>AVERAGE(Z21,T21,G21)</f>
        <v/>
      </c>
      <c r="HZ21" s="66" t="n"/>
      <c r="IA21" s="66">
        <f>AVERAGE(AB21)</f>
        <v/>
      </c>
      <c r="IB21" s="66" t="n"/>
      <c r="IC21" s="66" t="n"/>
      <c r="ID21" s="66">
        <f>AVERAGE(AC21)</f>
        <v/>
      </c>
    </row>
    <row r="22" ht="18" customHeight="1" s="590">
      <c r="B22" s="12" t="n">
        <v>16</v>
      </c>
      <c r="C22" s="203" t="inlineStr">
        <is>
          <t>052-25-27344</t>
        </is>
      </c>
      <c r="D22" s="14" t="inlineStr">
        <is>
          <t xml:space="preserve">Hashim Raza </t>
        </is>
      </c>
      <c r="E22" s="114" t="n">
        <v>78.76000000000001</v>
      </c>
      <c r="F22" s="115" t="n">
        <v>73</v>
      </c>
      <c r="G22" s="115" t="n">
        <v>78.89</v>
      </c>
      <c r="H22" s="510" t="n">
        <v>73</v>
      </c>
      <c r="I22" s="510" t="n">
        <v>78.56999999999999</v>
      </c>
      <c r="J22" s="117" t="n">
        <v>75</v>
      </c>
      <c r="K22" s="561" t="n">
        <v>77</v>
      </c>
      <c r="L22" s="583" t="n">
        <v>77.78</v>
      </c>
      <c r="M22" s="546" t="n">
        <v>74.19</v>
      </c>
      <c r="N22" s="117" t="n">
        <v>85.28</v>
      </c>
      <c r="O22" s="663" t="n"/>
      <c r="P22" s="561" t="n">
        <v>60</v>
      </c>
      <c r="Q22" s="583" t="n">
        <v>67.78</v>
      </c>
      <c r="R22" s="546" t="n">
        <v>50</v>
      </c>
      <c r="S22" s="115" t="n">
        <v>62.42</v>
      </c>
      <c r="T22" s="117" t="n">
        <v>66.52</v>
      </c>
      <c r="U22" s="225" t="n">
        <v>68.33</v>
      </c>
      <c r="V22" s="225" t="n">
        <v>45.83</v>
      </c>
      <c r="W22" s="225" t="n">
        <v>66.67</v>
      </c>
      <c r="X22" s="225" t="n">
        <v>50</v>
      </c>
      <c r="Y22" s="225" t="n">
        <v>86.25</v>
      </c>
      <c r="Z22" s="225" t="n">
        <v>76.67</v>
      </c>
      <c r="AA22" s="225" t="n">
        <v>83.33</v>
      </c>
      <c r="AB22" s="225" t="n">
        <v>90</v>
      </c>
      <c r="AC22" s="117" t="n"/>
      <c r="AD22" s="117" t="n"/>
      <c r="AE22" s="114" t="n"/>
      <c r="AF22" s="117" t="n"/>
      <c r="AG22" s="115" t="n"/>
      <c r="AH22" s="115" t="n"/>
      <c r="AI22" s="115" t="n"/>
      <c r="AJ22" s="115" t="n"/>
      <c r="AK22" s="510" t="n"/>
      <c r="AL22" s="510" t="n"/>
      <c r="AM22" s="127" t="n"/>
      <c r="AN22" s="128" t="n"/>
      <c r="AO22" s="131" t="n"/>
      <c r="AP22" s="127" t="n"/>
      <c r="AQ22" s="128" t="n"/>
      <c r="AR22" s="128" t="n"/>
      <c r="AS22" s="128" t="n"/>
      <c r="AT22" s="131" t="n"/>
      <c r="AU22" s="127" t="n"/>
      <c r="AV22" s="128" t="n"/>
      <c r="AW22" s="128" t="n"/>
      <c r="AX22" s="128" t="n"/>
      <c r="AY22" s="131" t="n"/>
      <c r="AZ22" s="127" t="n"/>
      <c r="BA22" s="128" t="n"/>
      <c r="BB22" s="128" t="n"/>
      <c r="BC22" s="131" t="n"/>
      <c r="BD22" s="131" t="n"/>
      <c r="BE22" s="131" t="n"/>
      <c r="BF22" s="131" t="n"/>
      <c r="BG22" s="114" t="n"/>
      <c r="BH22" s="546" t="n"/>
      <c r="BI22" s="511" t="n"/>
      <c r="BJ22" s="114" t="n"/>
      <c r="BK22" s="546" t="n"/>
      <c r="BL22" s="511" t="n"/>
      <c r="BM22" s="114" t="n"/>
      <c r="BN22" s="546" t="n"/>
      <c r="BO22" s="546" t="n"/>
      <c r="BP22" s="546" t="n"/>
      <c r="BQ22" s="546" t="n"/>
      <c r="BR22" s="546" t="n"/>
      <c r="BS22" s="511" t="n"/>
      <c r="BT22" s="546" t="n"/>
      <c r="BU22" s="546" t="n"/>
      <c r="BV22" s="546" t="n"/>
      <c r="BW22" s="546" t="n"/>
      <c r="BX22" s="546" t="n"/>
      <c r="BY22" s="546" t="n"/>
      <c r="BZ22" s="546" t="n"/>
      <c r="CA22" s="15" t="n"/>
      <c r="CB22" s="546" t="n"/>
      <c r="CC22" s="546" t="n"/>
      <c r="CD22" s="546" t="n"/>
      <c r="CE22" s="546" t="n"/>
      <c r="CF22" s="546" t="n"/>
      <c r="CG22" s="15" t="n"/>
      <c r="CH22" s="546" t="n"/>
      <c r="CI22" s="546" t="n"/>
      <c r="CJ22" s="17" t="n"/>
      <c r="CK22" s="546" t="n"/>
      <c r="CL22" s="546" t="n"/>
      <c r="CM22" s="546" t="n"/>
      <c r="CN22" s="546" t="n"/>
      <c r="CO22" s="583" t="n"/>
      <c r="CP22" s="15" t="n"/>
      <c r="CQ22" s="15" t="n"/>
      <c r="CR22" s="15" t="n"/>
      <c r="CS22" s="15" t="n"/>
      <c r="CT22" s="546" t="n"/>
      <c r="CU22" s="17" t="n"/>
      <c r="CV22" s="74" t="n"/>
      <c r="CW22" s="75" t="n"/>
      <c r="CX22" s="76" t="n"/>
      <c r="CY22" s="76" t="n"/>
      <c r="CZ22" s="91" t="n"/>
      <c r="DA22" s="546" t="n"/>
      <c r="DB22" s="546" t="n"/>
      <c r="DC22" s="546" t="n"/>
      <c r="DD22" s="546" t="n"/>
      <c r="DE22" s="583" t="n"/>
      <c r="DF22" s="141" t="n"/>
      <c r="DG22" s="162" t="n"/>
      <c r="DH22" s="162" t="n"/>
      <c r="DI22" s="512" t="n"/>
      <c r="DJ22" s="491" t="n"/>
      <c r="DK22" s="141" t="n"/>
      <c r="DL22" s="139" t="n"/>
      <c r="DM22" s="139" t="n"/>
      <c r="DN22" s="139" t="n"/>
      <c r="DO22" s="347" t="n"/>
      <c r="DP22" s="348" t="n"/>
      <c r="DQ22" s="162" t="n"/>
      <c r="DR22" s="162" t="n"/>
      <c r="DS22" s="162" t="n"/>
      <c r="DT22" s="162" t="n"/>
      <c r="DU22" s="201" t="n"/>
      <c r="DV22" s="201" t="n"/>
      <c r="DW22" s="163" t="n"/>
      <c r="DX22" s="141" t="n"/>
      <c r="DY22" s="139" t="n"/>
      <c r="DZ22" s="139" t="n"/>
      <c r="EA22" s="139" t="n"/>
      <c r="EB22" s="140" t="n"/>
      <c r="EC22" s="347" t="n"/>
      <c r="ED22" s="147" t="n"/>
      <c r="EE22" s="31" t="n"/>
      <c r="EF22" s="349" t="n"/>
      <c r="EG22" s="349" t="n"/>
      <c r="EH22" s="45" t="n"/>
      <c r="EI22" s="351" t="n"/>
      <c r="EJ22" s="107" t="n"/>
      <c r="EK22" s="139" t="n"/>
      <c r="EL22" s="139" t="n"/>
      <c r="EM22" s="139" t="n"/>
      <c r="EN22" s="140" t="n"/>
      <c r="EO22" s="108" t="n"/>
      <c r="EP22" s="141" t="n"/>
      <c r="EQ22" s="140" t="n"/>
      <c r="ER22" s="140" t="n"/>
      <c r="ES22" s="140" t="n"/>
      <c r="ET22" s="347" t="n"/>
      <c r="EU22" s="348" t="n"/>
      <c r="EV22" s="107" t="n"/>
      <c r="EW22" s="140" t="n"/>
      <c r="EX22" s="140" t="n"/>
      <c r="EY22" s="107" t="n"/>
      <c r="EZ22" s="587" t="n"/>
      <c r="FA22" s="587" t="n"/>
      <c r="FB22" s="141" t="n"/>
      <c r="FC22" s="140" t="n"/>
      <c r="FD22" s="140" t="n"/>
      <c r="FE22" s="140" t="n"/>
      <c r="FF22" s="140" t="n"/>
      <c r="FG22" s="147" t="n"/>
      <c r="FH22" s="74" t="n"/>
      <c r="FI22" s="75" t="n"/>
      <c r="FJ22" s="76" t="n"/>
      <c r="FK22" s="76" t="n"/>
      <c r="FL22" s="91" t="n"/>
      <c r="FM22" s="92" t="n"/>
      <c r="FN22" s="91" t="n"/>
      <c r="FO22" s="74" t="n"/>
      <c r="FP22" s="92" t="n"/>
      <c r="FQ22" s="148" t="n"/>
      <c r="FR22" s="149" t="n"/>
      <c r="FS22" s="150" t="n"/>
      <c r="FT22" s="99" t="n"/>
      <c r="FU22" s="100" t="n"/>
      <c r="FV22" s="100" t="n"/>
      <c r="FW22" s="100" t="n"/>
      <c r="FX22" s="100" t="n"/>
      <c r="FY22" s="100" t="n"/>
      <c r="FZ22" s="100" t="n"/>
      <c r="GA22" s="100" t="n"/>
      <c r="GB22" s="100" t="n"/>
      <c r="GC22" s="100" t="n"/>
      <c r="GD22" s="100" t="n"/>
      <c r="GE22" s="102" t="n"/>
      <c r="GF22" s="15" t="n"/>
      <c r="GG22" s="546" t="n"/>
      <c r="GH22" s="546" t="n"/>
      <c r="GI22" s="17" t="n"/>
      <c r="GJ22" s="15" t="n"/>
      <c r="GK22" s="546" t="n"/>
      <c r="GL22" s="546" t="n"/>
      <c r="GM22" s="17" t="n"/>
      <c r="GN22" s="31" t="n"/>
      <c r="GO22" s="349" t="n"/>
      <c r="GP22" s="349" t="n"/>
      <c r="GQ22" s="45" t="n"/>
      <c r="GR22" s="351" t="n"/>
      <c r="GS22" s="31" t="n"/>
      <c r="GT22" s="45" t="n"/>
      <c r="GU22" s="45" t="n"/>
      <c r="GV22" s="350" t="n"/>
      <c r="GW22" s="351" t="n"/>
      <c r="GX22" s="107" t="n"/>
      <c r="GY22" s="587" t="n"/>
      <c r="GZ22" s="108" t="n"/>
      <c r="HA22" s="15" t="n"/>
      <c r="HB22" s="546" t="n"/>
      <c r="HC22" s="17" t="n"/>
      <c r="HD22" s="15" t="n"/>
      <c r="HE22" s="546" t="n"/>
      <c r="HF22" s="546" t="n"/>
      <c r="HG22" s="17" t="n"/>
      <c r="HH22" s="31" t="n"/>
      <c r="HI22" s="45" t="n"/>
      <c r="HJ22" s="45" t="n"/>
      <c r="HK22" s="45" t="n"/>
      <c r="HL22" s="45" t="n"/>
      <c r="HM22" s="45" t="n"/>
      <c r="HN22" s="45" t="n"/>
      <c r="HO22" s="45" t="n"/>
      <c r="HP22" s="45" t="n"/>
      <c r="HQ22" s="45" t="n"/>
      <c r="HR22" s="45" t="n"/>
      <c r="HS22" s="351" t="n"/>
      <c r="HT22" s="606" t="n"/>
      <c r="HU22" s="65">
        <f>AVERAGE(H22,N22,P22)</f>
        <v/>
      </c>
      <c r="HV22" s="66">
        <f>AVERAGE(E22,J22,Q22,S22,U22,Y22,AD22)</f>
        <v/>
      </c>
      <c r="HW22" s="66">
        <f>AVERAGE(V22)</f>
        <v/>
      </c>
      <c r="HX22" s="66">
        <f>AVERAGE(R22)</f>
        <v/>
      </c>
      <c r="HY22" s="66">
        <f>AVERAGE(Z22,T22,G22)</f>
        <v/>
      </c>
      <c r="HZ22" s="66" t="n"/>
      <c r="IA22" s="66">
        <f>AVERAGE(AB22)</f>
        <v/>
      </c>
      <c r="IB22" s="66" t="n"/>
      <c r="IC22" s="66" t="n"/>
      <c r="ID22" s="66">
        <f>AVERAGE(AC22)</f>
        <v/>
      </c>
    </row>
    <row r="23" ht="18" customHeight="1" s="590">
      <c r="B23" s="12" t="n">
        <v>17</v>
      </c>
      <c r="C23" s="203" t="inlineStr">
        <is>
          <t>052-25-27345</t>
        </is>
      </c>
      <c r="D23" s="14" t="inlineStr">
        <is>
          <t>Umme-Farwa</t>
        </is>
      </c>
      <c r="E23" s="114" t="n">
        <v>0</v>
      </c>
      <c r="F23" s="115" t="n">
        <v>0</v>
      </c>
      <c r="G23" s="115" t="n">
        <v>0</v>
      </c>
      <c r="H23" s="510" t="n">
        <v>0</v>
      </c>
      <c r="I23" s="510" t="n">
        <v>0</v>
      </c>
      <c r="J23" s="117" t="n">
        <v>0</v>
      </c>
      <c r="K23" s="561" t="n">
        <v>74.83</v>
      </c>
      <c r="L23" s="583" t="n">
        <v>73.06</v>
      </c>
      <c r="M23" s="546" t="n">
        <v>66</v>
      </c>
      <c r="N23" s="117" t="n">
        <v>79.05</v>
      </c>
      <c r="O23" s="663" t="n"/>
      <c r="P23" s="561" t="n">
        <v>90</v>
      </c>
      <c r="Q23" s="583" t="n">
        <v>77.22</v>
      </c>
      <c r="R23" s="546" t="n">
        <v>60.56</v>
      </c>
      <c r="S23" s="115" t="n">
        <v>84.23999999999999</v>
      </c>
      <c r="T23" s="117" t="n">
        <v>81.52</v>
      </c>
      <c r="U23" s="202" t="n">
        <v>0</v>
      </c>
      <c r="V23" s="543" t="n">
        <v>0</v>
      </c>
      <c r="W23" s="548" t="n">
        <v>0</v>
      </c>
      <c r="X23" s="548" t="n">
        <v>0</v>
      </c>
      <c r="Y23" s="225" t="n">
        <v>0</v>
      </c>
      <c r="Z23" s="225" t="n">
        <v>0</v>
      </c>
      <c r="AA23" s="225" t="n">
        <v>0</v>
      </c>
      <c r="AB23" s="225" t="n">
        <v>0</v>
      </c>
      <c r="AC23" s="117" t="n"/>
      <c r="AD23" s="117" t="n"/>
      <c r="AE23" s="114" t="n"/>
      <c r="AF23" s="117" t="n"/>
      <c r="AG23" s="115" t="n"/>
      <c r="AH23" s="115" t="n"/>
      <c r="AI23" s="115" t="n"/>
      <c r="AJ23" s="115" t="n"/>
      <c r="AK23" s="510" t="n"/>
      <c r="AL23" s="510" t="n"/>
      <c r="AM23" s="127" t="n"/>
      <c r="AN23" s="128" t="n"/>
      <c r="AO23" s="131" t="n"/>
      <c r="AP23" s="127" t="n"/>
      <c r="AQ23" s="128" t="n"/>
      <c r="AR23" s="128" t="n"/>
      <c r="AS23" s="128" t="n"/>
      <c r="AT23" s="131" t="n"/>
      <c r="AU23" s="127" t="n"/>
      <c r="AV23" s="128" t="n"/>
      <c r="AW23" s="128" t="n"/>
      <c r="AX23" s="128" t="n"/>
      <c r="AY23" s="131" t="n"/>
      <c r="AZ23" s="127" t="n"/>
      <c r="BA23" s="128" t="n"/>
      <c r="BB23" s="128" t="n"/>
      <c r="BC23" s="131" t="n"/>
      <c r="BD23" s="131" t="n"/>
      <c r="BE23" s="131" t="n"/>
      <c r="BF23" s="131" t="n"/>
      <c r="BG23" s="114" t="n"/>
      <c r="BH23" s="546" t="n"/>
      <c r="BI23" s="511" t="n"/>
      <c r="BJ23" s="114" t="n"/>
      <c r="BK23" s="546" t="n"/>
      <c r="BL23" s="511" t="n"/>
      <c r="BM23" s="114" t="n"/>
      <c r="BN23" s="546" t="n"/>
      <c r="BO23" s="546" t="n"/>
      <c r="BP23" s="546" t="n"/>
      <c r="BQ23" s="546" t="n"/>
      <c r="BR23" s="546" t="n"/>
      <c r="BS23" s="511" t="n"/>
      <c r="BT23" s="546" t="n"/>
      <c r="BU23" s="546" t="n"/>
      <c r="BV23" s="546" t="n"/>
      <c r="BW23" s="546" t="n"/>
      <c r="BX23" s="546" t="n"/>
      <c r="BY23" s="546" t="n"/>
      <c r="BZ23" s="546" t="n"/>
      <c r="CA23" s="15" t="n"/>
      <c r="CB23" s="546" t="n"/>
      <c r="CC23" s="546" t="n"/>
      <c r="CD23" s="546" t="n"/>
      <c r="CE23" s="546" t="n"/>
      <c r="CF23" s="546" t="n"/>
      <c r="CG23" s="15" t="n"/>
      <c r="CH23" s="546" t="n"/>
      <c r="CI23" s="546" t="n"/>
      <c r="CJ23" s="17" t="n"/>
      <c r="CK23" s="546" t="n"/>
      <c r="CL23" s="546" t="n"/>
      <c r="CM23" s="546" t="n"/>
      <c r="CN23" s="546" t="n"/>
      <c r="CO23" s="583" t="n"/>
      <c r="CP23" s="15" t="n"/>
      <c r="CQ23" s="15" t="n"/>
      <c r="CR23" s="15" t="n"/>
      <c r="CS23" s="15" t="n"/>
      <c r="CT23" s="546" t="n"/>
      <c r="CU23" s="17" t="n"/>
      <c r="CV23" s="74" t="n"/>
      <c r="CW23" s="75" t="n"/>
      <c r="CX23" s="76" t="n"/>
      <c r="CY23" s="76" t="n"/>
      <c r="CZ23" s="91" t="n"/>
      <c r="DA23" s="546" t="n"/>
      <c r="DB23" s="546" t="n"/>
      <c r="DC23" s="546" t="n"/>
      <c r="DD23" s="546" t="n"/>
      <c r="DE23" s="583" t="n"/>
      <c r="DF23" s="141" t="n"/>
      <c r="DG23" s="162" t="n"/>
      <c r="DH23" s="162" t="n"/>
      <c r="DI23" s="512" t="n"/>
      <c r="DJ23" s="665" t="n"/>
      <c r="DK23" s="141" t="n"/>
      <c r="DL23" s="139" t="n"/>
      <c r="DM23" s="139" t="n"/>
      <c r="DN23" s="139" t="n"/>
      <c r="DO23" s="147" t="n"/>
      <c r="DP23" s="664" t="n"/>
      <c r="DQ23" s="162" t="n"/>
      <c r="DR23" s="162" t="n"/>
      <c r="DS23" s="162" t="n"/>
      <c r="DT23" s="162" t="n"/>
      <c r="DU23" s="201" t="n"/>
      <c r="DV23" s="201" t="n"/>
      <c r="DW23" s="163" t="n"/>
      <c r="DX23" s="141" t="n"/>
      <c r="DY23" s="139" t="n"/>
      <c r="DZ23" s="139" t="n"/>
      <c r="EA23" s="139" t="n"/>
      <c r="EB23" s="140" t="n"/>
      <c r="EC23" s="347" t="n"/>
      <c r="ED23" s="147" t="n"/>
      <c r="EE23" s="31" t="n"/>
      <c r="EF23" s="349" t="n"/>
      <c r="EG23" s="665" t="n"/>
      <c r="EH23" s="45" t="n"/>
      <c r="EI23" s="351" t="n"/>
      <c r="EJ23" s="107" t="n"/>
      <c r="EK23" s="139" t="n"/>
      <c r="EL23" s="139" t="n"/>
      <c r="EM23" s="139" t="n"/>
      <c r="EN23" s="140" t="n"/>
      <c r="EO23" s="108" t="n"/>
      <c r="EP23" s="141" t="n"/>
      <c r="EQ23" s="140" t="n"/>
      <c r="ER23" s="140" t="n"/>
      <c r="ES23" s="140" t="n"/>
      <c r="ET23" s="147" t="n"/>
      <c r="EU23" s="664" t="n"/>
      <c r="EV23" s="107" t="n"/>
      <c r="EW23" s="140" t="n"/>
      <c r="EX23" s="140" t="n"/>
      <c r="EY23" s="107" t="n"/>
      <c r="EZ23" s="587" t="n"/>
      <c r="FA23" s="587" t="n"/>
      <c r="FB23" s="141" t="n"/>
      <c r="FC23" s="140" t="n"/>
      <c r="FD23" s="140" t="n"/>
      <c r="FE23" s="140" t="n"/>
      <c r="FF23" s="140" t="n"/>
      <c r="FG23" s="147" t="n"/>
      <c r="FH23" s="74" t="n"/>
      <c r="FI23" s="75" t="n"/>
      <c r="FJ23" s="76" t="n"/>
      <c r="FK23" s="76" t="n"/>
      <c r="FL23" s="91" t="n"/>
      <c r="FM23" s="92" t="n"/>
      <c r="FN23" s="91" t="n"/>
      <c r="FO23" s="74" t="n"/>
      <c r="FP23" s="92" t="n"/>
      <c r="FQ23" s="148" t="n"/>
      <c r="FR23" s="149" t="n"/>
      <c r="FS23" s="150" t="n"/>
      <c r="FT23" s="99" t="n"/>
      <c r="FU23" s="100" t="n"/>
      <c r="FV23" s="100" t="n"/>
      <c r="FW23" s="100" t="n"/>
      <c r="FX23" s="100" t="n"/>
      <c r="FY23" s="100" t="n"/>
      <c r="FZ23" s="100" t="n"/>
      <c r="GA23" s="100" t="n"/>
      <c r="GB23" s="100" t="n"/>
      <c r="GC23" s="100" t="n"/>
      <c r="GD23" s="100" t="n"/>
      <c r="GE23" s="102" t="n"/>
      <c r="GF23" s="15" t="n"/>
      <c r="GG23" s="546" t="n"/>
      <c r="GH23" s="546" t="n"/>
      <c r="GI23" s="17" t="n"/>
      <c r="GJ23" s="15" t="n"/>
      <c r="GK23" s="546" t="n"/>
      <c r="GL23" s="546" t="n"/>
      <c r="GM23" s="17" t="n"/>
      <c r="GN23" s="31" t="n"/>
      <c r="GO23" s="349" t="n"/>
      <c r="GP23" s="665" t="n"/>
      <c r="GQ23" s="45" t="n"/>
      <c r="GR23" s="351" t="n"/>
      <c r="GS23" s="31" t="n"/>
      <c r="GT23" s="45" t="n"/>
      <c r="GU23" s="45" t="n"/>
      <c r="GV23" s="351" t="n"/>
      <c r="GW23" s="663" t="n"/>
      <c r="GX23" s="107" t="n"/>
      <c r="GY23" s="587" t="n"/>
      <c r="GZ23" s="108" t="n"/>
      <c r="HA23" s="15" t="n"/>
      <c r="HB23" s="546" t="n"/>
      <c r="HC23" s="17" t="n"/>
      <c r="HD23" s="15" t="n"/>
      <c r="HE23" s="546" t="n"/>
      <c r="HF23" s="546" t="n"/>
      <c r="HG23" s="17" t="n"/>
      <c r="HH23" s="31" t="n"/>
      <c r="HI23" s="45" t="n"/>
      <c r="HJ23" s="45" t="n"/>
      <c r="HK23" s="45" t="n"/>
      <c r="HL23" s="45" t="n"/>
      <c r="HM23" s="45" t="n"/>
      <c r="HN23" s="45" t="n"/>
      <c r="HO23" s="45" t="n"/>
      <c r="HP23" s="45" t="n"/>
      <c r="HQ23" s="45" t="n"/>
      <c r="HR23" s="45" t="n"/>
      <c r="HS23" s="351" t="n"/>
      <c r="HT23" s="606" t="n"/>
      <c r="HU23" s="65">
        <f>AVERAGE(H23,N23,P23)</f>
        <v/>
      </c>
      <c r="HV23" s="66">
        <f>AVERAGE(E23,J23,Q23,S23,U23,Y23,AD23)</f>
        <v/>
      </c>
      <c r="HW23" s="66">
        <f>AVERAGE(V23)</f>
        <v/>
      </c>
      <c r="HX23" s="66">
        <f>AVERAGE(R23)</f>
        <v/>
      </c>
      <c r="HY23" s="66">
        <f>AVERAGE(Z23,T23,G23)</f>
        <v/>
      </c>
      <c r="HZ23" s="66" t="n"/>
      <c r="IA23" s="66">
        <f>AVERAGE(AB23)</f>
        <v/>
      </c>
      <c r="IB23" s="66" t="n"/>
      <c r="IC23" s="66" t="n"/>
      <c r="ID23" s="66">
        <f>AVERAGE(AC23)</f>
        <v/>
      </c>
    </row>
    <row r="24" ht="18" customHeight="1" s="590">
      <c r="B24" s="12" t="n">
        <v>18</v>
      </c>
      <c r="C24" s="203" t="inlineStr">
        <is>
          <t>052-25-27370</t>
        </is>
      </c>
      <c r="D24" s="14" t="inlineStr">
        <is>
          <t>Samran Ullah</t>
        </is>
      </c>
      <c r="E24" s="114" t="n">
        <v>68.67</v>
      </c>
      <c r="F24" s="115" t="n">
        <v>77</v>
      </c>
      <c r="G24" s="115" t="n">
        <v>73.33</v>
      </c>
      <c r="H24" s="510" t="n">
        <v>79.67</v>
      </c>
      <c r="I24" s="510" t="n">
        <v>76.19</v>
      </c>
      <c r="J24" s="117" t="n">
        <v>75</v>
      </c>
      <c r="K24" s="561" t="n">
        <v>64.5</v>
      </c>
      <c r="L24" s="583" t="n">
        <v>52.22</v>
      </c>
      <c r="M24" s="546" t="n">
        <v>46.36</v>
      </c>
      <c r="N24" s="117" t="n">
        <v>78.48</v>
      </c>
      <c r="O24" s="663" t="n"/>
      <c r="P24" s="561" t="n">
        <v>56</v>
      </c>
      <c r="Q24" s="583" t="n">
        <v>57.78</v>
      </c>
      <c r="R24" s="546" t="n">
        <v>34.44</v>
      </c>
      <c r="S24" s="115" t="n">
        <v>60.3</v>
      </c>
      <c r="T24" s="117" t="n">
        <v>78.48</v>
      </c>
      <c r="U24" s="202" t="n">
        <v>65.56</v>
      </c>
      <c r="V24" s="225" t="n">
        <v>51.67</v>
      </c>
      <c r="W24" s="548" t="n">
        <v>50</v>
      </c>
      <c r="X24" s="548" t="n">
        <v>25</v>
      </c>
      <c r="Y24" s="225" t="n">
        <v>92.5</v>
      </c>
      <c r="Z24" s="225" t="n">
        <v>84.67</v>
      </c>
      <c r="AA24" s="225" t="n">
        <v>83.33</v>
      </c>
      <c r="AB24" s="225" t="n">
        <v>90</v>
      </c>
      <c r="AC24" s="117" t="n"/>
      <c r="AD24" s="117" t="n"/>
      <c r="AE24" s="114" t="n"/>
      <c r="AF24" s="117" t="n"/>
      <c r="AG24" s="115" t="n"/>
      <c r="AH24" s="115" t="n"/>
      <c r="AI24" s="115" t="n"/>
      <c r="AJ24" s="115" t="n"/>
      <c r="AK24" s="510" t="n"/>
      <c r="AL24" s="510" t="n"/>
      <c r="AM24" s="127" t="n"/>
      <c r="AN24" s="128" t="n"/>
      <c r="AO24" s="131" t="n"/>
      <c r="AP24" s="127" t="n"/>
      <c r="AQ24" s="128" t="n"/>
      <c r="AR24" s="128" t="n"/>
      <c r="AS24" s="128" t="n"/>
      <c r="AT24" s="131" t="n"/>
      <c r="AU24" s="127" t="n"/>
      <c r="AV24" s="128" t="n"/>
      <c r="AW24" s="128" t="n"/>
      <c r="AX24" s="128" t="n"/>
      <c r="AY24" s="131" t="n"/>
      <c r="AZ24" s="127" t="n"/>
      <c r="BA24" s="128" t="n"/>
      <c r="BB24" s="128" t="n"/>
      <c r="BC24" s="131" t="n"/>
      <c r="BD24" s="131" t="n"/>
      <c r="BE24" s="131" t="n"/>
      <c r="BF24" s="131" t="n"/>
      <c r="BG24" s="114" t="n"/>
      <c r="BH24" s="546" t="n"/>
      <c r="BI24" s="511" t="n"/>
      <c r="BJ24" s="114" t="n"/>
      <c r="BK24" s="546" t="n"/>
      <c r="BL24" s="511" t="n"/>
      <c r="BM24" s="114" t="n"/>
      <c r="BN24" s="546" t="n"/>
      <c r="BO24" s="546" t="n"/>
      <c r="BP24" s="546" t="n"/>
      <c r="BQ24" s="546" t="n"/>
      <c r="BR24" s="546" t="n"/>
      <c r="BS24" s="511" t="n"/>
      <c r="BT24" s="546" t="n"/>
      <c r="BU24" s="546" t="n"/>
      <c r="BV24" s="546" t="n"/>
      <c r="BW24" s="546" t="n"/>
      <c r="BX24" s="546" t="n"/>
      <c r="BY24" s="546" t="n"/>
      <c r="BZ24" s="546" t="n"/>
      <c r="CA24" s="15" t="n"/>
      <c r="CB24" s="546" t="n"/>
      <c r="CC24" s="546" t="n"/>
      <c r="CD24" s="546" t="n"/>
      <c r="CE24" s="546" t="n"/>
      <c r="CF24" s="546" t="n"/>
      <c r="CG24" s="15" t="n"/>
      <c r="CH24" s="546" t="n"/>
      <c r="CI24" s="546" t="n"/>
      <c r="CJ24" s="17" t="n"/>
      <c r="CK24" s="546" t="n"/>
      <c r="CL24" s="546" t="n"/>
      <c r="CM24" s="546" t="n"/>
      <c r="CN24" s="546" t="n"/>
      <c r="CO24" s="583" t="n"/>
      <c r="CP24" s="15" t="n"/>
      <c r="CQ24" s="15" t="n"/>
      <c r="CR24" s="15" t="n"/>
      <c r="CS24" s="15" t="n"/>
      <c r="CT24" s="546" t="n"/>
      <c r="CU24" s="17" t="n"/>
      <c r="CV24" s="74" t="n"/>
      <c r="CW24" s="75" t="n"/>
      <c r="CX24" s="76" t="n"/>
      <c r="CY24" s="76" t="n"/>
      <c r="CZ24" s="91" t="n"/>
      <c r="DA24" s="546" t="n"/>
      <c r="DB24" s="546" t="n"/>
      <c r="DC24" s="546" t="n"/>
      <c r="DD24" s="546" t="n"/>
      <c r="DE24" s="583" t="n"/>
      <c r="DF24" s="141" t="n"/>
      <c r="DG24" s="162" t="n"/>
      <c r="DH24" s="162" t="n"/>
      <c r="DI24" s="512" t="n"/>
      <c r="DJ24" s="665" t="n"/>
      <c r="DK24" s="141" t="n"/>
      <c r="DL24" s="139" t="n"/>
      <c r="DM24" s="139" t="n"/>
      <c r="DN24" s="139" t="n"/>
      <c r="DO24" s="147" t="n"/>
      <c r="DP24" s="664" t="n"/>
      <c r="DQ24" s="162" t="n"/>
      <c r="DR24" s="162" t="n"/>
      <c r="DS24" s="162" t="n"/>
      <c r="DT24" s="162" t="n"/>
      <c r="DU24" s="201" t="n"/>
      <c r="DV24" s="201" t="n"/>
      <c r="DW24" s="163" t="n"/>
      <c r="DX24" s="141" t="n"/>
      <c r="DY24" s="139" t="n"/>
      <c r="DZ24" s="139" t="n"/>
      <c r="EA24" s="139" t="n"/>
      <c r="EB24" s="140" t="n"/>
      <c r="EC24" s="347" t="n"/>
      <c r="ED24" s="147" t="n"/>
      <c r="EE24" s="31" t="n"/>
      <c r="EF24" s="349" t="n"/>
      <c r="EG24" s="665" t="n"/>
      <c r="EH24" s="45" t="n"/>
      <c r="EI24" s="351" t="n"/>
      <c r="EJ24" s="107" t="n"/>
      <c r="EK24" s="139" t="n"/>
      <c r="EL24" s="139" t="n"/>
      <c r="EM24" s="139" t="n"/>
      <c r="EN24" s="140" t="n"/>
      <c r="EO24" s="108" t="n"/>
      <c r="EP24" s="141" t="n"/>
      <c r="EQ24" s="140" t="n"/>
      <c r="ER24" s="140" t="n"/>
      <c r="ES24" s="140" t="n"/>
      <c r="ET24" s="147" t="n"/>
      <c r="EU24" s="664" t="n"/>
      <c r="EV24" s="107" t="n"/>
      <c r="EW24" s="140" t="n"/>
      <c r="EX24" s="140" t="n"/>
      <c r="EY24" s="107" t="n"/>
      <c r="EZ24" s="587" t="n"/>
      <c r="FA24" s="587" t="n"/>
      <c r="FB24" s="141" t="n"/>
      <c r="FC24" s="140" t="n"/>
      <c r="FD24" s="140" t="n"/>
      <c r="FE24" s="140" t="n"/>
      <c r="FF24" s="140" t="n"/>
      <c r="FG24" s="147" t="n"/>
      <c r="FH24" s="74" t="n"/>
      <c r="FI24" s="75" t="n"/>
      <c r="FJ24" s="76" t="n"/>
      <c r="FK24" s="76" t="n"/>
      <c r="FL24" s="91" t="n"/>
      <c r="FM24" s="92" t="n"/>
      <c r="FN24" s="91" t="n"/>
      <c r="FO24" s="74" t="n"/>
      <c r="FP24" s="92" t="n"/>
      <c r="FQ24" s="148" t="n"/>
      <c r="FR24" s="149" t="n"/>
      <c r="FS24" s="150" t="n"/>
      <c r="FT24" s="99" t="n"/>
      <c r="FU24" s="100" t="n"/>
      <c r="FV24" s="100" t="n"/>
      <c r="FW24" s="100" t="n"/>
      <c r="FX24" s="100" t="n"/>
      <c r="FY24" s="100" t="n"/>
      <c r="FZ24" s="100" t="n"/>
      <c r="GA24" s="100" t="n"/>
      <c r="GB24" s="100" t="n"/>
      <c r="GC24" s="100" t="n"/>
      <c r="GD24" s="100" t="n"/>
      <c r="GE24" s="102" t="n"/>
      <c r="GF24" s="15" t="n"/>
      <c r="GG24" s="546" t="n"/>
      <c r="GH24" s="546" t="n"/>
      <c r="GI24" s="17" t="n"/>
      <c r="GJ24" s="15" t="n"/>
      <c r="GK24" s="546" t="n"/>
      <c r="GL24" s="546" t="n"/>
      <c r="GM24" s="17" t="n"/>
      <c r="GN24" s="31" t="n"/>
      <c r="GO24" s="349" t="n"/>
      <c r="GP24" s="665" t="n"/>
      <c r="GQ24" s="45" t="n"/>
      <c r="GR24" s="351" t="n"/>
      <c r="GS24" s="31" t="n"/>
      <c r="GT24" s="45" t="n"/>
      <c r="GU24" s="45" t="n"/>
      <c r="GV24" s="351" t="n"/>
      <c r="GW24" s="663" t="n"/>
      <c r="GX24" s="107" t="n"/>
      <c r="GY24" s="587" t="n"/>
      <c r="GZ24" s="108" t="n"/>
      <c r="HA24" s="15" t="n"/>
      <c r="HB24" s="546" t="n"/>
      <c r="HC24" s="17" t="n"/>
      <c r="HD24" s="15" t="n"/>
      <c r="HE24" s="546" t="n"/>
      <c r="HF24" s="546" t="n"/>
      <c r="HG24" s="17" t="n"/>
      <c r="HH24" s="31" t="n"/>
      <c r="HI24" s="45" t="n"/>
      <c r="HJ24" s="45" t="n"/>
      <c r="HK24" s="45" t="n"/>
      <c r="HL24" s="45" t="n"/>
      <c r="HM24" s="45" t="n"/>
      <c r="HN24" s="45" t="n"/>
      <c r="HO24" s="45" t="n"/>
      <c r="HP24" s="45" t="n"/>
      <c r="HQ24" s="45" t="n"/>
      <c r="HR24" s="45" t="n"/>
      <c r="HS24" s="351" t="n"/>
      <c r="HT24" s="606" t="n"/>
      <c r="HU24" s="65">
        <f>AVERAGE(H24,N24,P24)</f>
        <v/>
      </c>
      <c r="HV24" s="66">
        <f>AVERAGE(E24,J24,Q24,S24,U24,Y24,AD24)</f>
        <v/>
      </c>
      <c r="HW24" s="66">
        <f>AVERAGE(V24)</f>
        <v/>
      </c>
      <c r="HX24" s="66">
        <f>AVERAGE(R24)</f>
        <v/>
      </c>
      <c r="HY24" s="66">
        <f>AVERAGE(Z24,T24,G24)</f>
        <v/>
      </c>
      <c r="HZ24" s="66" t="n"/>
      <c r="IA24" s="66">
        <f>AVERAGE(AB24)</f>
        <v/>
      </c>
      <c r="IB24" s="66" t="n"/>
      <c r="IC24" s="66" t="n"/>
      <c r="ID24" s="66">
        <f>AVERAGE(AC24)</f>
        <v/>
      </c>
    </row>
    <row r="25" ht="18" customHeight="1" s="590">
      <c r="B25" s="12" t="n">
        <v>19</v>
      </c>
      <c r="C25" s="203" t="inlineStr">
        <is>
          <t>052-25-27415</t>
        </is>
      </c>
      <c r="D25" s="14" t="inlineStr">
        <is>
          <t>Zia Ur Rehman</t>
        </is>
      </c>
      <c r="E25" s="114" t="n">
        <v>51.33</v>
      </c>
      <c r="F25" s="115" t="n">
        <v>50</v>
      </c>
      <c r="G25" s="115" t="n">
        <v>52.78</v>
      </c>
      <c r="H25" s="510" t="n">
        <v>56</v>
      </c>
      <c r="I25" s="510" t="n">
        <v>46.67</v>
      </c>
      <c r="J25" s="117" t="n">
        <v>56.67</v>
      </c>
      <c r="K25" s="561" t="n">
        <v>79.67</v>
      </c>
      <c r="L25" s="583" t="n">
        <v>77.22</v>
      </c>
      <c r="M25" s="546" t="n">
        <v>68.53</v>
      </c>
      <c r="N25" s="117" t="n">
        <v>88.62</v>
      </c>
      <c r="O25" s="663" t="n"/>
      <c r="P25" s="561" t="n">
        <v>78</v>
      </c>
      <c r="Q25" s="583" t="n">
        <v>77.22</v>
      </c>
      <c r="R25" s="546" t="n">
        <v>62.78</v>
      </c>
      <c r="S25" s="115" t="n">
        <v>73.94</v>
      </c>
      <c r="T25" s="117" t="n">
        <v>86.81999999999999</v>
      </c>
      <c r="U25" s="202" t="n">
        <v>45.56</v>
      </c>
      <c r="V25" s="225" t="n">
        <v>0</v>
      </c>
      <c r="W25" s="548" t="n">
        <v>0</v>
      </c>
      <c r="X25" s="548" t="n">
        <v>0</v>
      </c>
      <c r="Y25" s="225" t="n">
        <v>81.25</v>
      </c>
      <c r="Z25" s="225" t="n">
        <v>78</v>
      </c>
      <c r="AA25" s="225" t="n">
        <v>76.67</v>
      </c>
      <c r="AB25" s="225" t="n">
        <v>90</v>
      </c>
      <c r="AC25" s="117" t="n"/>
      <c r="AD25" s="117" t="n"/>
      <c r="AE25" s="114" t="n"/>
      <c r="AF25" s="117" t="n"/>
      <c r="AG25" s="115" t="n"/>
      <c r="AH25" s="115" t="n"/>
      <c r="AI25" s="115" t="n"/>
      <c r="AJ25" s="115" t="n"/>
      <c r="AK25" s="510" t="n"/>
      <c r="AL25" s="510" t="n"/>
      <c r="AM25" s="127" t="n"/>
      <c r="AN25" s="128" t="n"/>
      <c r="AO25" s="131" t="n"/>
      <c r="AP25" s="127" t="n"/>
      <c r="AQ25" s="128" t="n"/>
      <c r="AR25" s="128" t="n"/>
      <c r="AS25" s="128" t="n"/>
      <c r="AT25" s="131" t="n"/>
      <c r="AU25" s="127" t="n"/>
      <c r="AV25" s="128" t="n"/>
      <c r="AW25" s="128" t="n"/>
      <c r="AX25" s="128" t="n"/>
      <c r="AY25" s="131" t="n"/>
      <c r="AZ25" s="127" t="n"/>
      <c r="BA25" s="128" t="n"/>
      <c r="BB25" s="128" t="n"/>
      <c r="BC25" s="131" t="n"/>
      <c r="BD25" s="131" t="n"/>
      <c r="BE25" s="131" t="n"/>
      <c r="BF25" s="131" t="n"/>
      <c r="BG25" s="114" t="n"/>
      <c r="BH25" s="546" t="n"/>
      <c r="BI25" s="511" t="n"/>
      <c r="BJ25" s="114" t="n"/>
      <c r="BK25" s="546" t="n"/>
      <c r="BL25" s="511" t="n"/>
      <c r="BM25" s="114" t="n"/>
      <c r="BN25" s="546" t="n"/>
      <c r="BO25" s="546" t="n"/>
      <c r="BP25" s="546" t="n"/>
      <c r="BQ25" s="546" t="n"/>
      <c r="BR25" s="546" t="n"/>
      <c r="BS25" s="511" t="n"/>
      <c r="BT25" s="546" t="n"/>
      <c r="BU25" s="546" t="n"/>
      <c r="BV25" s="546" t="n"/>
      <c r="BW25" s="546" t="n"/>
      <c r="BX25" s="546" t="n"/>
      <c r="BY25" s="546" t="n"/>
      <c r="BZ25" s="546" t="n"/>
      <c r="CA25" s="15" t="n"/>
      <c r="CB25" s="546" t="n"/>
      <c r="CC25" s="546" t="n"/>
      <c r="CD25" s="546" t="n"/>
      <c r="CE25" s="546" t="n"/>
      <c r="CF25" s="546" t="n"/>
      <c r="CG25" s="15" t="n"/>
      <c r="CH25" s="546" t="n"/>
      <c r="CI25" s="546" t="n"/>
      <c r="CJ25" s="17" t="n"/>
      <c r="CK25" s="546" t="n"/>
      <c r="CL25" s="546" t="n"/>
      <c r="CM25" s="546" t="n"/>
      <c r="CN25" s="546" t="n"/>
      <c r="CO25" s="583" t="n"/>
      <c r="CP25" s="15" t="n"/>
      <c r="CQ25" s="15" t="n"/>
      <c r="CR25" s="15" t="n"/>
      <c r="CS25" s="15" t="n"/>
      <c r="CT25" s="546" t="n"/>
      <c r="CU25" s="17" t="n"/>
      <c r="CV25" s="74" t="n"/>
      <c r="CW25" s="75" t="n"/>
      <c r="CX25" s="76" t="n"/>
      <c r="CY25" s="76" t="n"/>
      <c r="CZ25" s="91" t="n"/>
      <c r="DA25" s="546" t="n"/>
      <c r="DB25" s="546" t="n"/>
      <c r="DC25" s="546" t="n"/>
      <c r="DD25" s="546" t="n"/>
      <c r="DE25" s="583" t="n"/>
      <c r="DF25" s="141" t="n"/>
      <c r="DG25" s="162" t="n"/>
      <c r="DH25" s="162" t="n"/>
      <c r="DI25" s="512" t="n"/>
      <c r="DJ25" s="665" t="n"/>
      <c r="DK25" s="141" t="n"/>
      <c r="DL25" s="139" t="n"/>
      <c r="DM25" s="139" t="n"/>
      <c r="DN25" s="139" t="n"/>
      <c r="DO25" s="147" t="n"/>
      <c r="DP25" s="664" t="n"/>
      <c r="DQ25" s="162" t="n"/>
      <c r="DR25" s="162" t="n"/>
      <c r="DS25" s="162" t="n"/>
      <c r="DT25" s="162" t="n"/>
      <c r="DU25" s="201" t="n"/>
      <c r="DV25" s="201" t="n"/>
      <c r="DW25" s="163" t="n"/>
      <c r="DX25" s="141" t="n"/>
      <c r="DY25" s="139" t="n"/>
      <c r="DZ25" s="139" t="n"/>
      <c r="EA25" s="139" t="n"/>
      <c r="EB25" s="140" t="n"/>
      <c r="EC25" s="347" t="n"/>
      <c r="ED25" s="147" t="n"/>
      <c r="EE25" s="31" t="n"/>
      <c r="EF25" s="349" t="n"/>
      <c r="EG25" s="665" t="n"/>
      <c r="EH25" s="45" t="n"/>
      <c r="EI25" s="351" t="n"/>
      <c r="EJ25" s="107" t="n"/>
      <c r="EK25" s="139" t="n"/>
      <c r="EL25" s="139" t="n"/>
      <c r="EM25" s="139" t="n"/>
      <c r="EN25" s="140" t="n"/>
      <c r="EO25" s="108" t="n"/>
      <c r="EP25" s="141" t="n"/>
      <c r="EQ25" s="140" t="n"/>
      <c r="ER25" s="140" t="n"/>
      <c r="ES25" s="140" t="n"/>
      <c r="ET25" s="147" t="n"/>
      <c r="EU25" s="664" t="n"/>
      <c r="EV25" s="107" t="n"/>
      <c r="EW25" s="140" t="n"/>
      <c r="EX25" s="140" t="n"/>
      <c r="EY25" s="107" t="n"/>
      <c r="EZ25" s="587" t="n"/>
      <c r="FA25" s="587" t="n"/>
      <c r="FB25" s="141" t="n"/>
      <c r="FC25" s="140" t="n"/>
      <c r="FD25" s="140" t="n"/>
      <c r="FE25" s="140" t="n"/>
      <c r="FF25" s="140" t="n"/>
      <c r="FG25" s="147" t="n"/>
      <c r="FH25" s="74" t="n"/>
      <c r="FI25" s="75" t="n"/>
      <c r="FJ25" s="76" t="n"/>
      <c r="FK25" s="76" t="n"/>
      <c r="FL25" s="91" t="n"/>
      <c r="FM25" s="92" t="n"/>
      <c r="FN25" s="91" t="n"/>
      <c r="FO25" s="74" t="n"/>
      <c r="FP25" s="92" t="n"/>
      <c r="FQ25" s="148" t="n"/>
      <c r="FR25" s="149" t="n"/>
      <c r="FS25" s="150" t="n"/>
      <c r="FT25" s="99" t="n"/>
      <c r="FU25" s="100" t="n"/>
      <c r="FV25" s="100" t="n"/>
      <c r="FW25" s="100" t="n"/>
      <c r="FX25" s="100" t="n"/>
      <c r="FY25" s="100" t="n"/>
      <c r="FZ25" s="100" t="n"/>
      <c r="GA25" s="100" t="n"/>
      <c r="GB25" s="100" t="n"/>
      <c r="GC25" s="100" t="n"/>
      <c r="GD25" s="100" t="n"/>
      <c r="GE25" s="102" t="n"/>
      <c r="GF25" s="15" t="n"/>
      <c r="GG25" s="546" t="n"/>
      <c r="GH25" s="546" t="n"/>
      <c r="GI25" s="17" t="n"/>
      <c r="GJ25" s="15" t="n"/>
      <c r="GK25" s="546" t="n"/>
      <c r="GL25" s="546" t="n"/>
      <c r="GM25" s="17" t="n"/>
      <c r="GN25" s="31" t="n"/>
      <c r="GO25" s="349" t="n"/>
      <c r="GP25" s="665" t="n"/>
      <c r="GQ25" s="45" t="n"/>
      <c r="GR25" s="351" t="n"/>
      <c r="GS25" s="31" t="n"/>
      <c r="GT25" s="45" t="n"/>
      <c r="GU25" s="45" t="n"/>
      <c r="GV25" s="351" t="n"/>
      <c r="GW25" s="663" t="n"/>
      <c r="GX25" s="107" t="n"/>
      <c r="GY25" s="587" t="n"/>
      <c r="GZ25" s="108" t="n"/>
      <c r="HA25" s="15" t="n"/>
      <c r="HB25" s="546" t="n"/>
      <c r="HC25" s="17" t="n"/>
      <c r="HD25" s="15" t="n"/>
      <c r="HE25" s="546" t="n"/>
      <c r="HF25" s="546" t="n"/>
      <c r="HG25" s="17" t="n"/>
      <c r="HH25" s="31" t="n"/>
      <c r="HI25" s="45" t="n"/>
      <c r="HJ25" s="45" t="n"/>
      <c r="HK25" s="45" t="n"/>
      <c r="HL25" s="45" t="n"/>
      <c r="HM25" s="45" t="n"/>
      <c r="HN25" s="45" t="n"/>
      <c r="HO25" s="45" t="n"/>
      <c r="HP25" s="45" t="n"/>
      <c r="HQ25" s="45" t="n"/>
      <c r="HR25" s="45" t="n"/>
      <c r="HS25" s="351" t="n"/>
      <c r="HT25" s="606" t="n"/>
      <c r="HU25" s="65">
        <f>AVERAGE(H25,N25,P25)</f>
        <v/>
      </c>
      <c r="HV25" s="66">
        <f>AVERAGE(E25,J25,Q25,S25,U25,Y25,AD25)</f>
        <v/>
      </c>
      <c r="HW25" s="66">
        <f>AVERAGE(V25)</f>
        <v/>
      </c>
      <c r="HX25" s="66">
        <f>AVERAGE(R25)</f>
        <v/>
      </c>
      <c r="HY25" s="66">
        <f>AVERAGE(Z25,T25,G25)</f>
        <v/>
      </c>
      <c r="HZ25" s="66" t="n"/>
      <c r="IA25" s="66">
        <f>AVERAGE(AB25)</f>
        <v/>
      </c>
      <c r="IB25" s="66" t="n"/>
      <c r="IC25" s="66" t="n"/>
      <c r="ID25" s="66">
        <f>AVERAGE(AC25)</f>
        <v/>
      </c>
    </row>
    <row r="26" ht="18" customHeight="1" s="590">
      <c r="B26" s="12" t="n">
        <v>20</v>
      </c>
      <c r="C26" s="203" t="inlineStr">
        <is>
          <t>052-25-27441</t>
        </is>
      </c>
      <c r="D26" s="14" t="inlineStr">
        <is>
          <t xml:space="preserve">Atif Ullah </t>
        </is>
      </c>
      <c r="E26" s="114" t="n">
        <v>65.33</v>
      </c>
      <c r="F26" s="115" t="n">
        <v>64.25</v>
      </c>
      <c r="G26" s="115" t="n">
        <v>68.33</v>
      </c>
      <c r="H26" s="510" t="n">
        <v>64.33</v>
      </c>
      <c r="I26" s="510" t="n">
        <v>62.39</v>
      </c>
      <c r="J26" s="117" t="n">
        <v>65.56</v>
      </c>
      <c r="K26" s="561" t="n">
        <v>76.67</v>
      </c>
      <c r="L26" s="583" t="n">
        <v>65.56</v>
      </c>
      <c r="M26" s="546" t="n">
        <v>65.11</v>
      </c>
      <c r="N26" s="117" t="n">
        <v>26.78</v>
      </c>
      <c r="O26" s="663" t="n"/>
      <c r="P26" s="561" t="n">
        <v>50</v>
      </c>
      <c r="Q26" s="583" t="n">
        <v>13.33</v>
      </c>
      <c r="R26" s="546" t="n">
        <v>21.67</v>
      </c>
      <c r="S26" s="115" t="n">
        <v>63.03</v>
      </c>
      <c r="T26" s="117" t="n">
        <v>64.23999999999999</v>
      </c>
      <c r="U26" s="202" t="n">
        <v>52.78</v>
      </c>
      <c r="V26" s="543" t="n">
        <v>43.33</v>
      </c>
      <c r="W26" s="548" t="n">
        <v>33.33</v>
      </c>
      <c r="X26" s="548" t="n">
        <v>50</v>
      </c>
      <c r="Y26" s="225" t="n">
        <v>83.75</v>
      </c>
      <c r="Z26" s="225" t="n">
        <v>76.67</v>
      </c>
      <c r="AA26" s="225" t="n">
        <v>73.33</v>
      </c>
      <c r="AB26" s="225" t="n">
        <v>90</v>
      </c>
      <c r="AC26" s="117" t="n"/>
      <c r="AD26" s="117" t="n"/>
      <c r="AE26" s="114" t="n"/>
      <c r="AF26" s="117" t="n"/>
      <c r="AG26" s="115" t="n"/>
      <c r="AH26" s="115" t="n"/>
      <c r="AI26" s="115" t="n"/>
      <c r="AJ26" s="115" t="n"/>
      <c r="AK26" s="510" t="n"/>
      <c r="AL26" s="510" t="n"/>
      <c r="AM26" s="127" t="n"/>
      <c r="AN26" s="128" t="n"/>
      <c r="AO26" s="131" t="n"/>
      <c r="AP26" s="127" t="n"/>
      <c r="AQ26" s="128" t="n"/>
      <c r="AR26" s="128" t="n"/>
      <c r="AS26" s="128" t="n"/>
      <c r="AT26" s="131" t="n"/>
      <c r="AU26" s="127" t="n"/>
      <c r="AV26" s="128" t="n"/>
      <c r="AW26" s="128" t="n"/>
      <c r="AX26" s="128" t="n"/>
      <c r="AY26" s="131" t="n"/>
      <c r="AZ26" s="127" t="n"/>
      <c r="BA26" s="128" t="n"/>
      <c r="BB26" s="128" t="n"/>
      <c r="BC26" s="131" t="n"/>
      <c r="BD26" s="131" t="n"/>
      <c r="BE26" s="131" t="n"/>
      <c r="BF26" s="131" t="n"/>
      <c r="BG26" s="114" t="n"/>
      <c r="BH26" s="546" t="n"/>
      <c r="BI26" s="511" t="n"/>
      <c r="BJ26" s="114" t="n"/>
      <c r="BK26" s="546" t="n"/>
      <c r="BL26" s="511" t="n"/>
      <c r="BM26" s="114" t="n"/>
      <c r="BN26" s="546" t="n"/>
      <c r="BO26" s="546" t="n"/>
      <c r="BP26" s="546" t="n"/>
      <c r="BQ26" s="546" t="n"/>
      <c r="BR26" s="546" t="n"/>
      <c r="BS26" s="511" t="n"/>
      <c r="BT26" s="546" t="n"/>
      <c r="BU26" s="546" t="n"/>
      <c r="BV26" s="546" t="n"/>
      <c r="BW26" s="546" t="n"/>
      <c r="BX26" s="546" t="n"/>
      <c r="BY26" s="546" t="n"/>
      <c r="BZ26" s="546" t="n"/>
      <c r="CA26" s="15" t="n"/>
      <c r="CB26" s="546" t="n"/>
      <c r="CC26" s="546" t="n"/>
      <c r="CD26" s="546" t="n"/>
      <c r="CE26" s="546" t="n"/>
      <c r="CF26" s="546" t="n"/>
      <c r="CG26" s="15" t="n"/>
      <c r="CH26" s="546" t="n"/>
      <c r="CI26" s="546" t="n"/>
      <c r="CJ26" s="17" t="n"/>
      <c r="CK26" s="546" t="n"/>
      <c r="CL26" s="546" t="n"/>
      <c r="CM26" s="546" t="n"/>
      <c r="CN26" s="546" t="n"/>
      <c r="CO26" s="583" t="n"/>
      <c r="CP26" s="15" t="n"/>
      <c r="CQ26" s="15" t="n"/>
      <c r="CR26" s="15" t="n"/>
      <c r="CS26" s="15" t="n"/>
      <c r="CT26" s="546" t="n"/>
      <c r="CU26" s="17" t="n"/>
      <c r="CV26" s="74" t="n"/>
      <c r="CW26" s="75" t="n"/>
      <c r="CX26" s="76" t="n"/>
      <c r="CY26" s="76" t="n"/>
      <c r="CZ26" s="91" t="n"/>
      <c r="DA26" s="546" t="n"/>
      <c r="DB26" s="546" t="n"/>
      <c r="DC26" s="546" t="n"/>
      <c r="DD26" s="546" t="n"/>
      <c r="DE26" s="583" t="n"/>
      <c r="DF26" s="141" t="n"/>
      <c r="DG26" s="162" t="n"/>
      <c r="DH26" s="162" t="n"/>
      <c r="DI26" s="512" t="n"/>
      <c r="DJ26" s="491" t="n"/>
      <c r="DK26" s="141" t="n"/>
      <c r="DL26" s="139" t="n"/>
      <c r="DM26" s="139" t="n"/>
      <c r="DN26" s="139" t="n"/>
      <c r="DO26" s="347" t="n"/>
      <c r="DP26" s="348" t="n"/>
      <c r="DQ26" s="162" t="n"/>
      <c r="DR26" s="162" t="n"/>
      <c r="DS26" s="162" t="n"/>
      <c r="DT26" s="162" t="n"/>
      <c r="DU26" s="201" t="n"/>
      <c r="DV26" s="201" t="n"/>
      <c r="DW26" s="163" t="n"/>
      <c r="DX26" s="141" t="n"/>
      <c r="DY26" s="139" t="n"/>
      <c r="DZ26" s="139" t="n"/>
      <c r="EA26" s="139" t="n"/>
      <c r="EB26" s="140" t="n"/>
      <c r="EC26" s="347" t="n"/>
      <c r="ED26" s="147" t="n"/>
      <c r="EE26" s="31" t="n"/>
      <c r="EF26" s="349" t="n"/>
      <c r="EG26" s="349" t="n"/>
      <c r="EH26" s="349" t="n"/>
      <c r="EI26" s="351" t="n"/>
      <c r="EJ26" s="107" t="n"/>
      <c r="EK26" s="139" t="n"/>
      <c r="EL26" s="139" t="n"/>
      <c r="EM26" s="139" t="n"/>
      <c r="EN26" s="140" t="n"/>
      <c r="EO26" s="108" t="n"/>
      <c r="EP26" s="141" t="n"/>
      <c r="EQ26" s="140" t="n"/>
      <c r="ER26" s="140" t="n"/>
      <c r="ES26" s="140" t="n"/>
      <c r="ET26" s="347" t="n"/>
      <c r="EU26" s="348" t="n"/>
      <c r="EV26" s="107" t="n"/>
      <c r="EW26" s="140" t="n"/>
      <c r="EX26" s="347" t="n"/>
      <c r="EY26" s="107" t="n"/>
      <c r="EZ26" s="587" t="n"/>
      <c r="FA26" s="587" t="n"/>
      <c r="FB26" s="141" t="n"/>
      <c r="FC26" s="140" t="n"/>
      <c r="FD26" s="140" t="n"/>
      <c r="FE26" s="140" t="n"/>
      <c r="FF26" s="140" t="n"/>
      <c r="FG26" s="147" t="n"/>
      <c r="FH26" s="74" t="n"/>
      <c r="FI26" s="75" t="n"/>
      <c r="FJ26" s="76" t="n"/>
      <c r="FK26" s="76" t="n"/>
      <c r="FL26" s="91" t="n"/>
      <c r="FM26" s="92" t="n"/>
      <c r="FN26" s="91" t="n"/>
      <c r="FO26" s="74" t="n"/>
      <c r="FP26" s="92" t="n"/>
      <c r="FQ26" s="148" t="n"/>
      <c r="FR26" s="149" t="n"/>
      <c r="FS26" s="150" t="n"/>
      <c r="FT26" s="99" t="n"/>
      <c r="FU26" s="100" t="n"/>
      <c r="FV26" s="100" t="n"/>
      <c r="FW26" s="100" t="n"/>
      <c r="FX26" s="100" t="n"/>
      <c r="FY26" s="100" t="n"/>
      <c r="FZ26" s="100" t="n"/>
      <c r="GA26" s="100" t="n"/>
      <c r="GB26" s="100" t="n"/>
      <c r="GC26" s="100" t="n"/>
      <c r="GD26" s="100" t="n"/>
      <c r="GE26" s="102" t="n"/>
      <c r="GF26" s="15" t="n"/>
      <c r="GG26" s="546" t="n"/>
      <c r="GH26" s="546" t="n"/>
      <c r="GI26" s="17" t="n"/>
      <c r="GJ26" s="15" t="n"/>
      <c r="GK26" s="546" t="n"/>
      <c r="GL26" s="546" t="n"/>
      <c r="GM26" s="17" t="n"/>
      <c r="GN26" s="31" t="n"/>
      <c r="GO26" s="349" t="n"/>
      <c r="GP26" s="349" t="n"/>
      <c r="GQ26" s="45" t="n"/>
      <c r="GR26" s="351" t="n"/>
      <c r="GS26" s="31" t="n"/>
      <c r="GT26" s="45" t="n"/>
      <c r="GU26" s="45" t="n"/>
      <c r="GV26" s="350" t="n"/>
      <c r="GW26" s="351" t="n"/>
      <c r="GX26" s="107" t="n"/>
      <c r="GY26" s="587" t="n"/>
      <c r="GZ26" s="108" t="n"/>
      <c r="HA26" s="15" t="n"/>
      <c r="HB26" s="546" t="n"/>
      <c r="HC26" s="17" t="n"/>
      <c r="HD26" s="15" t="n"/>
      <c r="HE26" s="546" t="n"/>
      <c r="HF26" s="546" t="n"/>
      <c r="HG26" s="17" t="n"/>
      <c r="HH26" s="31" t="n"/>
      <c r="HI26" s="45" t="n"/>
      <c r="HJ26" s="45" t="n"/>
      <c r="HK26" s="45" t="n"/>
      <c r="HL26" s="45" t="n"/>
      <c r="HM26" s="45" t="n"/>
      <c r="HN26" s="45" t="n"/>
      <c r="HO26" s="45" t="n"/>
      <c r="HP26" s="45" t="n"/>
      <c r="HQ26" s="45" t="n"/>
      <c r="HR26" s="45" t="n"/>
      <c r="HS26" s="351" t="n"/>
      <c r="HT26" s="606" t="n"/>
      <c r="HU26" s="65">
        <f>AVERAGE(H26,N26,P26)</f>
        <v/>
      </c>
      <c r="HV26" s="66">
        <f>AVERAGE(E26,J26,Q26,S26,U26,Y26,AD26)</f>
        <v/>
      </c>
      <c r="HW26" s="66">
        <f>AVERAGE(V26)</f>
        <v/>
      </c>
      <c r="HX26" s="66">
        <f>AVERAGE(R26)</f>
        <v/>
      </c>
      <c r="HY26" s="66">
        <f>AVERAGE(Z26,T26,G26)</f>
        <v/>
      </c>
      <c r="HZ26" s="66" t="n"/>
      <c r="IA26" s="66">
        <f>AVERAGE(AB26)</f>
        <v/>
      </c>
      <c r="IB26" s="66" t="n"/>
      <c r="IC26" s="66" t="n"/>
      <c r="ID26" s="66">
        <f>AVERAGE(AC26)</f>
        <v/>
      </c>
    </row>
    <row r="27" ht="14.25" customHeight="1" s="590">
      <c r="B27" s="352" t="inlineStr">
        <is>
          <t>Class Average</t>
        </is>
      </c>
      <c r="C27" s="674" t="n"/>
      <c r="D27" s="674" t="n"/>
      <c r="E27" s="118">
        <f>AVERAGE(E7:E25)</f>
        <v/>
      </c>
      <c r="F27" s="118">
        <f>AVERAGE(F7:F25)</f>
        <v/>
      </c>
      <c r="G27" s="118">
        <f>AVERAGE(G7:G25)</f>
        <v/>
      </c>
      <c r="H27" s="118">
        <f>AVERAGE(H7:H25)</f>
        <v/>
      </c>
      <c r="I27" s="118">
        <f>AVERAGE(I7:I25)</f>
        <v/>
      </c>
      <c r="J27" s="118">
        <f>AVERAGE(J7:J25)</f>
        <v/>
      </c>
      <c r="K27" s="118">
        <f>AVERAGE(K7:K25)</f>
        <v/>
      </c>
      <c r="L27" s="118">
        <f>AVERAGE(L7:L25)</f>
        <v/>
      </c>
      <c r="M27" s="118">
        <f>AVERAGE(M7:M25)</f>
        <v/>
      </c>
      <c r="N27" s="118">
        <f>AVERAGE(N7:N25)</f>
        <v/>
      </c>
      <c r="O27" s="675" t="n"/>
      <c r="P27" s="118">
        <f>AVERAGE(P7:P25)</f>
        <v/>
      </c>
      <c r="Q27" s="118">
        <f>AVERAGE(Q7:Q25)</f>
        <v/>
      </c>
      <c r="R27" s="118">
        <f>AVERAGE(R7:R25)</f>
        <v/>
      </c>
      <c r="S27" s="118">
        <f>AVERAGE(S7:S25)</f>
        <v/>
      </c>
      <c r="T27" s="118">
        <f>AVERAGE(T7:T25)</f>
        <v/>
      </c>
      <c r="U27" s="514">
        <f>AVERAGE(U7:U25)</f>
        <v/>
      </c>
      <c r="V27" s="513">
        <f>AVERAGE(V7:V25)</f>
        <v/>
      </c>
      <c r="W27" s="513">
        <f>AVERAGE(W7:W25)</f>
        <v/>
      </c>
      <c r="X27" s="513">
        <f>AVERAGE(X7:X25)</f>
        <v/>
      </c>
      <c r="Y27" s="118">
        <f>AVERAGE(Y7:Y25)</f>
        <v/>
      </c>
      <c r="Z27" s="118">
        <f>AVERAGE(Z7:Z25)</f>
        <v/>
      </c>
      <c r="AA27" s="118">
        <f>AVERAGE(AA7:AA25)</f>
        <v/>
      </c>
      <c r="AB27" s="118">
        <f>AVERAGE(AB7:AB25)</f>
        <v/>
      </c>
      <c r="AC27" s="118">
        <f>AVERAGE(AC7:AC25)</f>
        <v/>
      </c>
      <c r="AD27" s="118">
        <f>AVERAGE(AD7:AD25)</f>
        <v/>
      </c>
      <c r="AE27" s="118">
        <f>AVERAGE(AE7:AE25)</f>
        <v/>
      </c>
      <c r="AF27" s="118">
        <f>AVERAGE(AF7:AF25)</f>
        <v/>
      </c>
      <c r="AG27" s="18">
        <f>AVERAGE(AG7:AG25)</f>
        <v/>
      </c>
      <c r="AH27" s="18">
        <f>AVERAGE(AH7:AH25)</f>
        <v/>
      </c>
      <c r="AI27" s="18">
        <f>AVERAGE(AI7:AI25)</f>
        <v/>
      </c>
      <c r="AJ27" s="18">
        <f>AVERAGE(AJ7:AJ25)</f>
        <v/>
      </c>
      <c r="AK27" s="18">
        <f>AVERAGE(AK7:AK25)</f>
        <v/>
      </c>
      <c r="AL27" s="18">
        <f>AVERAGE(AL7:AL25)</f>
        <v/>
      </c>
      <c r="AM27" s="118">
        <f>AVERAGE(AM7:AM25)</f>
        <v/>
      </c>
      <c r="AN27" s="118">
        <f>AVERAGE(AN7:AN25)</f>
        <v/>
      </c>
      <c r="AO27" s="118">
        <f>AVERAGE(AO7:AO25)</f>
        <v/>
      </c>
      <c r="AP27" s="18">
        <f>AVERAGE(AP7:AP25)</f>
        <v/>
      </c>
      <c r="AQ27" s="18">
        <f>AVERAGE(AQ7:AQ25)</f>
        <v/>
      </c>
      <c r="AR27" s="598" t="n"/>
      <c r="AS27" s="598" t="n"/>
      <c r="AT27" s="599" t="n"/>
      <c r="AU27" s="18">
        <f>AVERAGE(AU7:AU25)</f>
        <v/>
      </c>
      <c r="AV27" s="18">
        <f>AVERAGE(AV7:AV25)</f>
        <v/>
      </c>
      <c r="AW27" s="18">
        <f>AVERAGE(AW7:AW25)</f>
        <v/>
      </c>
      <c r="AX27" s="18">
        <f>AVERAGE(AX7:AX25)</f>
        <v/>
      </c>
      <c r="AY27" s="18">
        <f>AVERAGE(AY7:AY25)</f>
        <v/>
      </c>
      <c r="AZ27" s="18">
        <f>AVERAGE(AZ7:AZ25)</f>
        <v/>
      </c>
      <c r="BA27" s="18">
        <f>AVERAGE(BA7:BA25)</f>
        <v/>
      </c>
      <c r="BB27" s="18">
        <f>AVERAGE(BB7:BB25)</f>
        <v/>
      </c>
      <c r="BC27" s="18">
        <f>AVERAGE(BC7:BC25)</f>
        <v/>
      </c>
      <c r="BD27" s="18">
        <f>AVERAGE(BD7:BD25)</f>
        <v/>
      </c>
      <c r="BE27" s="18">
        <f>AVERAGE(BE7:BE25)</f>
        <v/>
      </c>
      <c r="BF27" s="18">
        <f>AVERAGE(BF7:BF25)</f>
        <v/>
      </c>
      <c r="BG27" s="18">
        <f>AVERAGE(BG7:BG25)</f>
        <v/>
      </c>
      <c r="BH27" s="18">
        <f>AVERAGE(BH7:BH25)</f>
        <v/>
      </c>
      <c r="BI27" s="18">
        <f>AVERAGE(BI7:BI25)</f>
        <v/>
      </c>
      <c r="BJ27" s="18">
        <f>AVERAGE(BJ7:BJ25)</f>
        <v/>
      </c>
      <c r="BK27" s="18">
        <f>AVERAGE(BK7:BK25)</f>
        <v/>
      </c>
      <c r="BL27" s="18">
        <f>AVERAGE(BL7:BL25)</f>
        <v/>
      </c>
      <c r="BM27" s="18">
        <f>AVERAGE(BM7:BM25)</f>
        <v/>
      </c>
      <c r="BN27" s="18">
        <f>AVERAGE(BN7:BN25)</f>
        <v/>
      </c>
      <c r="BO27" s="18">
        <f>AVERAGE(BO7:BO25)</f>
        <v/>
      </c>
      <c r="BP27" s="18">
        <f>AVERAGE(BP7:BP25)</f>
        <v/>
      </c>
      <c r="BQ27" s="18">
        <f>AVERAGE(BQ7:BQ25)</f>
        <v/>
      </c>
      <c r="BR27" s="18">
        <f>AVERAGE(BR7:BR25)</f>
        <v/>
      </c>
      <c r="BS27" s="18">
        <f>AVERAGE(BS7:BS25)</f>
        <v/>
      </c>
      <c r="BT27" s="18">
        <f>AVERAGE(BT7:BT25)</f>
        <v/>
      </c>
      <c r="BU27" s="18">
        <f>AVERAGE(BU7:BU25)</f>
        <v/>
      </c>
      <c r="BV27" s="18">
        <f>AVERAGE(BV7:BV25)</f>
        <v/>
      </c>
      <c r="BW27" s="18">
        <f>AVERAGE(BW7:BW25)</f>
        <v/>
      </c>
      <c r="BX27" s="18">
        <f>AVERAGE(BX7:BX25)</f>
        <v/>
      </c>
      <c r="BY27" s="18">
        <f>AVERAGE(BY7:BY25)</f>
        <v/>
      </c>
      <c r="BZ27" s="18">
        <f>AVERAGE(BZ7:BZ25)</f>
        <v/>
      </c>
      <c r="CA27" s="18">
        <f>AVERAGE(CA7:CA25)</f>
        <v/>
      </c>
      <c r="CB27" s="18">
        <f>AVERAGE(CB7:CB25)</f>
        <v/>
      </c>
      <c r="CC27" s="18">
        <f>AVERAGE(CC7:CC25)</f>
        <v/>
      </c>
      <c r="CD27" s="18">
        <f>AVERAGE(CD7:CD25)</f>
        <v/>
      </c>
      <c r="CE27" s="18">
        <f>AVERAGE(CE7:CE25)</f>
        <v/>
      </c>
      <c r="CF27" s="18">
        <f>AVERAGE(CF7:CF25)</f>
        <v/>
      </c>
      <c r="CG27" s="18">
        <f>AVERAGE(CG7:CG25)</f>
        <v/>
      </c>
      <c r="CH27" s="18">
        <f>AVERAGE(CH7:CH25)</f>
        <v/>
      </c>
      <c r="CI27" s="18">
        <f>AVERAGE(CI7:CI25)</f>
        <v/>
      </c>
      <c r="CJ27" s="18">
        <f>AVERAGE(CJ7:CJ25)</f>
        <v/>
      </c>
      <c r="CK27" s="18">
        <f>AVERAGE(CK7:CK25)</f>
        <v/>
      </c>
      <c r="CL27" s="18">
        <f>AVERAGE(CL7:CL25)</f>
        <v/>
      </c>
      <c r="CM27" s="18">
        <f>AVERAGE(CM7:CM25)</f>
        <v/>
      </c>
      <c r="CN27" s="18">
        <f>AVERAGE(CN7:CN25)</f>
        <v/>
      </c>
      <c r="CO27" s="503">
        <f>AVERAGE(CO7:CO25)</f>
        <v/>
      </c>
      <c r="CP27" s="18">
        <f>AVERAGE(CP7:CP25)</f>
        <v/>
      </c>
      <c r="CQ27" s="18">
        <f>AVERAGE(CQ7:CQ25)</f>
        <v/>
      </c>
      <c r="CR27" s="18">
        <f>AVERAGE(CR7:CR25)</f>
        <v/>
      </c>
      <c r="CS27" s="18">
        <f>AVERAGE(CS7:CS25)</f>
        <v/>
      </c>
      <c r="CT27" s="18">
        <f>AVERAGE(CT7:CT25)</f>
        <v/>
      </c>
      <c r="CU27" s="18">
        <f>AVERAGE(CU7:CU25)</f>
        <v/>
      </c>
      <c r="CV27" s="77">
        <f>AVERAGE(CV7:CV25)</f>
        <v/>
      </c>
      <c r="CW27" s="77">
        <f>AVERAGE(CW7:CW25)</f>
        <v/>
      </c>
      <c r="CX27" s="77">
        <f>AVERAGE(CX7:CX25)</f>
        <v/>
      </c>
      <c r="CY27" s="77">
        <f>AVERAGE(CY7:CY25)</f>
        <v/>
      </c>
      <c r="CZ27" s="77">
        <f>AVERAGE(CZ7:CZ25)</f>
        <v/>
      </c>
      <c r="DA27" s="77">
        <f>AVERAGE(DA7:DA25)</f>
        <v/>
      </c>
      <c r="DB27" s="77">
        <f>AVERAGE(DB7:DB25)</f>
        <v/>
      </c>
      <c r="DC27" s="77">
        <f>AVERAGE(DC7:DC25)</f>
        <v/>
      </c>
      <c r="DD27" s="77">
        <f>AVERAGE(DD7:DD25)</f>
        <v/>
      </c>
      <c r="DE27" s="77">
        <f>AVERAGE(DE7:DE25)</f>
        <v/>
      </c>
      <c r="DF27" s="77">
        <f>AVERAGE(DF7:DF25)</f>
        <v/>
      </c>
      <c r="DG27" s="77">
        <f>AVERAGE(DG7:DG25)</f>
        <v/>
      </c>
      <c r="DH27" s="77">
        <f>AVERAGE(DH7:DH25)</f>
        <v/>
      </c>
      <c r="DI27" s="77">
        <f>AVERAGE(DI7:DI25)</f>
        <v/>
      </c>
      <c r="DJ27" s="77">
        <f>AVERAGE(DJ7:DJ25)</f>
        <v/>
      </c>
      <c r="DK27" s="77">
        <f>AVERAGE(DK7:DK25)</f>
        <v/>
      </c>
      <c r="DL27" s="77">
        <f>AVERAGE(DL7:DL25)</f>
        <v/>
      </c>
      <c r="DM27" s="77">
        <f>AVERAGE(DM7:DM25)</f>
        <v/>
      </c>
      <c r="DN27" s="77">
        <f>AVERAGE(DN7:DN25)</f>
        <v/>
      </c>
      <c r="DO27" s="77">
        <f>AVERAGE(DO7:DO25)</f>
        <v/>
      </c>
      <c r="DP27" s="77">
        <f>AVERAGE(DP7:DP25)</f>
        <v/>
      </c>
      <c r="DQ27" s="77">
        <f>AVERAGE(DQ7:DQ25)</f>
        <v/>
      </c>
      <c r="DR27" s="77">
        <f>AVERAGE(DR7:DR25)</f>
        <v/>
      </c>
      <c r="DS27" s="77">
        <f>AVERAGE(DS7:DS25)</f>
        <v/>
      </c>
      <c r="DT27" s="77">
        <f>AVERAGE(DT7:DT25)</f>
        <v/>
      </c>
      <c r="DU27" s="77">
        <f>AVERAGE(DU7:DU25)</f>
        <v/>
      </c>
      <c r="DV27" s="77">
        <f>AVERAGE(DV7:DV25)</f>
        <v/>
      </c>
      <c r="DW27" s="77">
        <f>AVERAGE(DW7:DW25)</f>
        <v/>
      </c>
      <c r="DX27" s="77">
        <f>AVERAGE(DX7:DX25)</f>
        <v/>
      </c>
      <c r="DY27" s="77">
        <f>AVERAGE(DY7:DY25)</f>
        <v/>
      </c>
      <c r="DZ27" s="77">
        <f>AVERAGE(DZ7:DZ25)</f>
        <v/>
      </c>
      <c r="EA27" s="77">
        <f>AVERAGE(EA7:EA25)</f>
        <v/>
      </c>
      <c r="EB27" s="77">
        <f>AVERAGE(EB7:EB25)</f>
        <v/>
      </c>
      <c r="EC27" s="77">
        <f>AVERAGE(EC7:EC25)</f>
        <v/>
      </c>
      <c r="ED27" s="77">
        <f>AVERAGE(ED7:ED25)</f>
        <v/>
      </c>
      <c r="EE27" s="35">
        <f>AVERAGE(EE7:EE25)</f>
        <v/>
      </c>
      <c r="EF27" s="35">
        <f>AVERAGE(EF7:EF25)</f>
        <v/>
      </c>
      <c r="EG27" s="35">
        <f>AVERAGE(EG7:EG25)</f>
        <v/>
      </c>
      <c r="EH27" s="35">
        <f>AVERAGE(EH7:EH25)</f>
        <v/>
      </c>
      <c r="EI27" s="35">
        <f>AVERAGE(EI7:EI25)</f>
        <v/>
      </c>
      <c r="EJ27" s="77">
        <f>AVERAGE(EJ7:EJ25)</f>
        <v/>
      </c>
      <c r="EK27" s="77">
        <f>AVERAGE(EK7:EK25)</f>
        <v/>
      </c>
      <c r="EL27" s="77">
        <f>AVERAGE(EL7:EL25)</f>
        <v/>
      </c>
      <c r="EM27" s="77">
        <f>AVERAGE(EM7:EM25)</f>
        <v/>
      </c>
      <c r="EN27" s="77">
        <f>AVERAGE(EN7:EN25)</f>
        <v/>
      </c>
      <c r="EO27" s="77">
        <f>AVERAGE(EO7:EO25)</f>
        <v/>
      </c>
      <c r="EP27" s="77">
        <f>AVERAGE(EP7:EP25)</f>
        <v/>
      </c>
      <c r="EQ27" s="77">
        <f>AVERAGE(EQ7:EQ25)</f>
        <v/>
      </c>
      <c r="ER27" s="77">
        <f>AVERAGE(ER7:ER25)</f>
        <v/>
      </c>
      <c r="ES27" s="77">
        <f>AVERAGE(ES7:ES25)</f>
        <v/>
      </c>
      <c r="ET27" s="77">
        <f>AVERAGE(ET7:ET25)</f>
        <v/>
      </c>
      <c r="EU27" s="676" t="n"/>
      <c r="EV27" s="77">
        <f>AVERAGE(EV7:EV25)</f>
        <v/>
      </c>
      <c r="EW27" s="77">
        <f>AVERAGE(EW7:EW25)</f>
        <v/>
      </c>
      <c r="EX27" s="77">
        <f>AVERAGE(EX7:EX25)</f>
        <v/>
      </c>
      <c r="EY27" s="77">
        <f>AVERAGE(EY7:EY25)</f>
        <v/>
      </c>
      <c r="EZ27" s="77">
        <f>AVERAGE(EZ7:EZ25)</f>
        <v/>
      </c>
      <c r="FA27" s="77">
        <f>AVERAGE(FA7:FA25)</f>
        <v/>
      </c>
      <c r="FB27" s="77">
        <f>AVERAGE(FB7:FB25)</f>
        <v/>
      </c>
      <c r="FC27" s="676" t="n"/>
      <c r="FD27" s="77">
        <f>AVERAGE(FD7:FD25)</f>
        <v/>
      </c>
      <c r="FE27" s="77">
        <f>AVERAGE(FE7:FE25)</f>
        <v/>
      </c>
      <c r="FF27" s="77">
        <f>AVERAGE(FF7:FF25)</f>
        <v/>
      </c>
      <c r="FG27" s="77">
        <f>AVERAGE(FG7:FG25)</f>
        <v/>
      </c>
      <c r="FH27" s="77">
        <f>AVERAGE(FH7:FH25)</f>
        <v/>
      </c>
      <c r="FI27" s="78">
        <f>AVERAGE(FI7:FI25)</f>
        <v/>
      </c>
      <c r="FJ27" s="79">
        <f>AVERAGE(FJ7:FJ25)</f>
        <v/>
      </c>
      <c r="FK27" s="79">
        <f>AVERAGE(FK7:FK25)</f>
        <v/>
      </c>
      <c r="FL27" s="79">
        <f>AVERAGE(FL7:FL25)</f>
        <v/>
      </c>
      <c r="FM27" s="94">
        <f>AVERAGE(FM7:FM25)</f>
        <v/>
      </c>
      <c r="FN27" s="35">
        <f>AVERAGE(FN7:FN25)</f>
        <v/>
      </c>
      <c r="FO27" s="35">
        <f>AVERAGE(FO7:FO25)</f>
        <v/>
      </c>
      <c r="FP27" s="35">
        <f>AVERAGE(FP7:FP25)</f>
        <v/>
      </c>
      <c r="FQ27" s="35">
        <f>AVERAGE(FQ7:FQ25)</f>
        <v/>
      </c>
      <c r="FR27" s="35">
        <f>AVERAGE(FR7:FR25)</f>
        <v/>
      </c>
      <c r="FS27" s="35">
        <f>AVERAGE(FS7:FS25)</f>
        <v/>
      </c>
      <c r="FT27" s="35">
        <f>AVERAGE(FT7:FT25)</f>
        <v/>
      </c>
      <c r="FU27" s="35">
        <f>AVERAGE(FU7:FU25)</f>
        <v/>
      </c>
      <c r="FV27" s="35">
        <f>AVERAGE(FV7:FV25)</f>
        <v/>
      </c>
      <c r="FW27" s="35">
        <f>AVERAGE(FW7:FW25)</f>
        <v/>
      </c>
      <c r="FX27" s="35">
        <f>AVERAGE(FX7:FX25)</f>
        <v/>
      </c>
      <c r="FY27" s="35">
        <f>AVERAGE(FY7:FY25)</f>
        <v/>
      </c>
      <c r="FZ27" s="35">
        <f>AVERAGE(FZ7:FZ25)</f>
        <v/>
      </c>
      <c r="GA27" s="35">
        <f>AVERAGE(GA7:GA25)</f>
        <v/>
      </c>
      <c r="GB27" s="35">
        <f>AVERAGE(GB7:GB25)</f>
        <v/>
      </c>
      <c r="GC27" s="35">
        <f>AVERAGE(GC7:GC25)</f>
        <v/>
      </c>
      <c r="GD27" s="35">
        <f>AVERAGE(GD7:GD25)</f>
        <v/>
      </c>
      <c r="GE27" s="35">
        <f>AVERAGE(GE7:GE25)</f>
        <v/>
      </c>
      <c r="GF27" s="18">
        <f>AVERAGE(GF7:GF25)</f>
        <v/>
      </c>
      <c r="GG27" s="18">
        <f>AVERAGE(GG7:GG25)</f>
        <v/>
      </c>
      <c r="GH27" s="18">
        <f>AVERAGE(GH7:GH25)</f>
        <v/>
      </c>
      <c r="GI27" s="18">
        <f>AVERAGE(GI7:GI25)</f>
        <v/>
      </c>
      <c r="GJ27" s="18">
        <f>AVERAGE(GJ7:GJ25)</f>
        <v/>
      </c>
      <c r="GK27" s="18">
        <f>AVERAGE(GK7:GK25)</f>
        <v/>
      </c>
      <c r="GL27" s="18">
        <f>AVERAGE(GL7:GL25)</f>
        <v/>
      </c>
      <c r="GM27" s="18">
        <f>AVERAGE(GM7:GM25)</f>
        <v/>
      </c>
      <c r="GN27" s="35">
        <f>AVERAGE(GN7:GN25)</f>
        <v/>
      </c>
      <c r="GO27" s="35">
        <f>AVERAGE(GO7:GO25)</f>
        <v/>
      </c>
      <c r="GP27" s="35">
        <f>AVERAGE(GP7:GP25)</f>
        <v/>
      </c>
      <c r="GQ27" s="35">
        <f>AVERAGE(GQ7:GQ25)</f>
        <v/>
      </c>
      <c r="GR27" s="35">
        <f>AVERAGE(GR7:GR25)</f>
        <v/>
      </c>
      <c r="GS27" s="35">
        <f>AVERAGE(GS7:GS25)</f>
        <v/>
      </c>
      <c r="GT27" s="35">
        <f>AVERAGE(GT7:GT25)</f>
        <v/>
      </c>
      <c r="GU27" s="35">
        <f>AVERAGE(GU7:GU25)</f>
        <v/>
      </c>
      <c r="GV27" s="35">
        <f>AVERAGE(GV7:GV25)</f>
        <v/>
      </c>
      <c r="GW27" s="35">
        <f>AVERAGE(GW7:GW25)</f>
        <v/>
      </c>
      <c r="GX27" s="77">
        <f>AVERAGE(GX7:GX25)</f>
        <v/>
      </c>
      <c r="GY27" s="77">
        <f>AVERAGE(GY7:GY25)</f>
        <v/>
      </c>
      <c r="GZ27" s="77">
        <f>AVERAGE(GZ7:GZ25)</f>
        <v/>
      </c>
      <c r="HA27" s="35">
        <f>AVERAGE(HA7:HA25)</f>
        <v/>
      </c>
      <c r="HB27" s="35">
        <f>AVERAGE(HB7:HB25)</f>
        <v/>
      </c>
      <c r="HC27" s="59">
        <f>AVERAGE(HC7:HC25)</f>
        <v/>
      </c>
      <c r="HD27" s="18">
        <f>AVERAGE(HD7:HD25)</f>
        <v/>
      </c>
      <c r="HE27" s="18">
        <f>AVERAGE(HE7:HE25)</f>
        <v/>
      </c>
      <c r="HF27" s="18">
        <f>AVERAGE(HF7:HF25)</f>
        <v/>
      </c>
      <c r="HG27" s="18">
        <f>AVERAGE(HG7:HG25)</f>
        <v/>
      </c>
      <c r="HH27" s="59">
        <f>AVERAGE(HH7:HH25)</f>
        <v/>
      </c>
      <c r="HI27" s="59">
        <f>AVERAGE(HI7:HI25)</f>
        <v/>
      </c>
      <c r="HJ27" s="59">
        <f>AVERAGE(HJ7:HJ25)</f>
        <v/>
      </c>
      <c r="HK27" s="59">
        <f>AVERAGE(HK7:HK25)</f>
        <v/>
      </c>
      <c r="HL27" s="59">
        <f>AVERAGE(HL7:HL25)</f>
        <v/>
      </c>
      <c r="HM27" s="59">
        <f>AVERAGE(HM7:HM25)</f>
        <v/>
      </c>
      <c r="HN27" s="59">
        <f>AVERAGE(HN7:HN25)</f>
        <v/>
      </c>
      <c r="HO27" s="59">
        <f>AVERAGE(HO7:HO25)</f>
        <v/>
      </c>
      <c r="HP27" s="59">
        <f>AVERAGE(HP7:HP25)</f>
        <v/>
      </c>
      <c r="HQ27" s="59">
        <f>AVERAGE(HQ7:HQ25)</f>
        <v/>
      </c>
      <c r="HR27" s="59">
        <f>AVERAGE(HR7:HR25)</f>
        <v/>
      </c>
      <c r="HS27" s="59">
        <f>AVERAGE(HS7:HS25)</f>
        <v/>
      </c>
      <c r="HT27" s="652" t="n"/>
      <c r="HU27" s="67">
        <f>AVERAGE(HU7:HU26)</f>
        <v/>
      </c>
      <c r="HV27" s="67">
        <f>AVERAGE(HV7:HV26)</f>
        <v/>
      </c>
      <c r="HW27" s="67">
        <f>AVERAGE(HW7:HW26)</f>
        <v/>
      </c>
      <c r="HX27" s="67">
        <f>AVERAGE(HX7:HX26)</f>
        <v/>
      </c>
      <c r="HY27" s="67">
        <f>AVERAGE(HY7:HY26)</f>
        <v/>
      </c>
      <c r="HZ27" s="67" t="n"/>
      <c r="IA27" s="67">
        <f>AVERAGE(IA7:IA26)</f>
        <v/>
      </c>
      <c r="IB27" s="67" t="inlineStr">
        <is>
          <t xml:space="preserve"> </t>
        </is>
      </c>
      <c r="IC27" s="67" t="inlineStr">
        <is>
          <t xml:space="preserve"> </t>
        </is>
      </c>
      <c r="ID27" s="67">
        <f>AVERAGE(ID7:ID26)</f>
        <v/>
      </c>
    </row>
    <row r="28"/>
    <row r="29" ht="13.5" customHeight="1" s="590">
      <c r="Y29" s="259" t="n"/>
    </row>
    <row r="30" ht="13.5" customHeight="1" s="590">
      <c r="U30" s="259" t="n"/>
    </row>
    <row r="31" ht="13.5" customHeight="1" s="590">
      <c r="P31" s="259" t="n"/>
    </row>
    <row r="32" ht="13.5" customHeight="1" s="590">
      <c r="E32" s="259" t="n"/>
      <c r="K32" s="259" t="n"/>
    </row>
    <row r="33"/>
    <row r="34"/>
    <row r="35"/>
    <row r="36"/>
    <row r="37"/>
    <row r="38" ht="13.5" customHeight="1" s="590">
      <c r="D38" s="259" t="n"/>
    </row>
  </sheetData>
  <mergeCells count="198">
    <mergeCell ref="EE2:FA2"/>
    <mergeCell ref="CS3:CU3"/>
    <mergeCell ref="N11:O11"/>
    <mergeCell ref="N20:O20"/>
    <mergeCell ref="DI9:DJ9"/>
    <mergeCell ref="BU5:BX5"/>
    <mergeCell ref="DK5:DN5"/>
    <mergeCell ref="GQ5:GR5"/>
    <mergeCell ref="DO25:DP25"/>
    <mergeCell ref="HX4:HX6"/>
    <mergeCell ref="FK5:FL5"/>
    <mergeCell ref="BM6:BQ6"/>
    <mergeCell ref="N22:O22"/>
    <mergeCell ref="AQ6:AT6"/>
    <mergeCell ref="N12:O12"/>
    <mergeCell ref="FB27:FC27"/>
    <mergeCell ref="ID4:ID6"/>
    <mergeCell ref="N5:O5"/>
    <mergeCell ref="CA3:CF3"/>
    <mergeCell ref="N14:O14"/>
    <mergeCell ref="IB4:IB6"/>
    <mergeCell ref="BJ3:BL3"/>
    <mergeCell ref="FR5:FS5"/>
    <mergeCell ref="GV23:GW23"/>
    <mergeCell ref="P5:R5"/>
    <mergeCell ref="HY4:HY6"/>
    <mergeCell ref="H5:J5"/>
    <mergeCell ref="EF9:EG9"/>
    <mergeCell ref="BD6:BE6"/>
    <mergeCell ref="DO24:DP24"/>
    <mergeCell ref="GO13:GP13"/>
    <mergeCell ref="EH5:EI5"/>
    <mergeCell ref="ET18:EU18"/>
    <mergeCell ref="N15:O15"/>
    <mergeCell ref="K5:M5"/>
    <mergeCell ref="N24:O24"/>
    <mergeCell ref="GV18:GW18"/>
    <mergeCell ref="S5:T5"/>
    <mergeCell ref="ET5:EU5"/>
    <mergeCell ref="GV5:GW5"/>
    <mergeCell ref="CI5:CJ5"/>
    <mergeCell ref="DX6:DY6"/>
    <mergeCell ref="N26:O26"/>
    <mergeCell ref="HU1:ID2"/>
    <mergeCell ref="K3:O3"/>
    <mergeCell ref="N7:O7"/>
    <mergeCell ref="GN3:GR3"/>
    <mergeCell ref="CV2:ED2"/>
    <mergeCell ref="N16:O16"/>
    <mergeCell ref="DO18:DP18"/>
    <mergeCell ref="N25:O25"/>
    <mergeCell ref="CV3:CZ3"/>
    <mergeCell ref="BW6:BX6"/>
    <mergeCell ref="CA2:CU2"/>
    <mergeCell ref="CV1:HS1"/>
    <mergeCell ref="U5:X5"/>
    <mergeCell ref="DI5:DJ5"/>
    <mergeCell ref="DX3:ED3"/>
    <mergeCell ref="HZ4:HZ6"/>
    <mergeCell ref="DI23:DJ23"/>
    <mergeCell ref="EJ3:EO3"/>
    <mergeCell ref="EF13:EG13"/>
    <mergeCell ref="GO25:GP25"/>
    <mergeCell ref="AG3:AL3"/>
    <mergeCell ref="EY5:FA5"/>
    <mergeCell ref="DI6:DJ6"/>
    <mergeCell ref="ET7:EU7"/>
    <mergeCell ref="AC4:AD4"/>
    <mergeCell ref="EF23:EG23"/>
    <mergeCell ref="BD2:BZ2"/>
    <mergeCell ref="AM3:AO3"/>
    <mergeCell ref="GV7:GW7"/>
    <mergeCell ref="DO13:DP13"/>
    <mergeCell ref="GO18:GP18"/>
    <mergeCell ref="DI25:DJ25"/>
    <mergeCell ref="DO6:DP6"/>
    <mergeCell ref="AU6:AX6"/>
    <mergeCell ref="N13:O13"/>
    <mergeCell ref="E2:AD2"/>
    <mergeCell ref="CN5:CO5"/>
    <mergeCell ref="P3:T3"/>
    <mergeCell ref="EF24:EG24"/>
    <mergeCell ref="N6:O6"/>
    <mergeCell ref="GV24:GW24"/>
    <mergeCell ref="DO7:DP7"/>
    <mergeCell ref="DQ3:DW3"/>
    <mergeCell ref="GN2:HS2"/>
    <mergeCell ref="DI24:DJ24"/>
    <mergeCell ref="EF6:EG6"/>
    <mergeCell ref="GN5:GP5"/>
    <mergeCell ref="DI18:DJ18"/>
    <mergeCell ref="IC4:IC6"/>
    <mergeCell ref="FF5:FG5"/>
    <mergeCell ref="HU4:HU6"/>
    <mergeCell ref="AP3:AT3"/>
    <mergeCell ref="CV5:CX5"/>
    <mergeCell ref="EF25:EG25"/>
    <mergeCell ref="EP5:ES5"/>
    <mergeCell ref="ET25:EU25"/>
    <mergeCell ref="FB5:FE5"/>
    <mergeCell ref="GO7:GP7"/>
    <mergeCell ref="GV25:GW25"/>
    <mergeCell ref="BY5:BZ5"/>
    <mergeCell ref="AC3:AD3"/>
    <mergeCell ref="AE3:AF3"/>
    <mergeCell ref="GV6:GW6"/>
    <mergeCell ref="AG6:AH6"/>
    <mergeCell ref="AQ27:AT27"/>
    <mergeCell ref="EP3:EU3"/>
    <mergeCell ref="GV9:GW9"/>
    <mergeCell ref="AI6:AJ6"/>
    <mergeCell ref="EV3:EX3"/>
    <mergeCell ref="N18:O18"/>
    <mergeCell ref="GX3:GZ3"/>
    <mergeCell ref="AC5:AD5"/>
    <mergeCell ref="FB3:FG3"/>
    <mergeCell ref="Y3:AB3"/>
    <mergeCell ref="EF7:EG7"/>
    <mergeCell ref="N8:O8"/>
    <mergeCell ref="HH3:HS3"/>
    <mergeCell ref="N17:O17"/>
    <mergeCell ref="AM6:AO6"/>
    <mergeCell ref="CY5:CZ5"/>
    <mergeCell ref="BG6:BH6"/>
    <mergeCell ref="ET13:EU13"/>
    <mergeCell ref="DO9:DP9"/>
    <mergeCell ref="N10:O10"/>
    <mergeCell ref="HD3:HG3"/>
    <mergeCell ref="CK5:CM5"/>
    <mergeCell ref="GV13:GW13"/>
    <mergeCell ref="N19:O19"/>
    <mergeCell ref="CG3:CJ3"/>
    <mergeCell ref="BU6:BV6"/>
    <mergeCell ref="GO24:GP24"/>
    <mergeCell ref="E3:J3"/>
    <mergeCell ref="EE5:EG5"/>
    <mergeCell ref="FM3:FN3"/>
    <mergeCell ref="N9:O9"/>
    <mergeCell ref="DO5:DP5"/>
    <mergeCell ref="ET24:EU24"/>
    <mergeCell ref="AE2:BC2"/>
    <mergeCell ref="GS5:GU5"/>
    <mergeCell ref="AU3:AY3"/>
    <mergeCell ref="DQ6:DS6"/>
    <mergeCell ref="DI13:DJ13"/>
    <mergeCell ref="CS6:CT6"/>
    <mergeCell ref="GF6:GI6"/>
    <mergeCell ref="DI7:DJ7"/>
    <mergeCell ref="DA5:DC5"/>
    <mergeCell ref="EE3:EI3"/>
    <mergeCell ref="BD3:BF3"/>
    <mergeCell ref="ET23:EU23"/>
    <mergeCell ref="GS3:GW3"/>
    <mergeCell ref="GO6:GP6"/>
    <mergeCell ref="FO5:FQ5"/>
    <mergeCell ref="DA3:DE3"/>
    <mergeCell ref="EF18:EG18"/>
    <mergeCell ref="EY3:FA3"/>
    <mergeCell ref="AZ3:BC3"/>
    <mergeCell ref="ET9:EU9"/>
    <mergeCell ref="HA3:HC3"/>
    <mergeCell ref="FO3:FS3"/>
    <mergeCell ref="CP3:CR3"/>
    <mergeCell ref="N21:O21"/>
    <mergeCell ref="DD5:DE5"/>
    <mergeCell ref="DK3:DP3"/>
    <mergeCell ref="N23:O23"/>
    <mergeCell ref="AK5:AL5"/>
    <mergeCell ref="BM3:BS3"/>
    <mergeCell ref="ET27:EU27"/>
    <mergeCell ref="DO23:DP23"/>
    <mergeCell ref="GF3:GI3"/>
    <mergeCell ref="IA4:IA6"/>
    <mergeCell ref="A1:A27"/>
    <mergeCell ref="DF5:DH5"/>
    <mergeCell ref="FT3:GE3"/>
    <mergeCell ref="HW4:HW6"/>
    <mergeCell ref="Y5:AB5"/>
    <mergeCell ref="BG3:BI3"/>
    <mergeCell ref="FH5:FJ5"/>
    <mergeCell ref="B2:B6"/>
    <mergeCell ref="D2:D6"/>
    <mergeCell ref="GO23:GP23"/>
    <mergeCell ref="FH2:GE2"/>
    <mergeCell ref="HV4:HV6"/>
    <mergeCell ref="E5:G5"/>
    <mergeCell ref="AE6:AF6"/>
    <mergeCell ref="DF3:DJ3"/>
    <mergeCell ref="GJ3:GM3"/>
    <mergeCell ref="CK3:CO3"/>
    <mergeCell ref="B27:D27"/>
    <mergeCell ref="BT3:BZ3"/>
    <mergeCell ref="U3:X3"/>
    <mergeCell ref="FH3:FL3"/>
    <mergeCell ref="HT1:HT27"/>
    <mergeCell ref="N27:O27"/>
    <mergeCell ref="GO9:GP9"/>
    <mergeCell ref="GX6:GZ6"/>
  </mergeCells>
  <conditionalFormatting sqref="AP7:AT7 DQ7:ED27 FH7:GM27 HH7:HS27">
    <cfRule type="cellIs" priority="73" operator="lessThan" dxfId="0">
      <formula>5</formula>
    </cfRule>
  </conditionalFormatting>
  <conditionalFormatting sqref="K26">
    <cfRule type="cellIs" priority="26" operator="lessThan" dxfId="0">
      <formula>5</formula>
    </cfRule>
  </conditionalFormatting>
  <conditionalFormatting sqref="AP8:AT8">
    <cfRule type="cellIs" priority="77" operator="lessThan" dxfId="0">
      <formula>5</formula>
    </cfRule>
  </conditionalFormatting>
  <conditionalFormatting sqref="N7:N26">
    <cfRule type="cellIs" priority="25" operator="lessThan" dxfId="0">
      <formula>5</formula>
    </cfRule>
  </conditionalFormatting>
  <conditionalFormatting sqref="AP9:AT9">
    <cfRule type="cellIs" priority="74" operator="lessThan" dxfId="0">
      <formula>5</formula>
    </cfRule>
  </conditionalFormatting>
  <conditionalFormatting sqref="P7:T26">
    <cfRule type="cellIs" priority="24" operator="lessThan" dxfId="0">
      <formula>5</formula>
    </cfRule>
  </conditionalFormatting>
  <conditionalFormatting sqref="AP10:AT10">
    <cfRule type="cellIs" priority="76" operator="lessThan" dxfId="0">
      <formula>5</formula>
    </cfRule>
  </conditionalFormatting>
  <conditionalFormatting sqref="U23">
    <cfRule type="cellIs" priority="20" operator="lessThan" dxfId="0">
      <formula>5</formula>
    </cfRule>
  </conditionalFormatting>
  <conditionalFormatting sqref="U24">
    <cfRule type="cellIs" priority="19" operator="lessThan" dxfId="0">
      <formula>5</formula>
    </cfRule>
  </conditionalFormatting>
  <conditionalFormatting sqref="AP11:AT26">
    <cfRule type="cellIs" priority="75" operator="lessThan" dxfId="0">
      <formula>5</formula>
    </cfRule>
  </conditionalFormatting>
  <conditionalFormatting sqref="DI23">
    <cfRule type="cellIs" priority="162" operator="lessThan" dxfId="0">
      <formula>5</formula>
    </cfRule>
  </conditionalFormatting>
  <conditionalFormatting sqref="DO23">
    <cfRule type="cellIs" priority="168" operator="lessThan" dxfId="0">
      <formula>5</formula>
    </cfRule>
  </conditionalFormatting>
  <conditionalFormatting sqref="EP23:ET23">
    <cfRule type="cellIs" priority="154" operator="lessThan" dxfId="0">
      <formula>5</formula>
    </cfRule>
  </conditionalFormatting>
  <conditionalFormatting sqref="FB23">
    <cfRule type="cellIs" priority="127" operator="lessThan" dxfId="0">
      <formula>5</formula>
    </cfRule>
  </conditionalFormatting>
  <conditionalFormatting sqref="FC23">
    <cfRule type="cellIs" priority="126" operator="lessThan" dxfId="0">
      <formula>5</formula>
    </cfRule>
  </conditionalFormatting>
  <conditionalFormatting sqref="FD23">
    <cfRule type="cellIs" priority="125" operator="lessThan" dxfId="0">
      <formula>5</formula>
    </cfRule>
  </conditionalFormatting>
  <conditionalFormatting sqref="FE23">
    <cfRule type="cellIs" priority="124" operator="lessThan" dxfId="0">
      <formula>5</formula>
    </cfRule>
  </conditionalFormatting>
  <conditionalFormatting sqref="FF23">
    <cfRule type="cellIs" priority="123" operator="lessThan" dxfId="0">
      <formula>5</formula>
    </cfRule>
  </conditionalFormatting>
  <conditionalFormatting sqref="FG23">
    <cfRule type="cellIs" priority="122" operator="lessThan" dxfId="0">
      <formula>5</formula>
    </cfRule>
  </conditionalFormatting>
  <conditionalFormatting sqref="DI24">
    <cfRule type="cellIs" priority="161" operator="lessThan" dxfId="0">
      <formula>5</formula>
    </cfRule>
  </conditionalFormatting>
  <conditionalFormatting sqref="DO24">
    <cfRule type="cellIs" priority="167" operator="lessThan" dxfId="0">
      <formula>5</formula>
    </cfRule>
  </conditionalFormatting>
  <conditionalFormatting sqref="EP24:ET24">
    <cfRule type="cellIs" priority="153" operator="lessThan" dxfId="0">
      <formula>5</formula>
    </cfRule>
  </conditionalFormatting>
  <conditionalFormatting sqref="FB24">
    <cfRule type="cellIs" priority="121" operator="lessThan" dxfId="0">
      <formula>5</formula>
    </cfRule>
  </conditionalFormatting>
  <conditionalFormatting sqref="FC24">
    <cfRule type="cellIs" priority="120" operator="lessThan" dxfId="0">
      <formula>5</formula>
    </cfRule>
  </conditionalFormatting>
  <conditionalFormatting sqref="FD24">
    <cfRule type="cellIs" priority="119" operator="lessThan" dxfId="0">
      <formula>5</formula>
    </cfRule>
  </conditionalFormatting>
  <conditionalFormatting sqref="FE24">
    <cfRule type="cellIs" priority="118" operator="lessThan" dxfId="0">
      <formula>5</formula>
    </cfRule>
  </conditionalFormatting>
  <conditionalFormatting sqref="FF24">
    <cfRule type="cellIs" priority="117" operator="lessThan" dxfId="0">
      <formula>5</formula>
    </cfRule>
  </conditionalFormatting>
  <conditionalFormatting sqref="FG24">
    <cfRule type="cellIs" priority="116" operator="lessThan" dxfId="0">
      <formula>5</formula>
    </cfRule>
  </conditionalFormatting>
  <conditionalFormatting sqref="U25">
    <cfRule type="cellIs" priority="9" operator="lessThan" dxfId="0">
      <formula>5</formula>
    </cfRule>
  </conditionalFormatting>
  <conditionalFormatting sqref="U26">
    <cfRule type="cellIs" priority="8" operator="lessThan" dxfId="0">
      <formula>5</formula>
    </cfRule>
  </conditionalFormatting>
  <conditionalFormatting sqref="HD27">
    <cfRule type="cellIs" priority="189" operator="lessThan" dxfId="0">
      <formula>5</formula>
    </cfRule>
  </conditionalFormatting>
  <conditionalFormatting sqref="HE27">
    <cfRule type="cellIs" priority="188" operator="lessThan" dxfId="0">
      <formula>5</formula>
    </cfRule>
  </conditionalFormatting>
  <conditionalFormatting sqref="HF27">
    <cfRule type="cellIs" priority="187" operator="lessThan" dxfId="0">
      <formula>5</formula>
    </cfRule>
  </conditionalFormatting>
  <conditionalFormatting sqref="HG27">
    <cfRule type="cellIs" priority="186" operator="lessThan" dxfId="0">
      <formula>5</formula>
    </cfRule>
  </conditionalFormatting>
  <conditionalFormatting sqref="CR7:CR26">
    <cfRule type="cellIs" priority="108" operator="lessThan" dxfId="0">
      <formula>5</formula>
    </cfRule>
  </conditionalFormatting>
  <conditionalFormatting sqref="DF25:DF26">
    <cfRule type="cellIs" priority="175" operator="lessThan" dxfId="0">
      <formula>5</formula>
    </cfRule>
  </conditionalFormatting>
  <conditionalFormatting sqref="DI9:DI12">
    <cfRule type="cellIs" priority="165" operator="lessThan" dxfId="0">
      <formula>5</formula>
    </cfRule>
  </conditionalFormatting>
  <conditionalFormatting sqref="DI13:DI17">
    <cfRule type="cellIs" priority="164" operator="lessThan" dxfId="0">
      <formula>5</formula>
    </cfRule>
  </conditionalFormatting>
  <conditionalFormatting sqref="DI18:DI22">
    <cfRule type="cellIs" priority="163" operator="lessThan" dxfId="0">
      <formula>5</formula>
    </cfRule>
  </conditionalFormatting>
  <conditionalFormatting sqref="DI25:DI26">
    <cfRule type="cellIs" priority="160" operator="lessThan" dxfId="0">
      <formula>5</formula>
    </cfRule>
  </conditionalFormatting>
  <conditionalFormatting sqref="DO9:DO12">
    <cfRule type="cellIs" priority="171" operator="lessThan" dxfId="0">
      <formula>5</formula>
    </cfRule>
  </conditionalFormatting>
  <conditionalFormatting sqref="DO13:DO17">
    <cfRule type="cellIs" priority="170" operator="lessThan" dxfId="0">
      <formula>5</formula>
    </cfRule>
  </conditionalFormatting>
  <conditionalFormatting sqref="DO18:DO22">
    <cfRule type="cellIs" priority="169" operator="lessThan" dxfId="0">
      <formula>5</formula>
    </cfRule>
  </conditionalFormatting>
  <conditionalFormatting sqref="DO25:DO26">
    <cfRule type="cellIs" priority="166" operator="lessThan" dxfId="0">
      <formula>5</formula>
    </cfRule>
  </conditionalFormatting>
  <conditionalFormatting sqref="FB7:FB8">
    <cfRule type="cellIs" priority="151" operator="lessThan" dxfId="0">
      <formula>5</formula>
    </cfRule>
  </conditionalFormatting>
  <conditionalFormatting sqref="FB9:FB12">
    <cfRule type="cellIs" priority="145" operator="lessThan" dxfId="0">
      <formula>5</formula>
    </cfRule>
  </conditionalFormatting>
  <conditionalFormatting sqref="FB13:FB17">
    <cfRule type="cellIs" priority="139" operator="lessThan" dxfId="0">
      <formula>5</formula>
    </cfRule>
  </conditionalFormatting>
  <conditionalFormatting sqref="FB18:FB22">
    <cfRule type="cellIs" priority="133" operator="lessThan" dxfId="0">
      <formula>5</formula>
    </cfRule>
  </conditionalFormatting>
  <conditionalFormatting sqref="FB25:FB26">
    <cfRule type="cellIs" priority="115" operator="lessThan" dxfId="0">
      <formula>5</formula>
    </cfRule>
  </conditionalFormatting>
  <conditionalFormatting sqref="FC7:FC8">
    <cfRule type="cellIs" priority="150" operator="lessThan" dxfId="0">
      <formula>5</formula>
    </cfRule>
  </conditionalFormatting>
  <conditionalFormatting sqref="FC9:FC12">
    <cfRule type="cellIs" priority="144" operator="lessThan" dxfId="0">
      <formula>5</formula>
    </cfRule>
  </conditionalFormatting>
  <conditionalFormatting sqref="FC13:FC17">
    <cfRule type="cellIs" priority="138" operator="lessThan" dxfId="0">
      <formula>5</formula>
    </cfRule>
  </conditionalFormatting>
  <conditionalFormatting sqref="FC18:FC22">
    <cfRule type="cellIs" priority="132" operator="lessThan" dxfId="0">
      <formula>5</formula>
    </cfRule>
  </conditionalFormatting>
  <conditionalFormatting sqref="FC25:FC26">
    <cfRule type="cellIs" priority="114" operator="lessThan" dxfId="0">
      <formula>5</formula>
    </cfRule>
  </conditionalFormatting>
  <conditionalFormatting sqref="FD7:FD8">
    <cfRule type="cellIs" priority="149" operator="lessThan" dxfId="0">
      <formula>5</formula>
    </cfRule>
  </conditionalFormatting>
  <conditionalFormatting sqref="FD9:FD12">
    <cfRule type="cellIs" priority="143" operator="lessThan" dxfId="0">
      <formula>5</formula>
    </cfRule>
  </conditionalFormatting>
  <conditionalFormatting sqref="FD13:FD17">
    <cfRule type="cellIs" priority="137" operator="lessThan" dxfId="0">
      <formula>5</formula>
    </cfRule>
  </conditionalFormatting>
  <conditionalFormatting sqref="FD18:FD22">
    <cfRule type="cellIs" priority="131" operator="lessThan" dxfId="0">
      <formula>5</formula>
    </cfRule>
  </conditionalFormatting>
  <conditionalFormatting sqref="FD25:FD26">
    <cfRule type="cellIs" priority="113" operator="lessThan" dxfId="0">
      <formula>5</formula>
    </cfRule>
  </conditionalFormatting>
  <conditionalFormatting sqref="FE7:FE8">
    <cfRule type="cellIs" priority="148" operator="lessThan" dxfId="0">
      <formula>5</formula>
    </cfRule>
  </conditionalFormatting>
  <conditionalFormatting sqref="FE9:FE12">
    <cfRule type="cellIs" priority="142" operator="lessThan" dxfId="0">
      <formula>5</formula>
    </cfRule>
  </conditionalFormatting>
  <conditionalFormatting sqref="FE13:FE17">
    <cfRule type="cellIs" priority="136" operator="lessThan" dxfId="0">
      <formula>5</formula>
    </cfRule>
  </conditionalFormatting>
  <conditionalFormatting sqref="FE18:FE22">
    <cfRule type="cellIs" priority="130" operator="lessThan" dxfId="0">
      <formula>5</formula>
    </cfRule>
  </conditionalFormatting>
  <conditionalFormatting sqref="FE25:FE26">
    <cfRule type="cellIs" priority="112" operator="lessThan" dxfId="0">
      <formula>5</formula>
    </cfRule>
  </conditionalFormatting>
  <conditionalFormatting sqref="FF7:FF8">
    <cfRule type="cellIs" priority="147" operator="lessThan" dxfId="0">
      <formula>5</formula>
    </cfRule>
  </conditionalFormatting>
  <conditionalFormatting sqref="FF9:FF12">
    <cfRule type="cellIs" priority="141" operator="lessThan" dxfId="0">
      <formula>5</formula>
    </cfRule>
  </conditionalFormatting>
  <conditionalFormatting sqref="FF13:FF17">
    <cfRule type="cellIs" priority="135" operator="lessThan" dxfId="0">
      <formula>5</formula>
    </cfRule>
  </conditionalFormatting>
  <conditionalFormatting sqref="FF18:FF22">
    <cfRule type="cellIs" priority="129" operator="lessThan" dxfId="0">
      <formula>5</formula>
    </cfRule>
  </conditionalFormatting>
  <conditionalFormatting sqref="FF25:FF26">
    <cfRule type="cellIs" priority="111" operator="lessThan" dxfId="0">
      <formula>5</formula>
    </cfRule>
  </conditionalFormatting>
  <conditionalFormatting sqref="FG7:FG8">
    <cfRule type="cellIs" priority="146" operator="lessThan" dxfId="0">
      <formula>5</formula>
    </cfRule>
  </conditionalFormatting>
  <conditionalFormatting sqref="FG9:FG12">
    <cfRule type="cellIs" priority="140" operator="lessThan" dxfId="0">
      <formula>5</formula>
    </cfRule>
  </conditionalFormatting>
  <conditionalFormatting sqref="FG13:FG17">
    <cfRule type="cellIs" priority="134" operator="lessThan" dxfId="0">
      <formula>5</formula>
    </cfRule>
  </conditionalFormatting>
  <conditionalFormatting sqref="FG18:FG22">
    <cfRule type="cellIs" priority="128" operator="lessThan" dxfId="0">
      <formula>5</formula>
    </cfRule>
  </conditionalFormatting>
  <conditionalFormatting sqref="FG25:FG26">
    <cfRule type="cellIs" priority="110" operator="lessThan" dxfId="0">
      <formula>5</formula>
    </cfRule>
  </conditionalFormatting>
  <conditionalFormatting sqref="HC7:HC26">
    <cfRule type="cellIs" priority="202" operator="lessThan" dxfId="0">
      <formula>5</formula>
    </cfRule>
  </conditionalFormatting>
  <conditionalFormatting sqref="E27:N27 P27:AQ27 AE7:AO26 AU7:BY26 AU27:DP27 CB7:CQ26 CS7:CU26 DF7:DI8 DF9:DH24 DG25:DH26 DK7:DO8 DK9:DN26 GN7:GO26 GN27:GW27 GQ7:GV26">
    <cfRule type="cellIs" priority="210" operator="lessThan" dxfId="0">
      <formula>5</formula>
    </cfRule>
  </conditionalFormatting>
  <conditionalFormatting sqref="BZ7:CA26">
    <cfRule type="cellIs" priority="109" operator="lessThan" dxfId="0">
      <formula>5</formula>
    </cfRule>
  </conditionalFormatting>
  <conditionalFormatting sqref="CV7:CZ26">
    <cfRule type="cellIs" priority="177" operator="lessThan" dxfId="0">
      <formula>5</formula>
    </cfRule>
  </conditionalFormatting>
  <conditionalFormatting sqref="DA7:DE26">
    <cfRule type="cellIs" priority="176" operator="lessThan" dxfId="0">
      <formula>5</formula>
    </cfRule>
  </conditionalFormatting>
  <conditionalFormatting sqref="EJ7:EO26 EJ27:ET27 EV7:FA27">
    <cfRule type="cellIs" priority="209" operator="lessThan" dxfId="0">
      <formula>5</formula>
    </cfRule>
  </conditionalFormatting>
  <conditionalFormatting sqref="EE7:EF26 EE27:EI27 EH7:EI26">
    <cfRule type="cellIs" priority="205" operator="lessThan" dxfId="0">
      <formula>5</formula>
    </cfRule>
  </conditionalFormatting>
  <conditionalFormatting sqref="EP7:ET8">
    <cfRule type="cellIs" priority="158" operator="lessThan" dxfId="0">
      <formula>5</formula>
    </cfRule>
  </conditionalFormatting>
  <conditionalFormatting sqref="GX7:GZ26 GX27:HC27">
    <cfRule type="cellIs" priority="206" operator="lessThan" dxfId="0">
      <formula>5</formula>
    </cfRule>
  </conditionalFormatting>
  <conditionalFormatting sqref="HA7:HB26">
    <cfRule type="cellIs" priority="203" operator="lessThan" dxfId="0">
      <formula>5</formula>
    </cfRule>
  </conditionalFormatting>
  <conditionalFormatting sqref="HD7:HG26">
    <cfRule type="cellIs" priority="204" operator="lessThan" dxfId="0">
      <formula>5</formula>
    </cfRule>
  </conditionalFormatting>
  <conditionalFormatting sqref="EP9:ET12">
    <cfRule type="cellIs" priority="157" operator="lessThan" dxfId="0">
      <formula>5</formula>
    </cfRule>
  </conditionalFormatting>
  <conditionalFormatting sqref="EP13:ET17">
    <cfRule type="cellIs" priority="156" operator="lessThan" dxfId="0">
      <formula>5</formula>
    </cfRule>
  </conditionalFormatting>
  <conditionalFormatting sqref="EP18:ET22">
    <cfRule type="cellIs" priority="155" operator="lessThan" dxfId="0">
      <formula>5</formula>
    </cfRule>
  </conditionalFormatting>
  <conditionalFormatting sqref="EP25:ET26">
    <cfRule type="cellIs" priority="152" operator="lessThan" dxfId="0">
      <formula>5</formula>
    </cfRule>
  </conditionalFormatting>
  <conditionalFormatting sqref="FB27 FD27:FG27">
    <cfRule type="cellIs" priority="208" operator="lessThan" dxfId="0">
      <formula>5</formula>
    </cfRule>
  </conditionalFormatting>
  <conditionalFormatting sqref="E7:E26">
    <cfRule type="cellIs" priority="48" operator="lessThan" dxfId="0">
      <formula>5</formula>
    </cfRule>
  </conditionalFormatting>
  <conditionalFormatting sqref="G7:J26">
    <cfRule type="cellIs" priority="47" operator="lessThan" dxfId="0">
      <formula>5</formula>
    </cfRule>
  </conditionalFormatting>
  <conditionalFormatting sqref="F7:F26">
    <cfRule type="cellIs" priority="46" operator="lessThan" dxfId="0">
      <formula>5</formula>
    </cfRule>
  </conditionalFormatting>
  <conditionalFormatting sqref="K8">
    <cfRule type="cellIs" priority="44" operator="lessThan" dxfId="0">
      <formula>5</formula>
    </cfRule>
  </conditionalFormatting>
  <conditionalFormatting sqref="K9">
    <cfRule type="cellIs" priority="43" operator="lessThan" dxfId="0">
      <formula>5</formula>
    </cfRule>
  </conditionalFormatting>
  <conditionalFormatting sqref="K10">
    <cfRule type="cellIs" priority="42" operator="lessThan" dxfId="0">
      <formula>5</formula>
    </cfRule>
  </conditionalFormatting>
  <conditionalFormatting sqref="K11">
    <cfRule type="cellIs" priority="41" operator="lessThan" dxfId="0">
      <formula>5</formula>
    </cfRule>
  </conditionalFormatting>
  <conditionalFormatting sqref="K12">
    <cfRule type="cellIs" priority="40" operator="lessThan" dxfId="0">
      <formula>5</formula>
    </cfRule>
  </conditionalFormatting>
  <conditionalFormatting sqref="K13">
    <cfRule type="cellIs" priority="39" operator="lessThan" dxfId="0">
      <formula>5</formula>
    </cfRule>
  </conditionalFormatting>
  <conditionalFormatting sqref="K14">
    <cfRule type="cellIs" priority="38" operator="lessThan" dxfId="0">
      <formula>5</formula>
    </cfRule>
  </conditionalFormatting>
  <conditionalFormatting sqref="K15">
    <cfRule type="cellIs" priority="37" operator="lessThan" dxfId="0">
      <formula>5</formula>
    </cfRule>
  </conditionalFormatting>
  <conditionalFormatting sqref="K16">
    <cfRule type="cellIs" priority="36" operator="lessThan" dxfId="0">
      <formula>5</formula>
    </cfRule>
  </conditionalFormatting>
  <conditionalFormatting sqref="K17">
    <cfRule type="cellIs" priority="35" operator="lessThan" dxfId="0">
      <formula>5</formula>
    </cfRule>
  </conditionalFormatting>
  <conditionalFormatting sqref="K18">
    <cfRule type="cellIs" priority="34" operator="lessThan" dxfId="0">
      <formula>5</formula>
    </cfRule>
  </conditionalFormatting>
  <conditionalFormatting sqref="K19">
    <cfRule type="cellIs" priority="33" operator="lessThan" dxfId="0">
      <formula>5</formula>
    </cfRule>
  </conditionalFormatting>
  <conditionalFormatting sqref="K20">
    <cfRule type="cellIs" priority="32" operator="lessThan" dxfId="0">
      <formula>5</formula>
    </cfRule>
  </conditionalFormatting>
  <conditionalFormatting sqref="K21">
    <cfRule type="cellIs" priority="31" operator="lessThan" dxfId="0">
      <formula>5</formula>
    </cfRule>
  </conditionalFormatting>
  <conditionalFormatting sqref="K22">
    <cfRule type="cellIs" priority="30" operator="lessThan" dxfId="0">
      <formula>5</formula>
    </cfRule>
  </conditionalFormatting>
  <conditionalFormatting sqref="K23">
    <cfRule type="cellIs" priority="29" operator="lessThan" dxfId="0">
      <formula>5</formula>
    </cfRule>
  </conditionalFormatting>
  <conditionalFormatting sqref="K24">
    <cfRule type="cellIs" priority="28" operator="lessThan" dxfId="0">
      <formula>5</formula>
    </cfRule>
  </conditionalFormatting>
  <conditionalFormatting sqref="K25">
    <cfRule type="cellIs" priority="27" operator="lessThan" dxfId="0">
      <formula>5</formula>
    </cfRule>
  </conditionalFormatting>
  <conditionalFormatting sqref="K7">
    <cfRule type="cellIs" priority="45" operator="lessThan" dxfId="0">
      <formula>5</formula>
    </cfRule>
  </conditionalFormatting>
  <conditionalFormatting sqref="V7:W7 V23:W23 V26:W26 W24:W25">
    <cfRule type="cellIs" priority="3" operator="lessThan" dxfId="0">
      <formula>5</formula>
    </cfRule>
  </conditionalFormatting>
  <conditionalFormatting sqref="Y7:AB7">
    <cfRule type="cellIs" priority="2" operator="lessThan" dxfId="0">
      <formula>5</formula>
    </cfRule>
  </conditionalFormatting>
  <conditionalFormatting sqref="AC7:AD26">
    <cfRule type="cellIs" priority="1" operator="lessThan" dxfId="0"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Y31"/>
  <sheetViews>
    <sheetView tabSelected="1" zoomScale="39" zoomScaleNormal="40" workbookViewId="0">
      <pane xSplit="4" topLeftCell="CN1" activePane="topRight" state="frozen"/>
      <selection pane="topRight" activeCell="BG9" sqref="BG9"/>
    </sheetView>
  </sheetViews>
  <sheetFormatPr baseColWidth="8" defaultColWidth="9.125" defaultRowHeight="13.5" customHeight="1"/>
  <cols>
    <col width="7.25" customWidth="1" style="590" min="2" max="2"/>
    <col width="24.625" customWidth="1" style="590" min="3" max="3"/>
    <col width="26.875" customWidth="1" style="590" min="4" max="4"/>
    <col width="9.125" customWidth="1" style="590" min="5" max="8"/>
    <col width="7" customWidth="1" style="590" min="9" max="10"/>
    <col width="8.875" customWidth="1" style="590" min="11" max="11"/>
    <col width="9.125" customWidth="1" style="590" min="12" max="24"/>
    <col width="18.125" bestFit="1" customWidth="1" style="590" min="37" max="37"/>
    <col width="21.25" customWidth="1" style="590" min="38" max="38"/>
    <col width="18.125" customWidth="1" style="590" min="39" max="39"/>
  </cols>
  <sheetData>
    <row r="1" ht="25.5" customHeight="1" s="590">
      <c r="A1" s="337" t="inlineStr">
        <is>
          <t>Batch  Spring 2025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385" t="inlineStr">
        <is>
          <t>Assessment of GA's</t>
        </is>
      </c>
      <c r="HO1" s="344" t="inlineStr">
        <is>
          <t>Attainment of GAs</t>
        </is>
      </c>
      <c r="HP1" s="335" t="inlineStr">
        <is>
          <t>Attainment of Graduate Attribute</t>
        </is>
      </c>
    </row>
    <row r="2" ht="24" customHeight="1" s="590">
      <c r="B2" s="338" t="inlineStr">
        <is>
          <t>Sr. No.</t>
        </is>
      </c>
      <c r="C2" s="341" t="n"/>
      <c r="D2" s="341" t="inlineStr">
        <is>
          <t>Student Name</t>
        </is>
      </c>
      <c r="E2" s="420" t="inlineStr">
        <is>
          <t>Semester 1</t>
        </is>
      </c>
      <c r="F2" s="595" t="n"/>
      <c r="G2" s="595" t="n"/>
      <c r="H2" s="595" t="n"/>
      <c r="I2" s="595" t="n"/>
      <c r="J2" s="595" t="n"/>
      <c r="K2" s="595" t="n"/>
      <c r="L2" s="595" t="n"/>
      <c r="M2" s="595" t="n"/>
      <c r="N2" s="595" t="n"/>
      <c r="O2" s="595" t="n"/>
      <c r="P2" s="595" t="n"/>
      <c r="Q2" s="595" t="n"/>
      <c r="R2" s="595" t="n"/>
      <c r="S2" s="595" t="n"/>
      <c r="T2" s="595" t="n"/>
      <c r="U2" s="595" t="n"/>
      <c r="V2" s="595" t="n"/>
      <c r="W2" s="595" t="n"/>
      <c r="X2" s="595" t="n"/>
      <c r="Y2" s="595" t="n"/>
      <c r="Z2" s="595" t="n"/>
      <c r="AA2" s="423" t="inlineStr">
        <is>
          <t>Semester 2</t>
        </is>
      </c>
      <c r="AB2" s="598" t="n"/>
      <c r="AC2" s="598" t="n"/>
      <c r="AD2" s="598" t="n"/>
      <c r="AE2" s="598" t="n"/>
      <c r="AF2" s="598" t="n"/>
      <c r="AG2" s="598" t="n"/>
      <c r="AH2" s="598" t="n"/>
      <c r="AI2" s="598" t="n"/>
      <c r="AJ2" s="598" t="n"/>
      <c r="AK2" s="598" t="n"/>
      <c r="AL2" s="598" t="n"/>
      <c r="AM2" s="598" t="n"/>
      <c r="AN2" s="598" t="n"/>
      <c r="AO2" s="598" t="n"/>
      <c r="AP2" s="598" t="n"/>
      <c r="AQ2" s="598" t="n"/>
      <c r="AR2" s="598" t="n"/>
      <c r="AS2" s="598" t="n"/>
      <c r="AT2" s="598" t="n"/>
      <c r="AU2" s="598" t="n"/>
      <c r="AV2" s="598" t="n"/>
      <c r="AW2" s="598" t="n"/>
      <c r="AX2" s="598" t="n"/>
      <c r="AY2" s="426" t="inlineStr">
        <is>
          <t>Semester 3</t>
        </is>
      </c>
      <c r="AZ2" s="600" t="n"/>
      <c r="BA2" s="600" t="n"/>
      <c r="BB2" s="600" t="n"/>
      <c r="BC2" s="600" t="n"/>
      <c r="BD2" s="600" t="n"/>
      <c r="BE2" s="600" t="n"/>
      <c r="BF2" s="600" t="n"/>
      <c r="BG2" s="600" t="n"/>
      <c r="BH2" s="600" t="n"/>
      <c r="BI2" s="600" t="n"/>
      <c r="BJ2" s="600" t="n"/>
      <c r="BK2" s="600" t="n"/>
      <c r="BL2" s="600" t="n"/>
      <c r="BM2" s="600" t="n"/>
      <c r="BN2" s="600" t="n"/>
      <c r="BO2" s="600" t="n"/>
      <c r="BP2" s="600" t="n"/>
      <c r="BQ2" s="600" t="n"/>
      <c r="BR2" s="600" t="n"/>
      <c r="BS2" s="600" t="n"/>
      <c r="BT2" s="600" t="n"/>
      <c r="BU2" s="600" t="n"/>
      <c r="BV2" s="428" t="inlineStr">
        <is>
          <t>Semester 4</t>
        </is>
      </c>
      <c r="BW2" s="603" t="n"/>
      <c r="BX2" s="603" t="n"/>
      <c r="BY2" s="603" t="n"/>
      <c r="BZ2" s="603" t="n"/>
      <c r="CA2" s="603" t="n"/>
      <c r="CB2" s="603" t="n"/>
      <c r="CC2" s="603" t="n"/>
      <c r="CD2" s="603" t="n"/>
      <c r="CE2" s="603" t="n"/>
      <c r="CF2" s="603" t="n"/>
      <c r="CG2" s="603" t="n"/>
      <c r="CH2" s="603" t="n"/>
      <c r="CI2" s="603" t="n"/>
      <c r="CJ2" s="603" t="n"/>
      <c r="CK2" s="603" t="n"/>
      <c r="CL2" s="603" t="n"/>
      <c r="CM2" s="603" t="n"/>
      <c r="CN2" s="603" t="n"/>
      <c r="CO2" s="603" t="n"/>
      <c r="CP2" s="603" t="n"/>
      <c r="CQ2" s="387" t="inlineStr">
        <is>
          <t>Semester 5</t>
        </is>
      </c>
      <c r="DZ2" s="388" t="inlineStr">
        <is>
          <t>Semester 6</t>
        </is>
      </c>
      <c r="EW2" s="388" t="n"/>
      <c r="EX2" s="388" t="n"/>
      <c r="EY2" s="388" t="n"/>
      <c r="EZ2" s="388" t="n"/>
      <c r="FA2" s="388" t="n"/>
      <c r="FB2" s="388" t="n"/>
      <c r="FC2" s="389" t="inlineStr">
        <is>
          <t>Semester 7</t>
        </is>
      </c>
      <c r="FD2" s="605" t="n"/>
      <c r="FE2" s="605" t="n"/>
      <c r="FF2" s="605" t="n"/>
      <c r="FG2" s="605" t="n"/>
      <c r="FH2" s="605" t="n"/>
      <c r="FI2" s="605" t="n"/>
      <c r="FJ2" s="605" t="n"/>
      <c r="FK2" s="605" t="n"/>
      <c r="FL2" s="605" t="n"/>
      <c r="FM2" s="605" t="n"/>
      <c r="FN2" s="605" t="n"/>
      <c r="FO2" s="605" t="n"/>
      <c r="FP2" s="605" t="n"/>
      <c r="FQ2" s="605" t="n"/>
      <c r="FR2" s="605" t="n"/>
      <c r="FS2" s="605" t="n"/>
      <c r="FT2" s="605" t="n"/>
      <c r="FU2" s="605" t="n"/>
      <c r="FV2" s="605" t="n"/>
      <c r="FW2" s="605" t="n"/>
      <c r="FX2" s="605" t="n"/>
      <c r="FY2" s="605" t="n"/>
      <c r="FZ2" s="605" t="n"/>
      <c r="GA2" s="3" t="n"/>
      <c r="GB2" s="3" t="n"/>
      <c r="GC2" s="3" t="n"/>
      <c r="GD2" s="3" t="n"/>
      <c r="GE2" s="3" t="n"/>
      <c r="GF2" s="3" t="n"/>
      <c r="GG2" s="3" t="n"/>
      <c r="GH2" s="3" t="n"/>
      <c r="GI2" s="390" t="inlineStr">
        <is>
          <t>Semester - 8</t>
        </is>
      </c>
      <c r="HO2" s="606" t="n"/>
    </row>
    <row r="3" ht="35.1" customHeight="1" s="590">
      <c r="B3" s="606" t="n"/>
      <c r="C3" s="342" t="n"/>
      <c r="D3" s="608" t="n"/>
      <c r="E3" s="431" t="inlineStr">
        <is>
          <t>Application of information &amp; Communication Technologies</t>
        </is>
      </c>
      <c r="F3" s="609" t="n"/>
      <c r="G3" s="609" t="n"/>
      <c r="H3" s="609" t="n"/>
      <c r="I3" s="433" t="inlineStr">
        <is>
          <t>Applied Physics</t>
        </is>
      </c>
      <c r="J3" s="609" t="n"/>
      <c r="K3" s="609" t="n"/>
      <c r="L3" s="609" t="n"/>
      <c r="M3" s="609" t="n"/>
      <c r="N3" s="435" t="inlineStr">
        <is>
          <t>Programming Fundamentals</t>
        </is>
      </c>
      <c r="O3" s="609" t="n"/>
      <c r="P3" s="609" t="n"/>
      <c r="Q3" s="609" t="n"/>
      <c r="R3" s="609" t="n"/>
      <c r="S3" s="438" t="inlineStr">
        <is>
          <t>Calculus and Analytic Geometry</t>
        </is>
      </c>
      <c r="T3" s="609" t="n"/>
      <c r="U3" s="609" t="n"/>
      <c r="V3" s="441" t="inlineStr">
        <is>
          <t>Functional English</t>
        </is>
      </c>
      <c r="W3" s="609" t="n"/>
      <c r="X3" s="609" t="n"/>
      <c r="Y3" s="443" t="inlineStr">
        <is>
          <t>Islamic Studies</t>
        </is>
      </c>
      <c r="Z3" s="598" t="n"/>
      <c r="AA3" s="445" t="inlineStr">
        <is>
          <t>Expository Writing</t>
        </is>
      </c>
      <c r="AB3" s="607" t="n"/>
      <c r="AC3" s="607" t="n"/>
      <c r="AD3" s="447" t="inlineStr">
        <is>
          <t>Object Oriented Programming</t>
        </is>
      </c>
      <c r="AE3" s="607" t="n"/>
      <c r="AF3" s="607" t="n"/>
      <c r="AG3" s="607" t="n"/>
      <c r="AH3" s="607" t="n"/>
      <c r="AI3" s="607" t="n"/>
      <c r="AJ3" s="607" t="n"/>
      <c r="AK3" s="462" t="inlineStr">
        <is>
          <t>Discreate Structures</t>
        </is>
      </c>
      <c r="AL3" s="465" t="inlineStr">
        <is>
          <t xml:space="preserve">Ideology and Constitution of Pakistan </t>
        </is>
      </c>
      <c r="AM3" s="607" t="n"/>
      <c r="AN3" s="466" t="inlineStr">
        <is>
          <t>Digital Logic Design</t>
        </is>
      </c>
      <c r="AO3" s="607" t="n"/>
      <c r="AP3" s="607" t="n"/>
      <c r="AQ3" s="607" t="n"/>
      <c r="AR3" s="607" t="n"/>
      <c r="AS3" s="607" t="n"/>
      <c r="AT3" s="607" t="n"/>
      <c r="AU3" s="469" t="inlineStr">
        <is>
          <t>Multi Variable Calculus</t>
        </is>
      </c>
      <c r="AV3" s="607" t="n"/>
      <c r="AW3" s="607" t="n"/>
      <c r="AX3" s="607" t="n"/>
      <c r="AY3" s="472" t="inlineStr">
        <is>
          <t>Data Structures</t>
        </is>
      </c>
      <c r="AZ3" s="609" t="n"/>
      <c r="BA3" s="609" t="n"/>
      <c r="BB3" s="475" t="inlineStr">
        <is>
          <t>Computer Organization &amp; Assembly Language</t>
        </is>
      </c>
      <c r="BC3" s="609" t="n"/>
      <c r="BD3" s="609" t="n"/>
      <c r="BE3" s="448" t="inlineStr">
        <is>
          <t>Introduction to Artificial Intelligence</t>
        </is>
      </c>
      <c r="BF3" s="609" t="n"/>
      <c r="BG3" s="609" t="n"/>
      <c r="BH3" s="451" t="inlineStr">
        <is>
          <t>Computer Network</t>
        </is>
      </c>
      <c r="BI3" s="609" t="n"/>
      <c r="BJ3" s="609" t="n"/>
      <c r="BK3" s="609" t="n"/>
      <c r="BL3" s="609" t="n"/>
      <c r="BM3" s="609" t="n"/>
      <c r="BN3" s="609" t="n"/>
      <c r="BO3" s="451" t="inlineStr">
        <is>
          <t>Probability &amp; Statistics</t>
        </is>
      </c>
      <c r="BP3" s="609" t="n"/>
      <c r="BQ3" s="609" t="n"/>
      <c r="BR3" s="609" t="n"/>
      <c r="BS3" s="609" t="n"/>
      <c r="BT3" s="609" t="n"/>
      <c r="BU3" s="609" t="n"/>
      <c r="BV3" s="454" t="inlineStr">
        <is>
          <t>Design Analysis of Algorithms</t>
        </is>
      </c>
      <c r="BW3" s="623" t="n"/>
      <c r="BX3" s="623" t="n"/>
      <c r="BY3" s="623" t="n"/>
      <c r="BZ3" s="623" t="n"/>
      <c r="CA3" s="623" t="n"/>
      <c r="CB3" s="457" t="inlineStr">
        <is>
          <t>Data Structures and Algorithms</t>
        </is>
      </c>
      <c r="CC3" s="623" t="n"/>
      <c r="CD3" s="623" t="n"/>
      <c r="CE3" s="623" t="n"/>
      <c r="CF3" s="460" t="inlineStr">
        <is>
          <t>Applied Statistics</t>
        </is>
      </c>
      <c r="CG3" s="623" t="n"/>
      <c r="CH3" s="623" t="n"/>
      <c r="CI3" s="623" t="n"/>
      <c r="CJ3" s="623" t="n"/>
      <c r="CK3" s="484" t="inlineStr">
        <is>
          <t xml:space="preserve">Software Engineering </t>
        </is>
      </c>
      <c r="CL3" s="623" t="n"/>
      <c r="CM3" s="623" t="n"/>
      <c r="CN3" s="478" t="inlineStr">
        <is>
          <t>World History</t>
        </is>
      </c>
      <c r="CO3" s="623" t="n"/>
      <c r="CP3" s="623" t="n"/>
      <c r="CQ3" s="391" t="inlineStr">
        <is>
          <t>Artificial Intelligence</t>
        </is>
      </c>
      <c r="CR3" s="598" t="n"/>
      <c r="CS3" s="598" t="n"/>
      <c r="CT3" s="598" t="n"/>
      <c r="CU3" s="598" t="n"/>
      <c r="CV3" s="329" t="inlineStr">
        <is>
          <t>Data Communication &amp; Computer Networks</t>
        </is>
      </c>
      <c r="CW3" s="598" t="n"/>
      <c r="CX3" s="598" t="n"/>
      <c r="CY3" s="598" t="n"/>
      <c r="CZ3" s="598" t="n"/>
      <c r="DA3" s="326" t="inlineStr">
        <is>
          <t>Continuous Discreate Optimization</t>
        </is>
      </c>
      <c r="DB3" s="598" t="n"/>
      <c r="DC3" s="598" t="n"/>
      <c r="DD3" s="598" t="n"/>
      <c r="DE3" s="631" t="n"/>
      <c r="DF3" s="323" t="inlineStr">
        <is>
          <t>Data Base Management Systems</t>
        </is>
      </c>
      <c r="DG3" s="598" t="n"/>
      <c r="DH3" s="598" t="n"/>
      <c r="DI3" s="598" t="n"/>
      <c r="DJ3" s="598" t="n"/>
      <c r="DK3" s="598" t="n"/>
      <c r="DL3" s="326" t="inlineStr">
        <is>
          <t>Introduction to Python Lab</t>
        </is>
      </c>
      <c r="DM3" s="598" t="n"/>
      <c r="DN3" s="598" t="n"/>
      <c r="DO3" s="598" t="n"/>
      <c r="DP3" s="598" t="n"/>
      <c r="DQ3" s="598" t="n"/>
      <c r="DR3" s="631" t="n"/>
      <c r="DS3" s="323" t="inlineStr">
        <is>
          <t>World Literature</t>
        </is>
      </c>
      <c r="DT3" s="598" t="n"/>
      <c r="DU3" s="598" t="n"/>
      <c r="DV3" s="598" t="n"/>
      <c r="DW3" s="598" t="n"/>
      <c r="DX3" s="598" t="n"/>
      <c r="DY3" s="598" t="n"/>
      <c r="DZ3" s="478" t="inlineStr">
        <is>
          <t>Machine Learning</t>
        </is>
      </c>
      <c r="EA3" s="623" t="n"/>
      <c r="EB3" s="623" t="n"/>
      <c r="EC3" s="623" t="n"/>
      <c r="ED3" s="623" t="n"/>
      <c r="EE3" s="481" t="inlineStr">
        <is>
          <t>Computer Vision</t>
        </is>
      </c>
      <c r="EF3" s="623" t="n"/>
      <c r="EG3" s="623" t="n"/>
      <c r="EH3" s="623" t="n"/>
      <c r="EI3" s="623" t="n"/>
      <c r="EJ3" s="623" t="n"/>
      <c r="EK3" s="369" t="inlineStr">
        <is>
          <t>Parallel and Distributed Computing</t>
        </is>
      </c>
      <c r="EL3" s="623" t="n"/>
      <c r="EM3" s="623" t="n"/>
      <c r="EN3" s="623" t="n"/>
      <c r="EO3" s="623" t="n"/>
      <c r="EP3" s="623" t="n"/>
      <c r="EQ3" s="394" t="inlineStr">
        <is>
          <t>Academic &amp; Professional Writing</t>
        </is>
      </c>
      <c r="ER3" s="623" t="n"/>
      <c r="ES3" s="623" t="n"/>
      <c r="ET3" s="397" t="inlineStr">
        <is>
          <t>Logical And Automated Reasoning</t>
        </is>
      </c>
      <c r="EU3" s="623" t="n"/>
      <c r="EV3" s="623" t="n"/>
      <c r="EW3" s="399" t="inlineStr">
        <is>
          <t>Data Visualization</t>
        </is>
      </c>
      <c r="EX3" s="623" t="n"/>
      <c r="EY3" s="623" t="n"/>
      <c r="EZ3" s="623" t="n"/>
      <c r="FA3" s="623" t="n"/>
      <c r="FB3" s="623" t="n"/>
      <c r="FC3" s="401" t="inlineStr">
        <is>
          <t>Artificial Intelligence</t>
        </is>
      </c>
      <c r="FD3" s="609" t="n"/>
      <c r="FE3" s="609" t="n"/>
      <c r="FF3" s="609" t="n"/>
      <c r="FG3" s="609" t="n"/>
      <c r="FH3" s="404" t="inlineStr">
        <is>
          <t>Philosophy and Critical Thinking</t>
        </is>
      </c>
      <c r="FI3" s="609" t="n"/>
      <c r="FJ3" s="406" t="inlineStr">
        <is>
          <t>Natural Language Processing</t>
        </is>
      </c>
      <c r="FK3" s="609" t="n"/>
      <c r="FL3" s="609" t="n"/>
      <c r="FM3" s="609" t="n"/>
      <c r="FN3" s="609" t="n"/>
      <c r="FO3" s="409" t="inlineStr">
        <is>
          <t>Final Year Project - I</t>
        </is>
      </c>
      <c r="FP3" s="609" t="n"/>
      <c r="FQ3" s="609" t="n"/>
      <c r="FR3" s="609" t="n"/>
      <c r="FS3" s="609" t="n"/>
      <c r="FT3" s="609" t="n"/>
      <c r="FU3" s="609" t="n"/>
      <c r="FV3" s="609" t="n"/>
      <c r="FW3" s="609" t="n"/>
      <c r="FX3" s="609" t="n"/>
      <c r="FY3" s="609" t="n"/>
      <c r="FZ3" s="609" t="n"/>
      <c r="GA3" s="377" t="inlineStr">
        <is>
          <t>Logical And Automated Reasoning</t>
        </is>
      </c>
      <c r="GB3" s="623" t="n"/>
      <c r="GC3" s="623" t="n"/>
      <c r="GD3" s="623" t="n"/>
      <c r="GE3" s="377" t="inlineStr">
        <is>
          <t>Philosophy and Critical Thinking</t>
        </is>
      </c>
      <c r="GF3" s="623" t="n"/>
      <c r="GG3" s="623" t="n"/>
      <c r="GH3" s="623" t="n"/>
      <c r="GI3" s="412" t="inlineStr">
        <is>
          <t>Deep Learning</t>
        </is>
      </c>
      <c r="GJ3" s="609" t="n"/>
      <c r="GK3" s="609" t="n"/>
      <c r="GL3" s="609" t="n"/>
      <c r="GM3" s="609" t="n"/>
      <c r="GN3" s="415" t="inlineStr">
        <is>
          <t>Artificial Intelligence for Robotics</t>
        </is>
      </c>
      <c r="GO3" s="609" t="n"/>
      <c r="GP3" s="609" t="n"/>
      <c r="GQ3" s="609" t="n"/>
      <c r="GR3" s="609" t="n"/>
      <c r="GS3" s="369" t="inlineStr">
        <is>
          <t>Sociology</t>
        </is>
      </c>
      <c r="GT3" s="623" t="n"/>
      <c r="GU3" s="623" t="n"/>
      <c r="GV3" s="374" t="inlineStr">
        <is>
          <t>Ethics and Social Responsibility</t>
        </is>
      </c>
      <c r="GW3" s="609" t="n"/>
      <c r="GX3" s="609" t="n"/>
      <c r="GY3" s="377" t="inlineStr">
        <is>
          <t>Philosophy and Critical Thinking</t>
        </is>
      </c>
      <c r="GZ3" s="623" t="n"/>
      <c r="HA3" s="623" t="n"/>
      <c r="HB3" s="623" t="n"/>
      <c r="HC3" s="380" t="inlineStr">
        <is>
          <t>Final Year Project - II</t>
        </is>
      </c>
      <c r="HD3" s="609" t="n"/>
      <c r="HE3" s="609" t="n"/>
      <c r="HF3" s="609" t="n"/>
      <c r="HG3" s="609" t="n"/>
      <c r="HH3" s="609" t="n"/>
      <c r="HI3" s="609" t="n"/>
      <c r="HJ3" s="609" t="n"/>
      <c r="HK3" s="609" t="n"/>
      <c r="HL3" s="609" t="n"/>
      <c r="HM3" s="609" t="n"/>
      <c r="HN3" s="609" t="n"/>
      <c r="HO3" s="606" t="n"/>
      <c r="HP3" s="109" t="n"/>
      <c r="HQ3" s="109" t="n"/>
      <c r="HR3" s="109" t="n"/>
      <c r="HS3" s="109" t="n"/>
      <c r="HT3" s="109" t="n"/>
      <c r="HU3" s="109" t="n"/>
      <c r="HV3" s="109" t="n"/>
      <c r="HW3" s="109" t="n"/>
      <c r="HX3" s="109" t="n"/>
      <c r="HY3" s="109" t="n"/>
    </row>
    <row r="4" ht="24" customHeight="1" s="590">
      <c r="B4" s="606" t="n"/>
      <c r="C4" s="342" t="n"/>
      <c r="D4" s="608" t="n"/>
      <c r="E4" s="110" t="inlineStr">
        <is>
          <t>CLO 1</t>
        </is>
      </c>
      <c r="F4" s="111" t="inlineStr">
        <is>
          <t>CLO 2</t>
        </is>
      </c>
      <c r="G4" s="112" t="inlineStr">
        <is>
          <t>CLO 1</t>
        </is>
      </c>
      <c r="H4" s="113" t="inlineStr">
        <is>
          <t>CLO 2</t>
        </is>
      </c>
      <c r="I4" s="110" t="inlineStr">
        <is>
          <t>CLO 1</t>
        </is>
      </c>
      <c r="J4" s="112" t="inlineStr">
        <is>
          <t>CLO 2</t>
        </is>
      </c>
      <c r="K4" s="112" t="inlineStr">
        <is>
          <t>CLO 3</t>
        </is>
      </c>
      <c r="L4" s="110" t="inlineStr">
        <is>
          <t>CLO 1</t>
        </is>
      </c>
      <c r="M4" s="113" t="inlineStr">
        <is>
          <t>CLO 2</t>
        </is>
      </c>
      <c r="N4" s="110" t="inlineStr">
        <is>
          <t>CLO 1</t>
        </is>
      </c>
      <c r="O4" s="111" t="inlineStr">
        <is>
          <t>CLO 2</t>
        </is>
      </c>
      <c r="P4" s="111" t="inlineStr">
        <is>
          <t>CLO 3</t>
        </is>
      </c>
      <c r="Q4" s="111" t="inlineStr">
        <is>
          <t>CLO1</t>
        </is>
      </c>
      <c r="R4" s="113" t="inlineStr">
        <is>
          <t>CLO2</t>
        </is>
      </c>
      <c r="S4" s="110" t="inlineStr">
        <is>
          <t>CLO 1</t>
        </is>
      </c>
      <c r="T4" s="111" t="inlineStr">
        <is>
          <t>CLO 2</t>
        </is>
      </c>
      <c r="U4" s="113" t="inlineStr">
        <is>
          <t>CLO 3</t>
        </is>
      </c>
      <c r="V4" s="110" t="inlineStr">
        <is>
          <t>CLO 1</t>
        </is>
      </c>
      <c r="W4" s="111" t="inlineStr">
        <is>
          <t>CLO 2</t>
        </is>
      </c>
      <c r="X4" s="113" t="inlineStr">
        <is>
          <t>CLO 4</t>
        </is>
      </c>
      <c r="Y4" s="122" t="inlineStr">
        <is>
          <t>CLO 1</t>
        </is>
      </c>
      <c r="Z4" s="122" t="inlineStr">
        <is>
          <t>CLO 3</t>
        </is>
      </c>
      <c r="AA4" s="110" t="inlineStr">
        <is>
          <t>CLO 1</t>
        </is>
      </c>
      <c r="AB4" s="112" t="inlineStr">
        <is>
          <t>CLO 2</t>
        </is>
      </c>
      <c r="AC4" s="113" t="inlineStr">
        <is>
          <t>CLO 3</t>
        </is>
      </c>
      <c r="AD4" s="111" t="inlineStr">
        <is>
          <t>CLO 1</t>
        </is>
      </c>
      <c r="AE4" s="111" t="inlineStr">
        <is>
          <t>CLO 2</t>
        </is>
      </c>
      <c r="AF4" s="111" t="inlineStr">
        <is>
          <t>CLO 3</t>
        </is>
      </c>
      <c r="AG4" s="111" t="inlineStr">
        <is>
          <t>CLO 1</t>
        </is>
      </c>
      <c r="AH4" s="112" t="inlineStr">
        <is>
          <t>CLO 1</t>
        </is>
      </c>
      <c r="AI4" s="209" t="inlineStr">
        <is>
          <t>CLO 2</t>
        </is>
      </c>
      <c r="AJ4" s="209" t="inlineStr">
        <is>
          <t>CLO 3</t>
        </is>
      </c>
      <c r="AK4" s="7" t="inlineStr">
        <is>
          <t>CLO 3</t>
        </is>
      </c>
      <c r="AL4" s="111" t="inlineStr">
        <is>
          <t>CLO 1</t>
        </is>
      </c>
      <c r="AM4" s="111" t="inlineStr">
        <is>
          <t>CLO 2</t>
        </is>
      </c>
      <c r="AN4" s="110" t="inlineStr">
        <is>
          <t>CLO 1</t>
        </is>
      </c>
      <c r="AO4" s="111" t="inlineStr">
        <is>
          <t>CLO 2</t>
        </is>
      </c>
      <c r="AP4" s="111" t="inlineStr">
        <is>
          <t>CLO 3</t>
        </is>
      </c>
      <c r="AQ4" s="111" t="inlineStr">
        <is>
          <t>CLO 1</t>
        </is>
      </c>
      <c r="AR4" s="113" t="inlineStr">
        <is>
          <t>CLO 2</t>
        </is>
      </c>
      <c r="AS4" s="112" t="inlineStr">
        <is>
          <t>CLO 3</t>
        </is>
      </c>
      <c r="AT4" s="113" t="inlineStr">
        <is>
          <t>CLO 4</t>
        </is>
      </c>
      <c r="AU4" s="110" t="inlineStr">
        <is>
          <t>CLO 1</t>
        </is>
      </c>
      <c r="AV4" s="111" t="inlineStr">
        <is>
          <t>CLO 2</t>
        </is>
      </c>
      <c r="AW4" s="111" t="inlineStr">
        <is>
          <t>CLO 3</t>
        </is>
      </c>
      <c r="AX4" s="111" t="inlineStr">
        <is>
          <t>CLO 4</t>
        </is>
      </c>
      <c r="AY4" s="110" t="inlineStr">
        <is>
          <t>CLO 1</t>
        </is>
      </c>
      <c r="AZ4" s="111" t="inlineStr">
        <is>
          <t>CLO 2</t>
        </is>
      </c>
      <c r="BA4" s="113" t="inlineStr">
        <is>
          <t>CLO 3</t>
        </is>
      </c>
      <c r="BB4" s="110" t="inlineStr">
        <is>
          <t>CLO 1</t>
        </is>
      </c>
      <c r="BC4" s="111" t="inlineStr">
        <is>
          <t>CLO 2</t>
        </is>
      </c>
      <c r="BD4" s="113" t="inlineStr">
        <is>
          <t>CLO 3</t>
        </is>
      </c>
      <c r="BE4" s="110" t="inlineStr">
        <is>
          <t>CLO 1</t>
        </is>
      </c>
      <c r="BF4" s="111" t="inlineStr">
        <is>
          <t>CLO 2</t>
        </is>
      </c>
      <c r="BG4" s="113" t="inlineStr">
        <is>
          <t>CLO 3</t>
        </is>
      </c>
      <c r="BH4" s="110" t="inlineStr">
        <is>
          <t>CLO 1</t>
        </is>
      </c>
      <c r="BI4" s="111" t="inlineStr">
        <is>
          <t>CLO 2</t>
        </is>
      </c>
      <c r="BJ4" s="111" t="inlineStr">
        <is>
          <t>CLO 3</t>
        </is>
      </c>
      <c r="BK4" s="111" t="inlineStr">
        <is>
          <t>CLO 4</t>
        </is>
      </c>
      <c r="BL4" s="111" t="inlineStr">
        <is>
          <t>CLO 5</t>
        </is>
      </c>
      <c r="BM4" s="111" t="inlineStr">
        <is>
          <t>CLO 6</t>
        </is>
      </c>
      <c r="BN4" s="113" t="inlineStr">
        <is>
          <t>CLO 7</t>
        </is>
      </c>
      <c r="BO4" s="110" t="inlineStr">
        <is>
          <t>CLO 1</t>
        </is>
      </c>
      <c r="BP4" s="111" t="inlineStr">
        <is>
          <t>CLO 2</t>
        </is>
      </c>
      <c r="BQ4" s="110" t="inlineStr">
        <is>
          <t>CLO 3</t>
        </is>
      </c>
      <c r="BR4" s="111" t="inlineStr">
        <is>
          <t>CLO 4</t>
        </is>
      </c>
      <c r="BS4" s="111" t="inlineStr">
        <is>
          <t>CLO 5</t>
        </is>
      </c>
      <c r="BT4" s="111" t="inlineStr">
        <is>
          <t>CLO 1</t>
        </is>
      </c>
      <c r="BU4" s="7" t="inlineStr">
        <is>
          <t>CLO 2</t>
        </is>
      </c>
      <c r="BV4" s="132" t="inlineStr">
        <is>
          <t>CLO 1</t>
        </is>
      </c>
      <c r="BW4" s="110" t="inlineStr">
        <is>
          <t>CLO 2</t>
        </is>
      </c>
      <c r="BX4" s="110" t="inlineStr">
        <is>
          <t>CLO 3</t>
        </is>
      </c>
      <c r="BY4" s="110" t="inlineStr">
        <is>
          <t>CLO 4</t>
        </is>
      </c>
      <c r="BZ4" s="110" t="inlineStr">
        <is>
          <t>CLO 5</t>
        </is>
      </c>
      <c r="CA4" s="6" t="inlineStr">
        <is>
          <t>CLO 6</t>
        </is>
      </c>
      <c r="CB4" s="5" t="inlineStr">
        <is>
          <t>CLO 1</t>
        </is>
      </c>
      <c r="CC4" s="6" t="inlineStr">
        <is>
          <t>CLO 2</t>
        </is>
      </c>
      <c r="CD4" s="6" t="inlineStr">
        <is>
          <t>CLO 3</t>
        </is>
      </c>
      <c r="CE4" s="6" t="inlineStr">
        <is>
          <t>CLO 4</t>
        </is>
      </c>
      <c r="CF4" s="5" t="inlineStr">
        <is>
          <t>CLO 1</t>
        </is>
      </c>
      <c r="CG4" s="6" t="inlineStr">
        <is>
          <t>CLO 2</t>
        </is>
      </c>
      <c r="CH4" s="6" t="inlineStr">
        <is>
          <t>CLO 3</t>
        </is>
      </c>
      <c r="CI4" s="6" t="inlineStr">
        <is>
          <t>CLO 1</t>
        </is>
      </c>
      <c r="CJ4" s="7" t="inlineStr">
        <is>
          <t>CLO 2</t>
        </is>
      </c>
      <c r="CK4" s="5" t="inlineStr">
        <is>
          <t>CLO 1</t>
        </is>
      </c>
      <c r="CL4" s="6" t="inlineStr">
        <is>
          <t>CLO 2</t>
        </is>
      </c>
      <c r="CM4" s="6" t="inlineStr">
        <is>
          <t>CLO 3</t>
        </is>
      </c>
      <c r="CN4" s="5" t="inlineStr">
        <is>
          <t>CLO 1</t>
        </is>
      </c>
      <c r="CO4" s="6" t="inlineStr">
        <is>
          <t>CLO 2</t>
        </is>
      </c>
      <c r="CP4" s="6" t="inlineStr">
        <is>
          <t>CLO 3</t>
        </is>
      </c>
      <c r="CQ4" s="151" t="inlineStr">
        <is>
          <t>CLO1</t>
        </is>
      </c>
      <c r="CR4" s="152" t="inlineStr">
        <is>
          <t>CLO2</t>
        </is>
      </c>
      <c r="CS4" s="153" t="inlineStr">
        <is>
          <t>CLO 3</t>
        </is>
      </c>
      <c r="CT4" s="153" t="inlineStr">
        <is>
          <t>CLO 1</t>
        </is>
      </c>
      <c r="CU4" s="156" t="inlineStr">
        <is>
          <t>CLO 2</t>
        </is>
      </c>
      <c r="CV4" s="157" t="inlineStr">
        <is>
          <t>CLO 1</t>
        </is>
      </c>
      <c r="CW4" s="158" t="inlineStr">
        <is>
          <t>CLO 2</t>
        </is>
      </c>
      <c r="CX4" s="158" t="inlineStr">
        <is>
          <t>CLO 3</t>
        </is>
      </c>
      <c r="CY4" s="158" t="inlineStr">
        <is>
          <t>CLO 1</t>
        </is>
      </c>
      <c r="CZ4" s="159" t="inlineStr">
        <is>
          <t>CLO 2</t>
        </is>
      </c>
      <c r="DA4" s="151" t="inlineStr">
        <is>
          <t>CLO1</t>
        </is>
      </c>
      <c r="DB4" s="160" t="inlineStr">
        <is>
          <t>CLO2</t>
        </is>
      </c>
      <c r="DC4" s="160" t="inlineStr">
        <is>
          <t>CLO3</t>
        </is>
      </c>
      <c r="DD4" s="160" t="inlineStr">
        <is>
          <t>CLO1</t>
        </is>
      </c>
      <c r="DE4" s="160" t="inlineStr">
        <is>
          <t>CLO2</t>
        </is>
      </c>
      <c r="DF4" s="164" t="inlineStr">
        <is>
          <t>CLO1</t>
        </is>
      </c>
      <c r="DG4" s="164" t="inlineStr">
        <is>
          <t>CLO2</t>
        </is>
      </c>
      <c r="DH4" s="164" t="inlineStr">
        <is>
          <t>CLO3</t>
        </is>
      </c>
      <c r="DI4" s="164" t="inlineStr">
        <is>
          <t>CLO4</t>
        </is>
      </c>
      <c r="DJ4" s="165" t="inlineStr">
        <is>
          <t>CLO1</t>
        </is>
      </c>
      <c r="DK4" s="165" t="inlineStr">
        <is>
          <t>CLO2</t>
        </is>
      </c>
      <c r="DL4" s="160" t="inlineStr">
        <is>
          <t>CLO1</t>
        </is>
      </c>
      <c r="DM4" s="160" t="inlineStr">
        <is>
          <t>CLO2</t>
        </is>
      </c>
      <c r="DN4" s="160" t="inlineStr">
        <is>
          <t>CLO3</t>
        </is>
      </c>
      <c r="DO4" s="160" t="inlineStr">
        <is>
          <t>CLO4</t>
        </is>
      </c>
      <c r="DP4" s="160" t="inlineStr">
        <is>
          <t>CLO5</t>
        </is>
      </c>
      <c r="DQ4" s="160" t="inlineStr">
        <is>
          <t>CLO6</t>
        </is>
      </c>
      <c r="DR4" s="160" t="inlineStr">
        <is>
          <t>CLO7</t>
        </is>
      </c>
      <c r="DS4" s="164" t="inlineStr">
        <is>
          <t>CLO1</t>
        </is>
      </c>
      <c r="DT4" s="164" t="inlineStr">
        <is>
          <t>CLO2</t>
        </is>
      </c>
      <c r="DU4" s="164" t="inlineStr">
        <is>
          <t>CLO3</t>
        </is>
      </c>
      <c r="DV4" s="164" t="inlineStr">
        <is>
          <t>CLO4</t>
        </is>
      </c>
      <c r="DW4" s="164" t="inlineStr">
        <is>
          <t>CLO5</t>
        </is>
      </c>
      <c r="DX4" s="165" t="inlineStr">
        <is>
          <t>CLO6</t>
        </is>
      </c>
      <c r="DY4" s="165" t="inlineStr">
        <is>
          <t>CLO7</t>
        </is>
      </c>
      <c r="DZ4" s="138" t="inlineStr">
        <is>
          <t>CLO1</t>
        </is>
      </c>
      <c r="EA4" s="138" t="inlineStr">
        <is>
          <t>CLO2</t>
        </is>
      </c>
      <c r="EB4" s="138" t="inlineStr">
        <is>
          <t>CLO3</t>
        </is>
      </c>
      <c r="EC4" s="138" t="inlineStr">
        <is>
          <t>CLO1</t>
        </is>
      </c>
      <c r="ED4" s="138" t="inlineStr">
        <is>
          <t>CLO2</t>
        </is>
      </c>
      <c r="EE4" s="132" t="inlineStr">
        <is>
          <t>CLO1</t>
        </is>
      </c>
      <c r="EF4" s="132" t="inlineStr">
        <is>
          <t>CLO2</t>
        </is>
      </c>
      <c r="EG4" s="132" t="inlineStr">
        <is>
          <t>CLO3</t>
        </is>
      </c>
      <c r="EH4" s="132" t="inlineStr">
        <is>
          <t>CLO4</t>
        </is>
      </c>
      <c r="EI4" s="132" t="inlineStr">
        <is>
          <t>CLO5</t>
        </is>
      </c>
      <c r="EJ4" s="132" t="inlineStr">
        <is>
          <t>CLO6</t>
        </is>
      </c>
      <c r="EK4" s="40" t="inlineStr">
        <is>
          <t>CLO1</t>
        </is>
      </c>
      <c r="EL4" s="40" t="inlineStr">
        <is>
          <t>CLO 2</t>
        </is>
      </c>
      <c r="EM4" s="40" t="inlineStr">
        <is>
          <t>CLO 3</t>
        </is>
      </c>
      <c r="EN4" s="40" t="inlineStr">
        <is>
          <t>CLO 4</t>
        </is>
      </c>
      <c r="EO4" s="40" t="n"/>
      <c r="EP4" s="40" t="inlineStr">
        <is>
          <t>CLO3</t>
        </is>
      </c>
      <c r="EQ4" s="37" t="inlineStr">
        <is>
          <t>CLO1</t>
        </is>
      </c>
      <c r="ER4" s="37" t="inlineStr">
        <is>
          <t>CLO2</t>
        </is>
      </c>
      <c r="ES4" s="37" t="inlineStr">
        <is>
          <t>CLO7</t>
        </is>
      </c>
      <c r="ET4" s="132" t="inlineStr">
        <is>
          <t>CLO1</t>
        </is>
      </c>
      <c r="EU4" s="132" t="inlineStr">
        <is>
          <t>CLO2</t>
        </is>
      </c>
      <c r="EV4" s="132" t="inlineStr">
        <is>
          <t>CLO3</t>
        </is>
      </c>
      <c r="EW4" s="132" t="inlineStr">
        <is>
          <t>CLO1</t>
        </is>
      </c>
      <c r="EX4" s="132" t="inlineStr">
        <is>
          <t>CLO2</t>
        </is>
      </c>
      <c r="EY4" s="132" t="inlineStr">
        <is>
          <t>CLO3</t>
        </is>
      </c>
      <c r="EZ4" s="132" t="inlineStr">
        <is>
          <t>CLO4</t>
        </is>
      </c>
      <c r="FA4" s="146" t="inlineStr">
        <is>
          <t>CLO 1</t>
        </is>
      </c>
      <c r="FB4" s="146" t="inlineStr">
        <is>
          <t>CLO 2</t>
        </is>
      </c>
      <c r="FC4" s="69" t="inlineStr">
        <is>
          <t>CLO1</t>
        </is>
      </c>
      <c r="FD4" s="70" t="inlineStr">
        <is>
          <t>CLO2</t>
        </is>
      </c>
      <c r="FE4" s="71" t="inlineStr">
        <is>
          <t>CLO 3</t>
        </is>
      </c>
      <c r="FF4" s="71" t="inlineStr">
        <is>
          <t>CLO 1</t>
        </is>
      </c>
      <c r="FG4" s="80" t="inlineStr">
        <is>
          <t>CLO 2</t>
        </is>
      </c>
      <c r="FH4" s="81" t="inlineStr">
        <is>
          <t>CLO1</t>
        </is>
      </c>
      <c r="FI4" s="83" t="inlineStr">
        <is>
          <t>CLO2</t>
        </is>
      </c>
      <c r="FJ4" s="84" t="inlineStr">
        <is>
          <t>CLO1</t>
        </is>
      </c>
      <c r="FK4" s="85" t="inlineStr">
        <is>
          <t>CLO2</t>
        </is>
      </c>
      <c r="FL4" s="86" t="inlineStr">
        <is>
          <t>CLO3</t>
        </is>
      </c>
      <c r="FM4" s="86" t="inlineStr">
        <is>
          <t>CLO 1</t>
        </is>
      </c>
      <c r="FN4" s="86" t="inlineStr">
        <is>
          <t>CLO 2</t>
        </is>
      </c>
      <c r="FO4" s="95" t="inlineStr">
        <is>
          <t>R1</t>
        </is>
      </c>
      <c r="FP4" s="96" t="inlineStr">
        <is>
          <t>R2</t>
        </is>
      </c>
      <c r="FQ4" s="96" t="inlineStr">
        <is>
          <t>R3</t>
        </is>
      </c>
      <c r="FR4" s="96" t="inlineStr">
        <is>
          <t>R4</t>
        </is>
      </c>
      <c r="FS4" s="96" t="inlineStr">
        <is>
          <t>R5</t>
        </is>
      </c>
      <c r="FT4" s="96" t="inlineStr">
        <is>
          <t>R6</t>
        </is>
      </c>
      <c r="FU4" s="96" t="inlineStr">
        <is>
          <t>R7</t>
        </is>
      </c>
      <c r="FV4" s="96" t="inlineStr">
        <is>
          <t>R8</t>
        </is>
      </c>
      <c r="FW4" s="96" t="inlineStr">
        <is>
          <t>R9</t>
        </is>
      </c>
      <c r="FX4" s="96" t="inlineStr">
        <is>
          <t>R10</t>
        </is>
      </c>
      <c r="FY4" s="96" t="inlineStr">
        <is>
          <t>R11</t>
        </is>
      </c>
      <c r="FZ4" s="101" t="inlineStr">
        <is>
          <t>R12</t>
        </is>
      </c>
      <c r="GA4" s="5" t="inlineStr">
        <is>
          <t>CLO 1</t>
        </is>
      </c>
      <c r="GB4" s="6" t="inlineStr">
        <is>
          <t>CLO 2</t>
        </is>
      </c>
      <c r="GC4" s="6" t="inlineStr">
        <is>
          <t>CLO 3</t>
        </is>
      </c>
      <c r="GD4" s="6" t="inlineStr">
        <is>
          <t>CLO 4</t>
        </is>
      </c>
      <c r="GE4" s="7" t="n"/>
      <c r="GF4" s="7" t="n"/>
      <c r="GG4" s="7" t="n"/>
      <c r="GH4" s="7" t="n"/>
      <c r="GI4" s="19" t="inlineStr">
        <is>
          <t>CLO1</t>
        </is>
      </c>
      <c r="GJ4" s="20" t="inlineStr">
        <is>
          <t>CLO 2</t>
        </is>
      </c>
      <c r="GK4" s="20" t="inlineStr">
        <is>
          <t>CLO 3</t>
        </is>
      </c>
      <c r="GL4" s="21" t="inlineStr">
        <is>
          <t>CLO 1</t>
        </is>
      </c>
      <c r="GM4" s="22" t="inlineStr">
        <is>
          <t>CLO 2</t>
        </is>
      </c>
      <c r="GN4" s="23" t="inlineStr">
        <is>
          <t>CLO1</t>
        </is>
      </c>
      <c r="GO4" s="36" t="inlineStr">
        <is>
          <t>CLO2</t>
        </is>
      </c>
      <c r="GP4" s="37" t="inlineStr">
        <is>
          <t>CLO3</t>
        </is>
      </c>
      <c r="GQ4" s="38" t="inlineStr">
        <is>
          <t>CLO 1</t>
        </is>
      </c>
      <c r="GR4" s="22" t="inlineStr">
        <is>
          <t>CLO 2</t>
        </is>
      </c>
      <c r="GS4" s="40" t="inlineStr">
        <is>
          <t>CLO1</t>
        </is>
      </c>
      <c r="GT4" s="40" t="inlineStr">
        <is>
          <t>CLO2</t>
        </is>
      </c>
      <c r="GU4" s="40" t="inlineStr">
        <is>
          <t>CLO3</t>
        </is>
      </c>
      <c r="GV4" s="51" t="inlineStr">
        <is>
          <t>CLO1</t>
        </is>
      </c>
      <c r="GW4" s="21" t="inlineStr">
        <is>
          <t>CLO2</t>
        </is>
      </c>
      <c r="GX4" s="52" t="inlineStr">
        <is>
          <t>CLO3</t>
        </is>
      </c>
      <c r="GY4" s="7" t="n"/>
      <c r="GZ4" s="7" t="n"/>
      <c r="HA4" s="7" t="n"/>
      <c r="HB4" s="7" t="n"/>
      <c r="HC4" s="23" t="inlineStr">
        <is>
          <t>R1</t>
        </is>
      </c>
      <c r="HD4" s="36" t="inlineStr">
        <is>
          <t>R2</t>
        </is>
      </c>
      <c r="HE4" s="37" t="inlineStr">
        <is>
          <t>R3</t>
        </is>
      </c>
      <c r="HF4" s="37" t="inlineStr">
        <is>
          <t>R4</t>
        </is>
      </c>
      <c r="HG4" s="37" t="inlineStr">
        <is>
          <t>R5</t>
        </is>
      </c>
      <c r="HH4" s="37" t="inlineStr">
        <is>
          <t>R6</t>
        </is>
      </c>
      <c r="HI4" s="37" t="inlineStr">
        <is>
          <t>R7</t>
        </is>
      </c>
      <c r="HJ4" s="37" t="inlineStr">
        <is>
          <t>R8</t>
        </is>
      </c>
      <c r="HK4" s="37" t="inlineStr">
        <is>
          <t>R9</t>
        </is>
      </c>
      <c r="HL4" s="60" t="inlineStr">
        <is>
          <t>R10</t>
        </is>
      </c>
      <c r="HM4" s="62" t="inlineStr">
        <is>
          <t>R11</t>
        </is>
      </c>
      <c r="HN4" s="63" t="inlineStr">
        <is>
          <t>R12</t>
        </is>
      </c>
      <c r="HO4" s="606" t="n"/>
      <c r="HP4" s="332" t="inlineStr">
        <is>
          <t>GA1</t>
        </is>
      </c>
      <c r="HQ4" s="332" t="inlineStr">
        <is>
          <t>GA2</t>
        </is>
      </c>
      <c r="HR4" s="332" t="inlineStr">
        <is>
          <t>GA3</t>
        </is>
      </c>
      <c r="HS4" s="332" t="inlineStr">
        <is>
          <t>GA4</t>
        </is>
      </c>
      <c r="HT4" s="332" t="inlineStr">
        <is>
          <t>GA5</t>
        </is>
      </c>
      <c r="HU4" s="332" t="inlineStr">
        <is>
          <t>GA6</t>
        </is>
      </c>
      <c r="HV4" s="332" t="inlineStr">
        <is>
          <t>GA7</t>
        </is>
      </c>
      <c r="HW4" s="332" t="inlineStr">
        <is>
          <t>GA8</t>
        </is>
      </c>
      <c r="HX4" s="332" t="inlineStr">
        <is>
          <t>GA9</t>
        </is>
      </c>
      <c r="HY4" s="332" t="inlineStr">
        <is>
          <t>GA10</t>
        </is>
      </c>
    </row>
    <row r="5" ht="26.45" customHeight="1" s="590">
      <c r="B5" s="606" t="n"/>
      <c r="C5" s="342" t="n"/>
      <c r="D5" s="608" t="n"/>
      <c r="E5" s="418" t="inlineStr">
        <is>
          <t>Theory</t>
        </is>
      </c>
      <c r="F5" s="603" t="n"/>
      <c r="G5" s="419" t="inlineStr">
        <is>
          <t>Lab</t>
        </is>
      </c>
      <c r="H5" s="603" t="n"/>
      <c r="I5" s="418" t="inlineStr">
        <is>
          <t>Theory</t>
        </is>
      </c>
      <c r="J5" s="603" t="n"/>
      <c r="K5" s="603" t="n"/>
      <c r="L5" s="419" t="inlineStr">
        <is>
          <t>Lab</t>
        </is>
      </c>
      <c r="M5" s="603" t="n"/>
      <c r="N5" s="418" t="inlineStr">
        <is>
          <t>Theory</t>
        </is>
      </c>
      <c r="O5" s="603" t="n"/>
      <c r="P5" s="603" t="n"/>
      <c r="Q5" s="419" t="inlineStr">
        <is>
          <t>Lab</t>
        </is>
      </c>
      <c r="R5" s="603" t="n"/>
      <c r="S5" s="383" t="n"/>
      <c r="T5" s="363" t="n"/>
      <c r="U5" s="384" t="n"/>
      <c r="V5" s="418" t="inlineStr">
        <is>
          <t>Theory</t>
        </is>
      </c>
      <c r="W5" s="603" t="n"/>
      <c r="X5" s="363" t="n"/>
      <c r="Y5" s="419" t="inlineStr">
        <is>
          <t>Theory</t>
        </is>
      </c>
      <c r="Z5" s="603" t="n"/>
      <c r="AA5" s="418" t="inlineStr">
        <is>
          <t>Theory</t>
        </is>
      </c>
      <c r="AB5" s="603" t="n"/>
      <c r="AC5" s="603" t="n"/>
      <c r="AD5" s="418" t="inlineStr">
        <is>
          <t>Theory</t>
        </is>
      </c>
      <c r="AE5" s="603" t="n"/>
      <c r="AF5" s="603" t="n"/>
      <c r="AG5" s="363" t="n"/>
      <c r="AH5" s="419" t="inlineStr">
        <is>
          <t>Lab</t>
        </is>
      </c>
      <c r="AI5" s="603" t="n"/>
      <c r="AJ5" s="603" t="n"/>
      <c r="AK5" s="383" t="n"/>
      <c r="AL5" s="419" t="inlineStr">
        <is>
          <t>Theory</t>
        </is>
      </c>
      <c r="AM5" s="603" t="n"/>
      <c r="AN5" s="418" t="inlineStr">
        <is>
          <t>Theory</t>
        </is>
      </c>
      <c r="AO5" s="603" t="n"/>
      <c r="AP5" s="603" t="n"/>
      <c r="AQ5" s="419" t="inlineStr">
        <is>
          <t>Lab</t>
        </is>
      </c>
      <c r="AR5" s="603" t="n"/>
      <c r="AS5" s="603" t="n"/>
      <c r="AT5" s="603" t="n"/>
      <c r="AU5" s="418" t="inlineStr">
        <is>
          <t>Theory</t>
        </is>
      </c>
      <c r="AV5" s="603" t="n"/>
      <c r="AW5" s="603" t="n"/>
      <c r="AX5" s="603" t="n"/>
      <c r="AY5" s="383" t="n"/>
      <c r="AZ5" s="363" t="n"/>
      <c r="BA5" s="384" t="n"/>
      <c r="BB5" s="383" t="n"/>
      <c r="BC5" s="363" t="n"/>
      <c r="BD5" s="384" t="n"/>
      <c r="BE5" s="383" t="n"/>
      <c r="BF5" s="363" t="n"/>
      <c r="BG5" s="384" t="n"/>
      <c r="BH5" s="383" t="n"/>
      <c r="BI5" s="363" t="n"/>
      <c r="BJ5" s="363" t="n"/>
      <c r="BK5" s="363" t="n"/>
      <c r="BL5" s="363" t="n"/>
      <c r="BM5" s="363" t="n"/>
      <c r="BN5" s="384" t="n"/>
      <c r="BO5" s="383" t="n"/>
      <c r="BP5" s="418" t="inlineStr">
        <is>
          <t>Theory</t>
        </is>
      </c>
      <c r="BQ5" s="603" t="n"/>
      <c r="BR5" s="603" t="n"/>
      <c r="BS5" s="603" t="n"/>
      <c r="BT5" s="419" t="inlineStr">
        <is>
          <t>Lab</t>
        </is>
      </c>
      <c r="BU5" s="603" t="n"/>
      <c r="BV5" s="362" t="n"/>
      <c r="BW5" s="362" t="n"/>
      <c r="BX5" s="362" t="n"/>
      <c r="BY5" s="362" t="n"/>
      <c r="BZ5" s="362" t="n"/>
      <c r="CA5" s="133" t="n"/>
      <c r="CB5" s="362" t="n"/>
      <c r="CC5" s="363" t="n"/>
      <c r="CD5" s="518" t="inlineStr">
        <is>
          <t>Lab</t>
        </is>
      </c>
      <c r="CE5" s="600" t="n"/>
      <c r="CF5" s="517" t="inlineStr">
        <is>
          <t>Theory</t>
        </is>
      </c>
      <c r="CG5" s="603" t="n"/>
      <c r="CH5" s="603" t="n"/>
      <c r="CI5" s="517" t="inlineStr">
        <is>
          <t>Lab</t>
        </is>
      </c>
      <c r="CJ5" s="603" t="n"/>
      <c r="CK5" s="133" t="inlineStr">
        <is>
          <t>GA 2</t>
        </is>
      </c>
      <c r="CL5" s="133" t="inlineStr">
        <is>
          <t>GA 3</t>
        </is>
      </c>
      <c r="CM5" s="133" t="inlineStr">
        <is>
          <t>GA 5</t>
        </is>
      </c>
      <c r="CN5" s="362" t="n"/>
      <c r="CO5" s="364" t="n"/>
      <c r="CP5" s="133" t="n"/>
      <c r="CQ5" s="519" t="inlineStr">
        <is>
          <t>Theory</t>
        </is>
      </c>
      <c r="CR5" s="677" t="n"/>
      <c r="CS5" s="677" t="n"/>
      <c r="CT5" s="367" t="inlineStr">
        <is>
          <t>Lab</t>
        </is>
      </c>
      <c r="CU5" s="677" t="n"/>
      <c r="CV5" s="418" t="inlineStr">
        <is>
          <t>Theory</t>
        </is>
      </c>
      <c r="CW5" s="603" t="n"/>
      <c r="CX5" s="603" t="n"/>
      <c r="CY5" s="517" t="inlineStr">
        <is>
          <t>Lab</t>
        </is>
      </c>
      <c r="CZ5" s="603" t="n"/>
      <c r="DA5" s="367" t="inlineStr">
        <is>
          <t>Theory</t>
        </is>
      </c>
      <c r="DB5" s="677" t="n"/>
      <c r="DC5" s="677" t="n"/>
      <c r="DD5" s="419" t="inlineStr">
        <is>
          <t>Lab</t>
        </is>
      </c>
      <c r="DE5" s="603" t="n"/>
      <c r="DF5" s="517" t="inlineStr">
        <is>
          <t>Theory</t>
        </is>
      </c>
      <c r="DG5" s="603" t="n"/>
      <c r="DH5" s="603" t="n"/>
      <c r="DI5" s="603" t="n"/>
      <c r="DJ5" s="419" t="inlineStr">
        <is>
          <t>Lab</t>
        </is>
      </c>
      <c r="DK5" s="603" t="n"/>
      <c r="DL5" s="363" t="n"/>
      <c r="DM5" s="363" t="n"/>
      <c r="DN5" s="363" t="n"/>
      <c r="DO5" s="136" t="n"/>
      <c r="DP5" s="136" t="n"/>
      <c r="DQ5" s="363" t="n"/>
      <c r="DR5" s="363" t="n"/>
      <c r="DS5" s="362" t="n"/>
      <c r="DT5" s="363" t="n"/>
      <c r="DU5" s="383" t="n"/>
      <c r="DV5" s="383" t="n"/>
      <c r="DW5" s="383" t="n"/>
      <c r="DX5" s="363" t="n"/>
      <c r="DY5" s="363" t="n"/>
      <c r="DZ5" s="520" t="inlineStr">
        <is>
          <t>Theory</t>
        </is>
      </c>
      <c r="EA5" s="678" t="n"/>
      <c r="EB5" s="678" t="n"/>
      <c r="EC5" s="521" t="inlineStr">
        <is>
          <t>Lab</t>
        </is>
      </c>
      <c r="ED5" s="678" t="n"/>
      <c r="EE5" s="362" t="n"/>
      <c r="EF5" s="363" t="n"/>
      <c r="EG5" s="363" t="n"/>
      <c r="EH5" s="363" t="n"/>
      <c r="EI5" s="362" t="n"/>
      <c r="EJ5" s="362" t="n"/>
      <c r="EK5" s="517" t="inlineStr">
        <is>
          <t>Theory</t>
        </is>
      </c>
      <c r="EL5" s="603" t="n"/>
      <c r="EM5" s="603" t="n"/>
      <c r="EN5" s="603" t="n"/>
      <c r="EO5" s="419" t="inlineStr">
        <is>
          <t>Lab</t>
        </is>
      </c>
      <c r="EP5" s="603" t="n"/>
      <c r="EQ5" s="363" t="n"/>
      <c r="ER5" s="363" t="n"/>
      <c r="ES5" s="363" t="n"/>
      <c r="ET5" s="517" t="inlineStr">
        <is>
          <t>Theory</t>
        </is>
      </c>
      <c r="EU5" s="603" t="n"/>
      <c r="EV5" s="603" t="n"/>
      <c r="EW5" s="517" t="inlineStr">
        <is>
          <t>Theory</t>
        </is>
      </c>
      <c r="EX5" s="603" t="n"/>
      <c r="EY5" s="603" t="n"/>
      <c r="EZ5" s="603" t="n"/>
      <c r="FA5" s="519" t="inlineStr">
        <is>
          <t>Lab</t>
        </is>
      </c>
      <c r="FB5" s="677" t="n"/>
      <c r="FC5" s="522" t="inlineStr">
        <is>
          <t>Theory</t>
        </is>
      </c>
      <c r="FD5" s="677" t="n"/>
      <c r="FE5" s="677" t="n"/>
      <c r="FF5" s="367" t="inlineStr">
        <is>
          <t>Lab</t>
        </is>
      </c>
      <c r="FG5" s="677" t="n"/>
      <c r="FH5" s="363" t="n"/>
      <c r="FI5" s="384" t="n"/>
      <c r="FJ5" s="522" t="inlineStr">
        <is>
          <t>Theory</t>
        </is>
      </c>
      <c r="FK5" s="677" t="n"/>
      <c r="FL5" s="677" t="n"/>
      <c r="FM5" s="367" t="inlineStr">
        <is>
          <t>Lab</t>
        </is>
      </c>
      <c r="FN5" s="677" t="n"/>
      <c r="FO5" s="54" t="n"/>
      <c r="FP5" s="55" t="n"/>
      <c r="FQ5" s="55" t="n"/>
      <c r="FR5" s="55" t="n"/>
      <c r="FS5" s="55" t="n"/>
      <c r="FT5" s="55" t="n"/>
      <c r="FU5" s="55" t="n"/>
      <c r="FV5" s="55" t="n"/>
      <c r="FW5" s="55" t="n"/>
      <c r="FX5" s="55" t="n"/>
      <c r="FY5" s="55" t="n"/>
      <c r="FZ5" s="53" t="n"/>
      <c r="GA5" s="362" t="n"/>
      <c r="GB5" s="363" t="n"/>
      <c r="GC5" s="363" t="n"/>
      <c r="GD5" s="364" t="n"/>
      <c r="GE5" s="363" t="n"/>
      <c r="GF5" s="363" t="n"/>
      <c r="GG5" s="363" t="n"/>
      <c r="GH5" s="363" t="n"/>
      <c r="GI5" s="520" t="inlineStr">
        <is>
          <t>Theory</t>
        </is>
      </c>
      <c r="GJ5" s="678" t="n"/>
      <c r="GK5" s="678" t="n"/>
      <c r="GL5" s="521" t="inlineStr">
        <is>
          <t>Lab</t>
        </is>
      </c>
      <c r="GM5" s="678" t="n"/>
      <c r="GN5" s="520" t="inlineStr">
        <is>
          <t>Theory</t>
        </is>
      </c>
      <c r="GO5" s="678" t="n"/>
      <c r="GP5" s="678" t="n"/>
      <c r="GQ5" s="521" t="inlineStr">
        <is>
          <t>Lab</t>
        </is>
      </c>
      <c r="GR5" s="678" t="n"/>
      <c r="GS5" s="362" t="n"/>
      <c r="GT5" s="363" t="n"/>
      <c r="GU5" s="363" t="n"/>
      <c r="GV5" s="356" t="n"/>
      <c r="GW5" s="358" t="n"/>
      <c r="GX5" s="53" t="n"/>
      <c r="GY5" s="363" t="n"/>
      <c r="GZ5" s="363" t="n"/>
      <c r="HA5" s="363" t="n"/>
      <c r="HB5" s="363" t="n"/>
      <c r="HC5" s="54" t="n"/>
      <c r="HD5" s="55" t="n"/>
      <c r="HE5" s="55" t="n"/>
      <c r="HF5" s="55" t="n"/>
      <c r="HG5" s="55" t="n"/>
      <c r="HH5" s="55" t="n"/>
      <c r="HI5" s="55" t="n"/>
      <c r="HJ5" s="55" t="n"/>
      <c r="HK5" s="55" t="n"/>
      <c r="HL5" s="55" t="n"/>
      <c r="HM5" s="358" t="n"/>
      <c r="HN5" s="359" t="n"/>
      <c r="HO5" s="606" t="n"/>
      <c r="HP5" s="606" t="n"/>
      <c r="HQ5" s="606" t="n"/>
      <c r="HR5" s="606" t="n"/>
      <c r="HS5" s="606" t="n"/>
      <c r="HT5" s="606" t="n"/>
      <c r="HU5" s="606" t="n"/>
      <c r="HV5" s="606" t="n"/>
      <c r="HW5" s="606" t="n"/>
      <c r="HX5" s="606" t="n"/>
      <c r="HY5" s="606" t="n"/>
    </row>
    <row r="6" ht="24" customHeight="1" s="590">
      <c r="B6" s="606" t="n"/>
      <c r="C6" s="343" t="n"/>
      <c r="D6" s="608" t="n"/>
      <c r="E6" s="490" t="inlineStr">
        <is>
          <t>GA2</t>
        </is>
      </c>
      <c r="F6" s="360" t="inlineStr">
        <is>
          <t>GA5</t>
        </is>
      </c>
      <c r="G6" s="360" t="inlineStr">
        <is>
          <t>GA1</t>
        </is>
      </c>
      <c r="H6" s="361" t="inlineStr">
        <is>
          <t>GA2</t>
        </is>
      </c>
      <c r="I6" s="490" t="inlineStr">
        <is>
          <t>GA1</t>
        </is>
      </c>
      <c r="J6" s="598" t="n"/>
      <c r="K6" s="598" t="n"/>
      <c r="L6" s="490" t="inlineStr">
        <is>
          <t>GA1</t>
        </is>
      </c>
      <c r="M6" s="598" t="n"/>
      <c r="N6" s="490" t="inlineStr">
        <is>
          <t>GA 1</t>
        </is>
      </c>
      <c r="O6" s="360" t="inlineStr">
        <is>
          <t>GA 2</t>
        </is>
      </c>
      <c r="P6" s="360" t="inlineStr">
        <is>
          <t>GA 4</t>
        </is>
      </c>
      <c r="Q6" s="360" t="inlineStr">
        <is>
          <t>GA 2</t>
        </is>
      </c>
      <c r="R6" s="360" t="inlineStr">
        <is>
          <t>GA 5</t>
        </is>
      </c>
      <c r="S6" s="123" t="inlineStr">
        <is>
          <t>GA 2</t>
        </is>
      </c>
      <c r="T6" s="124" t="inlineStr">
        <is>
          <t>GA 3</t>
        </is>
      </c>
      <c r="U6" s="125" t="inlineStr">
        <is>
          <t>GA 3</t>
        </is>
      </c>
      <c r="V6" s="123" t="inlineStr">
        <is>
          <t>GA 2</t>
        </is>
      </c>
      <c r="W6" s="124" t="inlineStr">
        <is>
          <t>GA 5</t>
        </is>
      </c>
      <c r="X6" s="124" t="inlineStr">
        <is>
          <t>GA 7</t>
        </is>
      </c>
      <c r="Y6" s="124" t="inlineStr">
        <is>
          <t>GA10</t>
        </is>
      </c>
      <c r="Z6" s="125" t="inlineStr">
        <is>
          <t>GA2</t>
        </is>
      </c>
      <c r="AA6" s="490" t="inlineStr">
        <is>
          <t>GA1</t>
        </is>
      </c>
      <c r="AB6" s="360" t="inlineStr">
        <is>
          <t>GA3</t>
        </is>
      </c>
      <c r="AC6" s="361" t="inlineStr">
        <is>
          <t>GA3</t>
        </is>
      </c>
      <c r="AD6" s="207" t="inlineStr">
        <is>
          <t>GA 1</t>
        </is>
      </c>
      <c r="AE6" s="206" t="inlineStr">
        <is>
          <t>GA 2</t>
        </is>
      </c>
      <c r="AF6" s="208" t="inlineStr">
        <is>
          <t>GA 3</t>
        </is>
      </c>
      <c r="AG6" s="208" t="inlineStr">
        <is>
          <t>GA 4</t>
        </is>
      </c>
      <c r="AH6" s="208" t="inlineStr">
        <is>
          <t>GA 2</t>
        </is>
      </c>
      <c r="AI6" s="208" t="inlineStr">
        <is>
          <t>GA 5</t>
        </is>
      </c>
      <c r="AJ6" s="210" t="inlineStr">
        <is>
          <t xml:space="preserve">GA 6 </t>
        </is>
      </c>
      <c r="AK6" s="490" t="inlineStr">
        <is>
          <t>GA 3</t>
        </is>
      </c>
      <c r="AL6" s="124" t="inlineStr">
        <is>
          <t>GA1</t>
        </is>
      </c>
      <c r="AM6" s="124" t="inlineStr">
        <is>
          <t>GA 2</t>
        </is>
      </c>
      <c r="AN6" s="490" t="inlineStr">
        <is>
          <t>GA 2</t>
        </is>
      </c>
      <c r="AO6" s="360" t="inlineStr">
        <is>
          <t>GA 2</t>
        </is>
      </c>
      <c r="AP6" s="360" t="inlineStr">
        <is>
          <t>GA 3</t>
        </is>
      </c>
      <c r="AQ6" s="373" t="inlineStr">
        <is>
          <t>GA1</t>
        </is>
      </c>
      <c r="AR6" s="360" t="inlineStr">
        <is>
          <t>GA6</t>
        </is>
      </c>
      <c r="AS6" s="360" t="inlineStr">
        <is>
          <t>GA7</t>
        </is>
      </c>
      <c r="AT6" s="89" t="inlineStr">
        <is>
          <t>GA9</t>
        </is>
      </c>
      <c r="AU6" s="130" t="inlineStr">
        <is>
          <t>GA1</t>
        </is>
      </c>
      <c r="AV6" s="89" t="inlineStr">
        <is>
          <t>GA2</t>
        </is>
      </c>
      <c r="AW6" s="89" t="inlineStr">
        <is>
          <t>GA 3</t>
        </is>
      </c>
      <c r="AX6" s="89" t="inlineStr">
        <is>
          <t>GA 4</t>
        </is>
      </c>
      <c r="AY6" s="490" t="inlineStr">
        <is>
          <t>GA5</t>
        </is>
      </c>
      <c r="AZ6" s="598" t="n"/>
      <c r="BA6" s="89" t="inlineStr">
        <is>
          <t>GA1</t>
        </is>
      </c>
      <c r="BB6" s="490" t="inlineStr">
        <is>
          <t>GA2</t>
        </is>
      </c>
      <c r="BC6" s="598" t="n"/>
      <c r="BD6" s="89" t="inlineStr">
        <is>
          <t>GA4</t>
        </is>
      </c>
      <c r="BE6" s="130" t="inlineStr">
        <is>
          <t>GA6</t>
        </is>
      </c>
      <c r="BF6" s="89" t="inlineStr">
        <is>
          <t>GA7</t>
        </is>
      </c>
      <c r="BG6" s="89" t="inlineStr">
        <is>
          <t>GA8</t>
        </is>
      </c>
      <c r="BH6" s="490" t="inlineStr">
        <is>
          <t>GA1</t>
        </is>
      </c>
      <c r="BI6" s="598" t="n"/>
      <c r="BJ6" s="598" t="n"/>
      <c r="BK6" s="598" t="n"/>
      <c r="BL6" s="598" t="n"/>
      <c r="BM6" s="89" t="inlineStr">
        <is>
          <t>GA8</t>
        </is>
      </c>
      <c r="BN6" s="89" t="inlineStr">
        <is>
          <t>GA10</t>
        </is>
      </c>
      <c r="BO6" s="130" t="inlineStr">
        <is>
          <t>GA1</t>
        </is>
      </c>
      <c r="BP6" s="490" t="inlineStr">
        <is>
          <t>GA2</t>
        </is>
      </c>
      <c r="BQ6" s="598" t="n"/>
      <c r="BR6" s="490" t="inlineStr">
        <is>
          <t>GA 5</t>
        </is>
      </c>
      <c r="BS6" s="598" t="n"/>
      <c r="BT6" s="89" t="inlineStr">
        <is>
          <t>GA 2</t>
        </is>
      </c>
      <c r="BU6" s="372" t="inlineStr">
        <is>
          <t>GA5</t>
        </is>
      </c>
      <c r="BV6" s="89" t="inlineStr">
        <is>
          <t>GA2</t>
        </is>
      </c>
      <c r="BW6" s="89" t="inlineStr">
        <is>
          <t>GA3</t>
        </is>
      </c>
      <c r="BX6" s="89" t="inlineStr">
        <is>
          <t>GA2</t>
        </is>
      </c>
      <c r="BY6" s="89" t="inlineStr">
        <is>
          <t>GA4</t>
        </is>
      </c>
      <c r="BZ6" s="89" t="inlineStr">
        <is>
          <t>GA8</t>
        </is>
      </c>
      <c r="CA6" s="134" t="inlineStr">
        <is>
          <t>GA10</t>
        </is>
      </c>
      <c r="CB6" s="135" t="inlineStr">
        <is>
          <t>GA 2</t>
        </is>
      </c>
      <c r="CC6" s="136" t="inlineStr">
        <is>
          <t>GA 5</t>
        </is>
      </c>
      <c r="CD6" s="136" t="inlineStr">
        <is>
          <t>GA 2</t>
        </is>
      </c>
      <c r="CE6" s="104" t="inlineStr">
        <is>
          <t>GA 3</t>
        </is>
      </c>
      <c r="CF6" s="89" t="inlineStr">
        <is>
          <t>GA2</t>
        </is>
      </c>
      <c r="CG6" s="89" t="inlineStr">
        <is>
          <t>GA3</t>
        </is>
      </c>
      <c r="CH6" s="89" t="inlineStr">
        <is>
          <t>GA5</t>
        </is>
      </c>
      <c r="CI6" s="89" t="inlineStr">
        <is>
          <t>GA8</t>
        </is>
      </c>
      <c r="CJ6" s="372" t="inlineStr">
        <is>
          <t>GA10</t>
        </is>
      </c>
      <c r="CK6" s="134" t="inlineStr">
        <is>
          <t>PLO10</t>
        </is>
      </c>
      <c r="CL6" s="134" t="inlineStr">
        <is>
          <t>PLO9</t>
        </is>
      </c>
      <c r="CM6" s="134" t="inlineStr">
        <is>
          <t>PLO5</t>
        </is>
      </c>
      <c r="CN6" s="515" t="inlineStr">
        <is>
          <t>PLO1</t>
        </is>
      </c>
      <c r="CO6" s="607" t="n"/>
      <c r="CP6" s="134" t="inlineStr">
        <is>
          <t>PLO3</t>
        </is>
      </c>
      <c r="CQ6" s="73" t="inlineStr">
        <is>
          <t>GA 1</t>
        </is>
      </c>
      <c r="CR6" s="372" t="inlineStr">
        <is>
          <t>GA 2</t>
        </is>
      </c>
      <c r="CS6" s="360" t="inlineStr">
        <is>
          <t>GA 3</t>
        </is>
      </c>
      <c r="CT6" s="360" t="inlineStr">
        <is>
          <t>GA 4</t>
        </is>
      </c>
      <c r="CU6" s="361" t="inlineStr">
        <is>
          <t>GA 5</t>
        </is>
      </c>
      <c r="CV6" s="89" t="inlineStr">
        <is>
          <t>GA2</t>
        </is>
      </c>
      <c r="CW6" s="89" t="inlineStr">
        <is>
          <t>GA3</t>
        </is>
      </c>
      <c r="CX6" s="89" t="inlineStr">
        <is>
          <t>GA5</t>
        </is>
      </c>
      <c r="CY6" s="89" t="inlineStr">
        <is>
          <t>GA8</t>
        </is>
      </c>
      <c r="CZ6" s="372" t="inlineStr">
        <is>
          <t>GA10</t>
        </is>
      </c>
      <c r="DA6" s="490" t="inlineStr">
        <is>
          <t>GA 1</t>
        </is>
      </c>
      <c r="DB6" s="360" t="inlineStr">
        <is>
          <t>GA 2</t>
        </is>
      </c>
      <c r="DC6" s="360" t="inlineStr">
        <is>
          <t>GA 5</t>
        </is>
      </c>
      <c r="DD6" s="360" t="inlineStr">
        <is>
          <t>GA 5</t>
        </is>
      </c>
      <c r="DE6" s="598" t="n"/>
      <c r="DF6" s="166" t="inlineStr">
        <is>
          <t>GA 1</t>
        </is>
      </c>
      <c r="DG6" s="125" t="inlineStr">
        <is>
          <t>GA 3</t>
        </is>
      </c>
      <c r="DH6" s="73" t="inlineStr">
        <is>
          <t>GA 4</t>
        </is>
      </c>
      <c r="DI6" s="73" t="inlineStr">
        <is>
          <t>GA 5</t>
        </is>
      </c>
      <c r="DJ6" s="372" t="inlineStr">
        <is>
          <t>GA 4</t>
        </is>
      </c>
      <c r="DK6" s="598" t="n"/>
      <c r="DL6" s="372" t="inlineStr">
        <is>
          <t>PLO2</t>
        </is>
      </c>
      <c r="DM6" s="598" t="n"/>
      <c r="DN6" s="598" t="n"/>
      <c r="DO6" s="124" t="inlineStr">
        <is>
          <t>PLO3</t>
        </is>
      </c>
      <c r="DP6" s="125" t="inlineStr">
        <is>
          <t>PLO5</t>
        </is>
      </c>
      <c r="DQ6" s="73" t="inlineStr">
        <is>
          <t>PLO8</t>
        </is>
      </c>
      <c r="DR6" s="73" t="inlineStr">
        <is>
          <t>PLO10</t>
        </is>
      </c>
      <c r="DS6" s="372" t="inlineStr">
        <is>
          <t>PLO2</t>
        </is>
      </c>
      <c r="DT6" s="598" t="n"/>
      <c r="DU6" s="73" t="inlineStr">
        <is>
          <t>PLO3</t>
        </is>
      </c>
      <c r="DV6" s="73" t="inlineStr">
        <is>
          <t>PLO5</t>
        </is>
      </c>
      <c r="DW6" s="73" t="inlineStr">
        <is>
          <t>PLO1</t>
        </is>
      </c>
      <c r="DX6" s="73" t="inlineStr">
        <is>
          <t>PLO8</t>
        </is>
      </c>
      <c r="DY6" s="73" t="inlineStr">
        <is>
          <t>PLO10</t>
        </is>
      </c>
      <c r="DZ6" s="27" t="inlineStr">
        <is>
          <t>GA 1</t>
        </is>
      </c>
      <c r="EA6" s="516" t="inlineStr">
        <is>
          <t>GA 3</t>
        </is>
      </c>
      <c r="EB6" s="674" t="n"/>
      <c r="EC6" s="27" t="inlineStr">
        <is>
          <t>GA 1</t>
        </is>
      </c>
      <c r="ED6" s="27" t="inlineStr">
        <is>
          <t>GA 3</t>
        </is>
      </c>
      <c r="EE6" s="134" t="inlineStr">
        <is>
          <t>PLO1</t>
        </is>
      </c>
      <c r="EF6" s="373" t="inlineStr">
        <is>
          <t>PLO3</t>
        </is>
      </c>
      <c r="EG6" s="373" t="inlineStr">
        <is>
          <t>PLO2</t>
        </is>
      </c>
      <c r="EH6" s="373" t="inlineStr">
        <is>
          <t>PLO5</t>
        </is>
      </c>
      <c r="EI6" s="73" t="inlineStr">
        <is>
          <t>PLO8</t>
        </is>
      </c>
      <c r="EJ6" s="73" t="inlineStr">
        <is>
          <t>PLO10</t>
        </is>
      </c>
      <c r="EK6" s="372" t="inlineStr">
        <is>
          <t>GA 1</t>
        </is>
      </c>
      <c r="EL6" s="360" t="inlineStr">
        <is>
          <t>GA 2</t>
        </is>
      </c>
      <c r="EM6" s="360" t="inlineStr">
        <is>
          <t>GA 3</t>
        </is>
      </c>
      <c r="EN6" s="360" t="inlineStr">
        <is>
          <t>GA 4</t>
        </is>
      </c>
      <c r="EO6" s="360" t="n"/>
      <c r="EP6" s="373" t="n"/>
      <c r="EQ6" s="134" t="inlineStr">
        <is>
          <t>GA 1</t>
        </is>
      </c>
      <c r="ER6" s="73" t="inlineStr">
        <is>
          <t>GA 7</t>
        </is>
      </c>
      <c r="ES6" s="73" t="inlineStr">
        <is>
          <t>GA 8</t>
        </is>
      </c>
      <c r="ET6" s="134" t="inlineStr">
        <is>
          <t>GA 1</t>
        </is>
      </c>
      <c r="EU6" s="373" t="inlineStr">
        <is>
          <t>GA 2</t>
        </is>
      </c>
      <c r="EV6" s="373" t="inlineStr">
        <is>
          <t>GA 9</t>
        </is>
      </c>
      <c r="EW6" s="134" t="inlineStr">
        <is>
          <t>GA2</t>
        </is>
      </c>
      <c r="EX6" s="373" t="inlineStr">
        <is>
          <t>GA 2</t>
        </is>
      </c>
      <c r="EY6" s="373" t="inlineStr">
        <is>
          <t>GA 3</t>
        </is>
      </c>
      <c r="EZ6" s="73" t="inlineStr">
        <is>
          <t>GA 5</t>
        </is>
      </c>
      <c r="FA6" s="73" t="inlineStr">
        <is>
          <t>GA 3</t>
        </is>
      </c>
      <c r="FB6" s="73" t="inlineStr">
        <is>
          <t>GA 4</t>
        </is>
      </c>
      <c r="FC6" s="73" t="inlineStr">
        <is>
          <t>GA 1</t>
        </is>
      </c>
      <c r="FD6" s="372" t="inlineStr">
        <is>
          <t>GA 2</t>
        </is>
      </c>
      <c r="FE6" s="360" t="inlineStr">
        <is>
          <t>GA 3</t>
        </is>
      </c>
      <c r="FF6" s="360" t="inlineStr">
        <is>
          <t>GA 4</t>
        </is>
      </c>
      <c r="FG6" s="361" t="inlineStr">
        <is>
          <t>GA 5</t>
        </is>
      </c>
      <c r="FH6" s="373" t="inlineStr">
        <is>
          <t>PLO4</t>
        </is>
      </c>
      <c r="FI6" s="89" t="inlineStr">
        <is>
          <t>PLO5</t>
        </is>
      </c>
      <c r="FJ6" s="490" t="inlineStr">
        <is>
          <t>GA 1</t>
        </is>
      </c>
      <c r="FK6" s="360" t="inlineStr">
        <is>
          <t>GA 2</t>
        </is>
      </c>
      <c r="FL6" s="360" t="inlineStr">
        <is>
          <t>GA 3</t>
        </is>
      </c>
      <c r="FM6" s="360" t="inlineStr">
        <is>
          <t>GA 1</t>
        </is>
      </c>
      <c r="FN6" s="361" t="inlineStr">
        <is>
          <t>GA 3</t>
        </is>
      </c>
      <c r="FO6" s="57" t="inlineStr">
        <is>
          <t>GA1</t>
        </is>
      </c>
      <c r="FP6" s="58" t="inlineStr">
        <is>
          <t>GA2</t>
        </is>
      </c>
      <c r="FQ6" s="58" t="inlineStr">
        <is>
          <t>GA3</t>
        </is>
      </c>
      <c r="FR6" s="58" t="inlineStr">
        <is>
          <t>GA4</t>
        </is>
      </c>
      <c r="FS6" s="58" t="inlineStr">
        <is>
          <t>GA5</t>
        </is>
      </c>
      <c r="FT6" s="58" t="inlineStr">
        <is>
          <t>GA6</t>
        </is>
      </c>
      <c r="FU6" s="58" t="inlineStr">
        <is>
          <t>GA7</t>
        </is>
      </c>
      <c r="FV6" s="58" t="inlineStr">
        <is>
          <t>GA8</t>
        </is>
      </c>
      <c r="FW6" s="58" t="inlineStr">
        <is>
          <t>GA9</t>
        </is>
      </c>
      <c r="FX6" s="58" t="inlineStr">
        <is>
          <t>GA10</t>
        </is>
      </c>
      <c r="FY6" s="58" t="inlineStr">
        <is>
          <t>GA11</t>
        </is>
      </c>
      <c r="FZ6" s="27" t="inlineStr">
        <is>
          <t>GA12</t>
        </is>
      </c>
      <c r="GA6" s="535" t="n"/>
      <c r="GB6" s="607" t="n"/>
      <c r="GC6" s="607" t="n"/>
      <c r="GD6" s="607" t="n"/>
      <c r="GE6" s="364" t="n"/>
      <c r="GF6" s="364" t="n"/>
      <c r="GG6" s="364" t="n"/>
      <c r="GH6" s="364" t="n"/>
      <c r="GI6" s="27" t="inlineStr">
        <is>
          <t>GA 1</t>
        </is>
      </c>
      <c r="GJ6" s="516" t="inlineStr">
        <is>
          <t>GA 3</t>
        </is>
      </c>
      <c r="GK6" s="674" t="n"/>
      <c r="GL6" s="27" t="inlineStr">
        <is>
          <t>GA 1</t>
        </is>
      </c>
      <c r="GM6" s="27" t="inlineStr">
        <is>
          <t>GA 3</t>
        </is>
      </c>
      <c r="GN6" s="516" t="inlineStr">
        <is>
          <t>GA 1</t>
        </is>
      </c>
      <c r="GO6" s="366" t="inlineStr">
        <is>
          <t>GA 2</t>
        </is>
      </c>
      <c r="GP6" s="27" t="inlineStr">
        <is>
          <t>GA 5</t>
        </is>
      </c>
      <c r="GQ6" s="516" t="inlineStr">
        <is>
          <t>GA 5</t>
        </is>
      </c>
      <c r="GR6" s="674" t="n"/>
      <c r="GS6" s="490" t="inlineStr">
        <is>
          <t>PLO1</t>
        </is>
      </c>
      <c r="GT6" s="598" t="n"/>
      <c r="GU6" s="598" t="n"/>
      <c r="GV6" s="56" t="inlineStr">
        <is>
          <t>PLO1</t>
        </is>
      </c>
      <c r="GW6" s="27" t="inlineStr">
        <is>
          <t>PLO2</t>
        </is>
      </c>
      <c r="GX6" s="27" t="inlineStr">
        <is>
          <t>PLO5</t>
        </is>
      </c>
      <c r="GY6" s="364" t="n"/>
      <c r="GZ6" s="364" t="n"/>
      <c r="HA6" s="364" t="n"/>
      <c r="HB6" s="364" t="n"/>
      <c r="HC6" s="57" t="inlineStr">
        <is>
          <t>GA1</t>
        </is>
      </c>
      <c r="HD6" s="58" t="inlineStr">
        <is>
          <t>GA2</t>
        </is>
      </c>
      <c r="HE6" s="58" t="inlineStr">
        <is>
          <t>GA3</t>
        </is>
      </c>
      <c r="HF6" s="58" t="inlineStr">
        <is>
          <t>GA4</t>
        </is>
      </c>
      <c r="HG6" s="58" t="inlineStr">
        <is>
          <t>GA5</t>
        </is>
      </c>
      <c r="HH6" s="58" t="inlineStr">
        <is>
          <t>GA6</t>
        </is>
      </c>
      <c r="HI6" s="58" t="inlineStr">
        <is>
          <t>GA7</t>
        </is>
      </c>
      <c r="HJ6" s="58" t="inlineStr">
        <is>
          <t>GA8</t>
        </is>
      </c>
      <c r="HK6" s="58" t="inlineStr">
        <is>
          <t>GA9</t>
        </is>
      </c>
      <c r="HL6" s="58" t="inlineStr">
        <is>
          <t>GA10</t>
        </is>
      </c>
      <c r="HM6" s="365" t="inlineStr">
        <is>
          <t>GA11</t>
        </is>
      </c>
      <c r="HN6" s="56" t="inlineStr">
        <is>
          <t>GA12</t>
        </is>
      </c>
      <c r="HO6" s="606" t="n"/>
      <c r="HP6" s="606" t="n"/>
      <c r="HQ6" s="606" t="n"/>
      <c r="HR6" s="606" t="n"/>
      <c r="HS6" s="606" t="n"/>
      <c r="HT6" s="606" t="n"/>
      <c r="HU6" s="606" t="n"/>
      <c r="HV6" s="606" t="n"/>
      <c r="HW6" s="606" t="n"/>
      <c r="HX6" s="606" t="n"/>
      <c r="HY6" s="606" t="n"/>
    </row>
    <row r="7" ht="18" customHeight="1" s="590">
      <c r="B7" s="12" t="n">
        <v>1</v>
      </c>
      <c r="C7" s="13" t="inlineStr">
        <is>
          <t>052-25-126005</t>
        </is>
      </c>
      <c r="D7" s="14" t="inlineStr">
        <is>
          <t>Naveed ul Hassan</t>
        </is>
      </c>
      <c r="E7" s="274" t="n">
        <v>81.67</v>
      </c>
      <c r="F7" s="241" t="n">
        <v>73.33</v>
      </c>
      <c r="G7" s="526" t="n">
        <v>79.63</v>
      </c>
      <c r="H7" s="273" t="n">
        <v>85.76000000000001</v>
      </c>
      <c r="I7" s="679" t="n">
        <v>57.9833333333333</v>
      </c>
      <c r="J7" s="623" t="n"/>
      <c r="K7" s="680" t="n"/>
      <c r="L7" s="681" t="n">
        <v>83.92</v>
      </c>
      <c r="M7" s="645" t="n"/>
      <c r="N7" s="523" t="n">
        <v>68</v>
      </c>
      <c r="O7" s="524" t="n">
        <v>56.11</v>
      </c>
      <c r="P7" s="525" t="n">
        <v>50</v>
      </c>
      <c r="Q7" s="241" t="n">
        <v>67.27</v>
      </c>
      <c r="R7" s="273" t="n">
        <v>83.33</v>
      </c>
      <c r="S7" s="270" t="n">
        <v>92.5</v>
      </c>
      <c r="T7" s="682" t="n">
        <v>89.17</v>
      </c>
      <c r="U7" s="645" t="n"/>
      <c r="V7" s="274" t="n">
        <v>75.36</v>
      </c>
      <c r="W7" s="241" t="n">
        <v>75.34999999999999</v>
      </c>
      <c r="X7" s="273" t="n">
        <v>100</v>
      </c>
      <c r="Y7" s="273" t="n">
        <v>64.44</v>
      </c>
      <c r="Z7" s="273" t="n">
        <v>74</v>
      </c>
      <c r="AA7" s="269" t="n">
        <v>63.75</v>
      </c>
      <c r="AB7" s="269" t="n">
        <v>50</v>
      </c>
      <c r="AC7" s="269" t="n">
        <v>71.11</v>
      </c>
      <c r="AD7" s="269" t="n">
        <v>0</v>
      </c>
      <c r="AE7" s="269" t="n">
        <v>30</v>
      </c>
      <c r="AF7" s="269" t="n">
        <v>3.333333333333333</v>
      </c>
      <c r="AG7" s="263" t="n">
        <v>0</v>
      </c>
      <c r="AH7" s="528" t="n">
        <v>35</v>
      </c>
      <c r="AI7" s="528" t="n">
        <v>30</v>
      </c>
      <c r="AJ7" s="528" t="n">
        <v>16</v>
      </c>
      <c r="AK7" s="528" t="n">
        <v>51.51</v>
      </c>
      <c r="AL7" s="528" t="n"/>
      <c r="AM7" s="528" t="n"/>
      <c r="AN7" s="225" t="n">
        <v>30.48</v>
      </c>
      <c r="AO7" s="225" t="n">
        <v>4.17</v>
      </c>
      <c r="AP7" s="225" t="n">
        <v>0</v>
      </c>
      <c r="AQ7" s="263" t="n">
        <v>40.3</v>
      </c>
      <c r="AR7" s="528" t="n">
        <v>40.24</v>
      </c>
      <c r="AS7" s="528" t="n">
        <v>32</v>
      </c>
      <c r="AT7" s="262" t="n">
        <v>40</v>
      </c>
      <c r="AU7" s="261" t="n">
        <v>28.75</v>
      </c>
      <c r="AV7" s="263" t="n">
        <v>42.5</v>
      </c>
      <c r="AW7" s="263" t="n">
        <v>8.33</v>
      </c>
      <c r="AX7" s="263" t="n">
        <v>50</v>
      </c>
      <c r="AY7" s="262" t="n"/>
      <c r="AZ7" s="262" t="n"/>
      <c r="BA7" s="262" t="n"/>
      <c r="BB7" s="274" t="n"/>
      <c r="BC7" s="525" t="n"/>
      <c r="BD7" s="527" t="n"/>
      <c r="BE7" s="274" t="n"/>
      <c r="BF7" s="525" t="n"/>
      <c r="BG7" s="527" t="n"/>
      <c r="BH7" s="274" t="n"/>
      <c r="BI7" s="525" t="n"/>
      <c r="BJ7" s="525" t="n"/>
      <c r="BK7" s="525" t="n"/>
      <c r="BL7" s="525" t="n"/>
      <c r="BM7" s="525" t="n"/>
      <c r="BN7" s="527" t="n"/>
      <c r="BO7" s="525" t="n"/>
      <c r="BP7" s="525" t="n"/>
      <c r="BQ7" s="525" t="n"/>
      <c r="BR7" s="525" t="n"/>
      <c r="BS7" s="525" t="n"/>
      <c r="BT7" s="525" t="n"/>
      <c r="BU7" s="525" t="n"/>
      <c r="BV7" s="266" t="n"/>
      <c r="BW7" s="525" t="n"/>
      <c r="BX7" s="525" t="n"/>
      <c r="BY7" s="525" t="n"/>
      <c r="BZ7" s="525" t="n"/>
      <c r="CA7" s="525" t="n"/>
      <c r="CB7" s="266" t="n"/>
      <c r="CC7" s="525" t="n"/>
      <c r="CD7" s="525" t="n"/>
      <c r="CE7" s="265" t="n"/>
      <c r="CF7" s="525" t="n"/>
      <c r="CG7" s="525" t="n"/>
      <c r="CH7" s="525" t="n"/>
      <c r="CI7" s="525" t="n"/>
      <c r="CJ7" s="524" t="n"/>
      <c r="CK7" s="266" t="n"/>
      <c r="CL7" s="266" t="n"/>
      <c r="CM7" s="266" t="n"/>
      <c r="CN7" s="266" t="n"/>
      <c r="CO7" s="525" t="n"/>
      <c r="CP7" s="265" t="n"/>
      <c r="CQ7" s="74" t="n"/>
      <c r="CR7" s="75" t="n"/>
      <c r="CS7" s="76" t="n"/>
      <c r="CT7" s="76" t="n"/>
      <c r="CU7" s="91" t="n"/>
      <c r="CV7" s="525" t="n"/>
      <c r="CW7" s="525" t="n"/>
      <c r="CX7" s="525" t="n"/>
      <c r="CY7" s="525" t="n"/>
      <c r="CZ7" s="524" t="n"/>
      <c r="DA7" s="141" t="n"/>
      <c r="DB7" s="512" t="n"/>
      <c r="DC7" s="512" t="n"/>
      <c r="DD7" s="653" t="n"/>
      <c r="DE7" s="645" t="n"/>
      <c r="DF7" s="141" t="n"/>
      <c r="DG7" s="139" t="n"/>
      <c r="DH7" s="139" t="n"/>
      <c r="DI7" s="139" t="n"/>
      <c r="DJ7" s="654" t="n"/>
      <c r="DK7" s="655" t="n"/>
      <c r="DL7" s="512" t="n"/>
      <c r="DM7" s="512" t="n"/>
      <c r="DN7" s="512" t="n"/>
      <c r="DO7" s="512" t="n"/>
      <c r="DP7" s="200" t="n"/>
      <c r="DQ7" s="200" t="n"/>
      <c r="DR7" s="491" t="n"/>
      <c r="DS7" s="141" t="n"/>
      <c r="DT7" s="139" t="n"/>
      <c r="DU7" s="139" t="n"/>
      <c r="DV7" s="139" t="n"/>
      <c r="DW7" s="140" t="n"/>
      <c r="DX7" s="347" t="n"/>
      <c r="DY7" s="147" t="n"/>
      <c r="DZ7" s="31" t="n"/>
      <c r="EA7" s="656" t="n"/>
      <c r="EB7" s="657" t="n"/>
      <c r="EC7" s="45" t="n"/>
      <c r="ED7" s="351" t="n"/>
      <c r="EE7" s="107" t="n"/>
      <c r="EF7" s="139" t="n"/>
      <c r="EG7" s="139" t="n"/>
      <c r="EH7" s="139" t="n"/>
      <c r="EI7" s="140" t="n"/>
      <c r="EJ7" s="108" t="n"/>
      <c r="EK7" s="141" t="n"/>
      <c r="EL7" s="140" t="n"/>
      <c r="EM7" s="140" t="n"/>
      <c r="EN7" s="140" t="n"/>
      <c r="EO7" s="658" t="n"/>
      <c r="EP7" s="659" t="n"/>
      <c r="EQ7" s="107" t="n"/>
      <c r="ER7" s="140" t="n"/>
      <c r="ES7" s="140" t="n"/>
      <c r="ET7" s="107" t="n"/>
      <c r="EU7" s="587" t="n"/>
      <c r="EV7" s="587" t="n"/>
      <c r="EW7" s="141" t="n"/>
      <c r="EX7" s="140" t="n"/>
      <c r="EY7" s="140" t="n"/>
      <c r="EZ7" s="140" t="n"/>
      <c r="FA7" s="140" t="n"/>
      <c r="FB7" s="147" t="n"/>
      <c r="FC7" s="74" t="n"/>
      <c r="FD7" s="75" t="n"/>
      <c r="FE7" s="76" t="n"/>
      <c r="FF7" s="76" t="n"/>
      <c r="FG7" s="91" t="n"/>
      <c r="FH7" s="92" t="n"/>
      <c r="FI7" s="91" t="n"/>
      <c r="FJ7" s="74" t="n"/>
      <c r="FK7" s="92" t="n"/>
      <c r="FL7" s="148" t="n"/>
      <c r="FM7" s="149" t="n"/>
      <c r="FN7" s="150" t="n"/>
      <c r="FO7" s="99" t="n"/>
      <c r="FP7" s="100" t="n"/>
      <c r="FQ7" s="100" t="n"/>
      <c r="FR7" s="100" t="n"/>
      <c r="FS7" s="100" t="n"/>
      <c r="FT7" s="100" t="n"/>
      <c r="FU7" s="100" t="n"/>
      <c r="FV7" s="100" t="n"/>
      <c r="FW7" s="100" t="n"/>
      <c r="FX7" s="100" t="n"/>
      <c r="FY7" s="100" t="n"/>
      <c r="FZ7" s="102" t="n"/>
      <c r="GA7" s="266" t="n"/>
      <c r="GB7" s="525" t="n"/>
      <c r="GC7" s="525" t="n"/>
      <c r="GD7" s="265" t="n"/>
      <c r="GE7" s="266" t="n"/>
      <c r="GF7" s="525" t="n"/>
      <c r="GG7" s="525" t="n"/>
      <c r="GH7" s="265" t="n"/>
      <c r="GI7" s="31" t="n"/>
      <c r="GJ7" s="656" t="n"/>
      <c r="GK7" s="657" t="n"/>
      <c r="GL7" s="45" t="n"/>
      <c r="GM7" s="351" t="n"/>
      <c r="GN7" s="31" t="n"/>
      <c r="GO7" s="45" t="n"/>
      <c r="GP7" s="45" t="n"/>
      <c r="GQ7" s="660" t="n"/>
      <c r="GR7" s="661" t="n"/>
      <c r="GS7" s="107" t="n"/>
      <c r="GT7" s="587" t="n"/>
      <c r="GU7" s="108" t="n"/>
      <c r="GV7" s="266" t="n"/>
      <c r="GW7" s="525" t="n"/>
      <c r="GX7" s="265" t="n"/>
      <c r="GY7" s="266" t="n"/>
      <c r="GZ7" s="525" t="n"/>
      <c r="HA7" s="525" t="n"/>
      <c r="HB7" s="265" t="n"/>
      <c r="HC7" s="31" t="n"/>
      <c r="HD7" s="45" t="n"/>
      <c r="HE7" s="45" t="n"/>
      <c r="HF7" s="45" t="n"/>
      <c r="HG7" s="45" t="n"/>
      <c r="HH7" s="45" t="n"/>
      <c r="HI7" s="45" t="n"/>
      <c r="HJ7" s="45" t="n"/>
      <c r="HK7" s="45" t="n"/>
      <c r="HL7" s="45" t="n"/>
      <c r="HM7" s="45" t="n"/>
      <c r="HN7" s="351" t="n"/>
      <c r="HO7" s="606" t="n"/>
      <c r="HP7" s="65">
        <f>AVERAGE(G7,L7,N7)</f>
        <v/>
      </c>
      <c r="HQ7" s="66">
        <f>AVERAGE(E7,H7,O7,Q7,S7,V7,Z7)</f>
        <v/>
      </c>
      <c r="HR7" s="66">
        <f>AVERAGE(T7)</f>
        <v/>
      </c>
      <c r="HS7" s="66">
        <f>AVERAGE(P7)</f>
        <v/>
      </c>
      <c r="HT7" s="66">
        <f>AVERAGE(W7,R7,F7)</f>
        <v/>
      </c>
      <c r="HU7" s="66" t="n"/>
      <c r="HV7" s="66">
        <f>AVERAGE(X7)</f>
        <v/>
      </c>
      <c r="HW7" s="66" t="n"/>
      <c r="HX7" s="66" t="n"/>
      <c r="HY7" s="66">
        <f>AVERAGE(Y7)</f>
        <v/>
      </c>
    </row>
    <row r="8" ht="15.75" customHeight="1" s="590">
      <c r="B8" s="12" t="n">
        <v>2</v>
      </c>
      <c r="C8" s="13" t="inlineStr">
        <is>
          <t>052-25-126006</t>
        </is>
      </c>
      <c r="D8" s="14" t="inlineStr">
        <is>
          <t>Muhammad Zaid</t>
        </is>
      </c>
      <c r="E8" s="274" t="n">
        <v>75</v>
      </c>
      <c r="F8" s="241" t="n">
        <v>73.33</v>
      </c>
      <c r="G8" s="526" t="n">
        <v>81.48</v>
      </c>
      <c r="H8" s="273" t="n">
        <v>9.880000000000001</v>
      </c>
      <c r="I8" s="274" t="n">
        <v>59.8722222222222</v>
      </c>
      <c r="J8" s="683" t="n"/>
      <c r="K8" s="665" t="n"/>
      <c r="L8" s="273" t="n">
        <v>90.33</v>
      </c>
      <c r="M8" s="663" t="n"/>
      <c r="N8" s="523" t="n">
        <v>77.78</v>
      </c>
      <c r="O8" s="524" t="n">
        <v>77.78</v>
      </c>
      <c r="P8" s="525" t="n">
        <v>51.11</v>
      </c>
      <c r="Q8" s="241" t="n">
        <v>79.39</v>
      </c>
      <c r="R8" s="273" t="n">
        <v>82.88</v>
      </c>
      <c r="S8" s="270" t="n">
        <v>92.5</v>
      </c>
      <c r="T8" s="262" t="n">
        <v>83.83</v>
      </c>
      <c r="U8" s="663" t="n"/>
      <c r="V8" s="274" t="n">
        <v>85.36</v>
      </c>
      <c r="W8" s="241" t="n">
        <v>74.93000000000001</v>
      </c>
      <c r="X8" s="273" t="n">
        <v>100</v>
      </c>
      <c r="Y8" s="273" t="n">
        <v>70.56</v>
      </c>
      <c r="Z8" s="273" t="n">
        <v>78</v>
      </c>
      <c r="AA8" s="269" t="n">
        <v>76.25</v>
      </c>
      <c r="AB8" s="269" t="n">
        <v>74.5</v>
      </c>
      <c r="AC8" s="269" t="n">
        <v>82.22</v>
      </c>
      <c r="AD8" s="269" t="n">
        <v>23.80952380952381</v>
      </c>
      <c r="AE8" s="269" t="n">
        <v>15</v>
      </c>
      <c r="AF8" s="269" t="n">
        <v>51.52777777777778</v>
      </c>
      <c r="AG8" s="263" t="n">
        <v>45</v>
      </c>
      <c r="AH8" s="528" t="n">
        <v>74.05</v>
      </c>
      <c r="AI8" s="528" t="n">
        <v>73.43000000000001</v>
      </c>
      <c r="AJ8" s="528" t="n">
        <v>62</v>
      </c>
      <c r="AK8" s="528" t="n">
        <v>79.73999999999999</v>
      </c>
      <c r="AL8" s="528" t="n">
        <v>100</v>
      </c>
      <c r="AM8" s="528" t="n">
        <v>16</v>
      </c>
      <c r="AN8" s="225" t="n">
        <v>2.38</v>
      </c>
      <c r="AO8" s="225" t="n">
        <v>14.72</v>
      </c>
      <c r="AP8" s="225" t="n">
        <v>26</v>
      </c>
      <c r="AQ8" s="263" t="n">
        <v>50.67</v>
      </c>
      <c r="AR8" s="528" t="n">
        <v>58.81</v>
      </c>
      <c r="AS8" s="528" t="n">
        <v>68</v>
      </c>
      <c r="AT8" s="262" t="n">
        <v>64</v>
      </c>
      <c r="AU8" s="261" t="n">
        <v>42.5</v>
      </c>
      <c r="AV8" s="263" t="n">
        <v>50.83</v>
      </c>
      <c r="AW8" s="263" t="n">
        <v>58.33</v>
      </c>
      <c r="AX8" s="263" t="n">
        <v>50</v>
      </c>
      <c r="AY8" s="262" t="n"/>
      <c r="AZ8" s="262" t="n"/>
      <c r="BA8" s="262" t="n"/>
      <c r="BB8" s="274" t="n"/>
      <c r="BC8" s="525" t="n"/>
      <c r="BD8" s="527" t="n"/>
      <c r="BE8" s="274" t="n"/>
      <c r="BF8" s="525" t="n"/>
      <c r="BG8" s="527" t="n"/>
      <c r="BH8" s="274" t="n"/>
      <c r="BI8" s="525" t="n"/>
      <c r="BJ8" s="525" t="n"/>
      <c r="BK8" s="525" t="n"/>
      <c r="BL8" s="525" t="n"/>
      <c r="BM8" s="525" t="n"/>
      <c r="BN8" s="527" t="n"/>
      <c r="BO8" s="525" t="n"/>
      <c r="BP8" s="525" t="n"/>
      <c r="BQ8" s="525" t="n"/>
      <c r="BR8" s="525" t="n"/>
      <c r="BS8" s="525" t="n"/>
      <c r="BT8" s="525" t="n"/>
      <c r="BU8" s="525" t="n"/>
      <c r="BV8" s="266" t="n"/>
      <c r="BW8" s="525" t="n"/>
      <c r="BX8" s="525" t="n"/>
      <c r="BY8" s="525" t="n"/>
      <c r="BZ8" s="525" t="n"/>
      <c r="CA8" s="525" t="n"/>
      <c r="CB8" s="266" t="n"/>
      <c r="CC8" s="525" t="n"/>
      <c r="CD8" s="525" t="n"/>
      <c r="CE8" s="265" t="n"/>
      <c r="CF8" s="525" t="n"/>
      <c r="CG8" s="525" t="n"/>
      <c r="CH8" s="525" t="n"/>
      <c r="CI8" s="525" t="n"/>
      <c r="CJ8" s="524" t="n"/>
      <c r="CK8" s="266" t="n"/>
      <c r="CL8" s="266" t="n"/>
      <c r="CM8" s="266" t="n"/>
      <c r="CN8" s="266" t="n"/>
      <c r="CO8" s="525" t="n"/>
      <c r="CP8" s="265" t="n"/>
      <c r="CQ8" s="74" t="n"/>
      <c r="CR8" s="75" t="n"/>
      <c r="CS8" s="76" t="n"/>
      <c r="CT8" s="76" t="n"/>
      <c r="CU8" s="91" t="n"/>
      <c r="CV8" s="525" t="n"/>
      <c r="CW8" s="525" t="n"/>
      <c r="CX8" s="525" t="n"/>
      <c r="CY8" s="525" t="n"/>
      <c r="CZ8" s="524" t="n"/>
      <c r="DA8" s="141" t="n"/>
      <c r="DB8" s="162" t="n"/>
      <c r="DC8" s="162" t="n"/>
      <c r="DD8" s="512" t="n"/>
      <c r="DE8" s="491" t="n"/>
      <c r="DF8" s="141" t="n"/>
      <c r="DG8" s="139" t="n"/>
      <c r="DH8" s="139" t="n"/>
      <c r="DI8" s="139" t="n"/>
      <c r="DJ8" s="347" t="n"/>
      <c r="DK8" s="348" t="n"/>
      <c r="DL8" s="162" t="n"/>
      <c r="DM8" s="162" t="n"/>
      <c r="DN8" s="162" t="n"/>
      <c r="DO8" s="162" t="n"/>
      <c r="DP8" s="201" t="n"/>
      <c r="DQ8" s="201" t="n"/>
      <c r="DR8" s="163" t="n"/>
      <c r="DS8" s="141" t="n"/>
      <c r="DT8" s="139" t="n"/>
      <c r="DU8" s="139" t="n"/>
      <c r="DV8" s="139" t="n"/>
      <c r="DW8" s="140" t="n"/>
      <c r="DX8" s="347" t="n"/>
      <c r="DY8" s="147" t="n"/>
      <c r="DZ8" s="31" t="n"/>
      <c r="EA8" s="349" t="n"/>
      <c r="EB8" s="349" t="n"/>
      <c r="EC8" s="45" t="n"/>
      <c r="ED8" s="351" t="n"/>
      <c r="EE8" s="107" t="n"/>
      <c r="EF8" s="139" t="n"/>
      <c r="EG8" s="139" t="n"/>
      <c r="EH8" s="139" t="n"/>
      <c r="EI8" s="140" t="n"/>
      <c r="EJ8" s="108" t="n"/>
      <c r="EK8" s="141" t="n"/>
      <c r="EL8" s="140" t="n"/>
      <c r="EM8" s="140" t="n"/>
      <c r="EN8" s="140" t="n"/>
      <c r="EO8" s="347" t="n"/>
      <c r="EP8" s="348" t="n"/>
      <c r="EQ8" s="107" t="n"/>
      <c r="ER8" s="140" t="n"/>
      <c r="ES8" s="140" t="n"/>
      <c r="ET8" s="107" t="n"/>
      <c r="EU8" s="587" t="n"/>
      <c r="EV8" s="587" t="n"/>
      <c r="EW8" s="141" t="n"/>
      <c r="EX8" s="140" t="n"/>
      <c r="EY8" s="140" t="n"/>
      <c r="EZ8" s="140" t="n"/>
      <c r="FA8" s="140" t="n"/>
      <c r="FB8" s="147" t="n"/>
      <c r="FC8" s="74" t="n"/>
      <c r="FD8" s="75" t="n"/>
      <c r="FE8" s="76" t="n"/>
      <c r="FF8" s="76" t="n"/>
      <c r="FG8" s="91" t="n"/>
      <c r="FH8" s="92" t="n"/>
      <c r="FI8" s="91" t="n"/>
      <c r="FJ8" s="74" t="n"/>
      <c r="FK8" s="92" t="n"/>
      <c r="FL8" s="148" t="n"/>
      <c r="FM8" s="149" t="n"/>
      <c r="FN8" s="150" t="n"/>
      <c r="FO8" s="99" t="n"/>
      <c r="FP8" s="100" t="n"/>
      <c r="FQ8" s="100" t="n"/>
      <c r="FR8" s="100" t="n"/>
      <c r="FS8" s="100" t="n"/>
      <c r="FT8" s="100" t="n"/>
      <c r="FU8" s="100" t="n"/>
      <c r="FV8" s="100" t="n"/>
      <c r="FW8" s="100" t="n"/>
      <c r="FX8" s="100" t="n"/>
      <c r="FY8" s="100" t="n"/>
      <c r="FZ8" s="102" t="n"/>
      <c r="GA8" s="266" t="n"/>
      <c r="GB8" s="525" t="n"/>
      <c r="GC8" s="525" t="n"/>
      <c r="GD8" s="265" t="n"/>
      <c r="GE8" s="266" t="n"/>
      <c r="GF8" s="525" t="n"/>
      <c r="GG8" s="525" t="n"/>
      <c r="GH8" s="265" t="n"/>
      <c r="GI8" s="31" t="n"/>
      <c r="GJ8" s="349" t="n"/>
      <c r="GK8" s="349" t="n"/>
      <c r="GL8" s="45" t="n"/>
      <c r="GM8" s="351" t="n"/>
      <c r="GN8" s="31" t="n"/>
      <c r="GO8" s="45" t="n"/>
      <c r="GP8" s="45" t="n"/>
      <c r="GQ8" s="350" t="n"/>
      <c r="GR8" s="351" t="n"/>
      <c r="GS8" s="107" t="n"/>
      <c r="GT8" s="587" t="n"/>
      <c r="GU8" s="108" t="n"/>
      <c r="GV8" s="266" t="n"/>
      <c r="GW8" s="525" t="n"/>
      <c r="GX8" s="265" t="n"/>
      <c r="GY8" s="266" t="n"/>
      <c r="GZ8" s="525" t="n"/>
      <c r="HA8" s="525" t="n"/>
      <c r="HB8" s="265" t="n"/>
      <c r="HC8" s="31" t="n"/>
      <c r="HD8" s="45" t="n"/>
      <c r="HE8" s="45" t="n"/>
      <c r="HF8" s="45" t="n"/>
      <c r="HG8" s="45" t="n"/>
      <c r="HH8" s="45" t="n"/>
      <c r="HI8" s="45" t="n"/>
      <c r="HJ8" s="45" t="n"/>
      <c r="HK8" s="45" t="n"/>
      <c r="HL8" s="45" t="n"/>
      <c r="HM8" s="45" t="n"/>
      <c r="HN8" s="351" t="n"/>
      <c r="HO8" s="606" t="n"/>
      <c r="HP8" s="65">
        <f>AVERAGE(G8,L8,N8)</f>
        <v/>
      </c>
      <c r="HQ8" s="66">
        <f>AVERAGE(E8,H8,O8,Q8,S8,V8,Z8)</f>
        <v/>
      </c>
      <c r="HR8" s="66">
        <f>AVERAGE(T8)</f>
        <v/>
      </c>
      <c r="HS8" s="66">
        <f>AVERAGE(P8)</f>
        <v/>
      </c>
      <c r="HT8" s="66">
        <f>AVERAGE(W8,R8,F8)</f>
        <v/>
      </c>
      <c r="HU8" s="66" t="n"/>
      <c r="HV8" s="66">
        <f>AVERAGE(X8)</f>
        <v/>
      </c>
      <c r="HW8" s="66" t="n"/>
      <c r="HX8" s="66" t="n"/>
      <c r="HY8" s="66">
        <f>AVERAGE(Y8)</f>
        <v/>
      </c>
    </row>
    <row r="9" ht="15.75" customHeight="1" s="590">
      <c r="B9" s="12" t="n">
        <v>3</v>
      </c>
      <c r="C9" s="13" t="inlineStr">
        <is>
          <t>052-25-126016</t>
        </is>
      </c>
      <c r="D9" s="14" t="inlineStr">
        <is>
          <t>Faham Khan</t>
        </is>
      </c>
      <c r="E9" s="274" t="n">
        <v>70</v>
      </c>
      <c r="F9" s="241" t="n">
        <v>62.22</v>
      </c>
      <c r="G9" s="526" t="n">
        <v>82.95999999999999</v>
      </c>
      <c r="H9" s="273" t="n">
        <v>79.84999999999999</v>
      </c>
      <c r="I9" s="274" t="n">
        <v>52.25</v>
      </c>
      <c r="J9" s="683" t="n"/>
      <c r="K9" s="665" t="n"/>
      <c r="L9" s="273" t="n">
        <v>81.09999999999999</v>
      </c>
      <c r="M9" s="663" t="n"/>
      <c r="N9" s="523" t="n">
        <v>64</v>
      </c>
      <c r="O9" s="524" t="n">
        <v>70.56</v>
      </c>
      <c r="P9" s="525" t="n">
        <v>50.56</v>
      </c>
      <c r="Q9" s="241" t="n">
        <v>61.52</v>
      </c>
      <c r="R9" s="273" t="n">
        <v>59.55</v>
      </c>
      <c r="S9" s="270" t="n">
        <v>82.5</v>
      </c>
      <c r="T9" s="262" t="n">
        <v>82.58</v>
      </c>
      <c r="U9" s="663" t="n"/>
      <c r="V9" s="274" t="n">
        <v>84.64</v>
      </c>
      <c r="W9" s="241" t="n">
        <v>83.54000000000001</v>
      </c>
      <c r="X9" s="273" t="n">
        <v>100</v>
      </c>
      <c r="Y9" s="273" t="n">
        <v>69.44</v>
      </c>
      <c r="Z9" s="273" t="n">
        <v>72</v>
      </c>
      <c r="AA9" s="269" t="n">
        <v>60</v>
      </c>
      <c r="AB9" s="269" t="n">
        <v>64.5</v>
      </c>
      <c r="AC9" s="269" t="n">
        <v>64.44</v>
      </c>
      <c r="AD9" s="269" t="n">
        <v>19.04761904761905</v>
      </c>
      <c r="AE9" s="269" t="n">
        <v>56.25</v>
      </c>
      <c r="AF9" s="269" t="n">
        <v>68.75</v>
      </c>
      <c r="AG9" s="263" t="n">
        <v>45</v>
      </c>
      <c r="AH9" s="528" t="n">
        <v>33.1</v>
      </c>
      <c r="AI9" s="528" t="n">
        <v>37.14</v>
      </c>
      <c r="AJ9" s="528" t="n">
        <v>25.33</v>
      </c>
      <c r="AK9" s="528" t="n">
        <v>77.23999999999999</v>
      </c>
      <c r="AL9" s="528" t="n"/>
      <c r="AM9" s="528" t="n"/>
      <c r="AN9" s="225" t="n">
        <v>16.67</v>
      </c>
      <c r="AO9" s="225" t="n">
        <v>0</v>
      </c>
      <c r="AP9" s="225" t="n">
        <v>72</v>
      </c>
      <c r="AQ9" s="263" t="n">
        <v>51.56</v>
      </c>
      <c r="AR9" s="528" t="n">
        <v>57.38</v>
      </c>
      <c r="AS9" s="528" t="n">
        <v>56</v>
      </c>
      <c r="AT9" s="262" t="n">
        <v>56</v>
      </c>
      <c r="AU9" s="261" t="n">
        <v>2.78</v>
      </c>
      <c r="AV9" s="263" t="n">
        <v>2.08</v>
      </c>
      <c r="AW9" s="263" t="n">
        <v>8.33</v>
      </c>
      <c r="AX9" s="263" t="n">
        <v>25</v>
      </c>
      <c r="AY9" s="262" t="n"/>
      <c r="AZ9" s="262" t="n"/>
      <c r="BA9" s="262" t="n"/>
      <c r="BB9" s="274" t="n"/>
      <c r="BC9" s="525" t="n"/>
      <c r="BD9" s="527" t="n"/>
      <c r="BE9" s="274" t="n"/>
      <c r="BF9" s="525" t="n"/>
      <c r="BG9" s="527" t="n"/>
      <c r="BH9" s="274" t="n"/>
      <c r="BI9" s="525" t="n"/>
      <c r="BJ9" s="525" t="n"/>
      <c r="BK9" s="525" t="n"/>
      <c r="BL9" s="525" t="n"/>
      <c r="BM9" s="525" t="n"/>
      <c r="BN9" s="527" t="n"/>
      <c r="BO9" s="525" t="n"/>
      <c r="BP9" s="525" t="n"/>
      <c r="BQ9" s="525" t="n"/>
      <c r="BR9" s="525" t="n"/>
      <c r="BS9" s="525" t="n"/>
      <c r="BT9" s="525" t="n"/>
      <c r="BU9" s="525" t="n"/>
      <c r="BV9" s="266" t="n"/>
      <c r="BW9" s="525" t="n"/>
      <c r="BX9" s="525" t="n"/>
      <c r="BY9" s="525" t="n"/>
      <c r="BZ9" s="525" t="n"/>
      <c r="CA9" s="525" t="n"/>
      <c r="CB9" s="266" t="n"/>
      <c r="CC9" s="525" t="n"/>
      <c r="CD9" s="525" t="n"/>
      <c r="CE9" s="265" t="n"/>
      <c r="CF9" s="525" t="n"/>
      <c r="CG9" s="525" t="n"/>
      <c r="CH9" s="525" t="n"/>
      <c r="CI9" s="525" t="n"/>
      <c r="CJ9" s="524" t="n"/>
      <c r="CK9" s="266" t="n"/>
      <c r="CL9" s="266" t="n"/>
      <c r="CM9" s="266" t="n"/>
      <c r="CN9" s="266" t="n"/>
      <c r="CO9" s="525" t="n"/>
      <c r="CP9" s="265" t="n"/>
      <c r="CQ9" s="74" t="n"/>
      <c r="CR9" s="75" t="n"/>
      <c r="CS9" s="76" t="n"/>
      <c r="CT9" s="76" t="n"/>
      <c r="CU9" s="91" t="n"/>
      <c r="CV9" s="525" t="n"/>
      <c r="CW9" s="525" t="n"/>
      <c r="CX9" s="525" t="n"/>
      <c r="CY9" s="525" t="n"/>
      <c r="CZ9" s="524" t="n"/>
      <c r="DA9" s="141" t="n"/>
      <c r="DB9" s="162" t="n"/>
      <c r="DC9" s="162" t="n"/>
      <c r="DD9" s="662" t="n"/>
      <c r="DE9" s="663" t="n"/>
      <c r="DF9" s="141" t="n"/>
      <c r="DG9" s="139" t="n"/>
      <c r="DH9" s="139" t="n"/>
      <c r="DI9" s="139" t="n"/>
      <c r="DJ9" s="147" t="n"/>
      <c r="DK9" s="664" t="n"/>
      <c r="DL9" s="162" t="n"/>
      <c r="DM9" s="162" t="n"/>
      <c r="DN9" s="162" t="n"/>
      <c r="DO9" s="162" t="n"/>
      <c r="DP9" s="201" t="n"/>
      <c r="DQ9" s="201" t="n"/>
      <c r="DR9" s="163" t="n"/>
      <c r="DS9" s="141" t="n"/>
      <c r="DT9" s="139" t="n"/>
      <c r="DU9" s="139" t="n"/>
      <c r="DV9" s="139" t="n"/>
      <c r="DW9" s="140" t="n"/>
      <c r="DX9" s="347" t="n"/>
      <c r="DY9" s="147" t="n"/>
      <c r="DZ9" s="31" t="n"/>
      <c r="EA9" s="45" t="n"/>
      <c r="EB9" s="665" t="n"/>
      <c r="EC9" s="45" t="n"/>
      <c r="ED9" s="351" t="n"/>
      <c r="EE9" s="107" t="n"/>
      <c r="EF9" s="139" t="n"/>
      <c r="EG9" s="139" t="n"/>
      <c r="EH9" s="139" t="n"/>
      <c r="EI9" s="140" t="n"/>
      <c r="EJ9" s="108" t="n"/>
      <c r="EK9" s="141" t="n"/>
      <c r="EL9" s="140" t="n"/>
      <c r="EM9" s="140" t="n"/>
      <c r="EN9" s="140" t="n"/>
      <c r="EO9" s="108" t="n"/>
      <c r="EP9" s="666" t="n"/>
      <c r="EQ9" s="107" t="n"/>
      <c r="ER9" s="140" t="n"/>
      <c r="ES9" s="140" t="n"/>
      <c r="ET9" s="107" t="n"/>
      <c r="EU9" s="587" t="n"/>
      <c r="EV9" s="587" t="n"/>
      <c r="EW9" s="141" t="n"/>
      <c r="EX9" s="140" t="n"/>
      <c r="EY9" s="140" t="n"/>
      <c r="EZ9" s="140" t="n"/>
      <c r="FA9" s="140" t="n"/>
      <c r="FB9" s="147" t="n"/>
      <c r="FC9" s="74" t="n"/>
      <c r="FD9" s="75" t="n"/>
      <c r="FE9" s="76" t="n"/>
      <c r="FF9" s="76" t="n"/>
      <c r="FG9" s="91" t="n"/>
      <c r="FH9" s="92" t="n"/>
      <c r="FI9" s="91" t="n"/>
      <c r="FJ9" s="74" t="n"/>
      <c r="FK9" s="92" t="n"/>
      <c r="FL9" s="148" t="n"/>
      <c r="FM9" s="149" t="n"/>
      <c r="FN9" s="150" t="n"/>
      <c r="FO9" s="99" t="n"/>
      <c r="FP9" s="100" t="n"/>
      <c r="FQ9" s="100" t="n"/>
      <c r="FR9" s="100" t="n"/>
      <c r="FS9" s="100" t="n"/>
      <c r="FT9" s="100" t="n"/>
      <c r="FU9" s="100" t="n"/>
      <c r="FV9" s="100" t="n"/>
      <c r="FW9" s="100" t="n"/>
      <c r="FX9" s="100" t="n"/>
      <c r="FY9" s="100" t="n"/>
      <c r="FZ9" s="102" t="n"/>
      <c r="GA9" s="266" t="n"/>
      <c r="GB9" s="525" t="n"/>
      <c r="GC9" s="525" t="n"/>
      <c r="GD9" s="265" t="n"/>
      <c r="GE9" s="266" t="n"/>
      <c r="GF9" s="525" t="n"/>
      <c r="GG9" s="525" t="n"/>
      <c r="GH9" s="265" t="n"/>
      <c r="GI9" s="31" t="n"/>
      <c r="GJ9" s="45" t="n"/>
      <c r="GK9" s="665" t="n"/>
      <c r="GL9" s="45" t="n"/>
      <c r="GM9" s="351" t="n"/>
      <c r="GN9" s="31" t="n"/>
      <c r="GO9" s="45" t="n"/>
      <c r="GP9" s="45" t="n"/>
      <c r="GQ9" s="667" t="n"/>
      <c r="GR9" s="668" t="n"/>
      <c r="GS9" s="107" t="n"/>
      <c r="GT9" s="587" t="n"/>
      <c r="GU9" s="108" t="n"/>
      <c r="GV9" s="266" t="n"/>
      <c r="GW9" s="525" t="n"/>
      <c r="GX9" s="265" t="n"/>
      <c r="GY9" s="266" t="n"/>
      <c r="GZ9" s="525" t="n"/>
      <c r="HA9" s="525" t="n"/>
      <c r="HB9" s="265" t="n"/>
      <c r="HC9" s="31" t="n"/>
      <c r="HD9" s="45" t="n"/>
      <c r="HE9" s="45" t="n"/>
      <c r="HF9" s="45" t="n"/>
      <c r="HG9" s="45" t="n"/>
      <c r="HH9" s="45" t="n"/>
      <c r="HI9" s="45" t="n"/>
      <c r="HJ9" s="45" t="n"/>
      <c r="HK9" s="45" t="n"/>
      <c r="HL9" s="45" t="n"/>
      <c r="HM9" s="45" t="n"/>
      <c r="HN9" s="351" t="n"/>
      <c r="HO9" s="606" t="n"/>
      <c r="HP9" s="65">
        <f>AVERAGE(G9,L9,N9)</f>
        <v/>
      </c>
      <c r="HQ9" s="66">
        <f>AVERAGE(E9,H9,O9,Q9,S9,V9,Z9)</f>
        <v/>
      </c>
      <c r="HR9" s="66">
        <f>AVERAGE(T9)</f>
        <v/>
      </c>
      <c r="HS9" s="66">
        <f>AVERAGE(P9)</f>
        <v/>
      </c>
      <c r="HT9" s="66">
        <f>AVERAGE(W9,R9,F9)</f>
        <v/>
      </c>
      <c r="HU9" s="66" t="n"/>
      <c r="HV9" s="66">
        <f>AVERAGE(X9)</f>
        <v/>
      </c>
      <c r="HW9" s="66" t="n"/>
      <c r="HX9" s="66" t="n"/>
      <c r="HY9" s="66">
        <f>AVERAGE(Y9)</f>
        <v/>
      </c>
    </row>
    <row r="10" ht="15.75" customHeight="1" s="590">
      <c r="B10" s="12" t="n">
        <v>4</v>
      </c>
      <c r="C10" s="13" t="inlineStr">
        <is>
          <t>052-25-126020</t>
        </is>
      </c>
      <c r="D10" s="14" t="inlineStr">
        <is>
          <t>Muhammad Sudais</t>
        </is>
      </c>
      <c r="E10" s="274" t="n">
        <v>75</v>
      </c>
      <c r="F10" s="241" t="n">
        <v>78.89</v>
      </c>
      <c r="G10" s="526" t="n">
        <v>89.26000000000001</v>
      </c>
      <c r="H10" s="273" t="n">
        <v>83.64</v>
      </c>
      <c r="I10" s="274" t="n">
        <v>57.1833333333333</v>
      </c>
      <c r="J10" s="683" t="n"/>
      <c r="K10" s="665" t="n"/>
      <c r="L10" s="273" t="n">
        <v>86.58</v>
      </c>
      <c r="M10" s="663" t="n"/>
      <c r="N10" s="523" t="n">
        <v>50</v>
      </c>
      <c r="O10" s="524" t="n">
        <v>61.11</v>
      </c>
      <c r="P10" s="525" t="n">
        <v>57.78</v>
      </c>
      <c r="Q10" s="241" t="n">
        <v>66.67</v>
      </c>
      <c r="R10" s="273" t="n">
        <v>75.91</v>
      </c>
      <c r="S10" s="270" t="n">
        <v>92.5</v>
      </c>
      <c r="T10" s="262" t="n">
        <v>86.75</v>
      </c>
      <c r="U10" s="663" t="n"/>
      <c r="V10" s="274" t="n">
        <v>73.20999999999999</v>
      </c>
      <c r="W10" s="241" t="n">
        <v>73.89</v>
      </c>
      <c r="X10" s="273" t="n">
        <v>100</v>
      </c>
      <c r="Y10" s="273" t="n">
        <v>58.89</v>
      </c>
      <c r="Z10" s="273" t="n">
        <v>74</v>
      </c>
      <c r="AA10" s="269" t="n">
        <v>86.25</v>
      </c>
      <c r="AB10" s="269" t="n">
        <v>90</v>
      </c>
      <c r="AC10" s="269" t="n">
        <v>84.44</v>
      </c>
      <c r="AD10" s="269" t="n">
        <v>93.33333333333333</v>
      </c>
      <c r="AE10" s="269" t="n">
        <v>92.5</v>
      </c>
      <c r="AF10" s="269" t="n">
        <v>80.07936507936508</v>
      </c>
      <c r="AG10" s="263" t="n">
        <v>92.30769230769231</v>
      </c>
      <c r="AH10" s="528" t="n">
        <v>83.81</v>
      </c>
      <c r="AI10" s="528" t="n">
        <v>81.14</v>
      </c>
      <c r="AJ10" s="528" t="n">
        <v>72.67</v>
      </c>
      <c r="AK10" s="528" t="n">
        <v>65.98999999999999</v>
      </c>
      <c r="AL10" s="528" t="n">
        <v>85</v>
      </c>
      <c r="AM10" s="528" t="n">
        <v>16</v>
      </c>
      <c r="AN10" s="225" t="n">
        <v>56.19</v>
      </c>
      <c r="AO10" s="225" t="n">
        <v>35.56</v>
      </c>
      <c r="AP10" s="225" t="n">
        <v>61.67</v>
      </c>
      <c r="AQ10" s="263" t="n">
        <v>64.59</v>
      </c>
      <c r="AR10" s="528" t="n">
        <v>58.81</v>
      </c>
      <c r="AS10" s="528" t="n">
        <v>52</v>
      </c>
      <c r="AT10" s="262" t="n">
        <v>72</v>
      </c>
      <c r="AU10" s="261" t="n">
        <v>40</v>
      </c>
      <c r="AV10" s="263" t="n">
        <v>47.5</v>
      </c>
      <c r="AW10" s="263" t="n">
        <v>41.67</v>
      </c>
      <c r="AX10" s="263" t="n">
        <v>75</v>
      </c>
      <c r="AY10" s="262" t="n"/>
      <c r="AZ10" s="262" t="n"/>
      <c r="BA10" s="262" t="n"/>
      <c r="BB10" s="274" t="n"/>
      <c r="BC10" s="525" t="n"/>
      <c r="BD10" s="527" t="n"/>
      <c r="BE10" s="274" t="n"/>
      <c r="BF10" s="525" t="n"/>
      <c r="BG10" s="527" t="n"/>
      <c r="BH10" s="274" t="n"/>
      <c r="BI10" s="525" t="n"/>
      <c r="BJ10" s="525" t="n"/>
      <c r="BK10" s="525" t="n"/>
      <c r="BL10" s="525" t="n"/>
      <c r="BM10" s="525" t="n"/>
      <c r="BN10" s="527" t="n"/>
      <c r="BO10" s="525" t="n"/>
      <c r="BP10" s="525" t="n"/>
      <c r="BQ10" s="525" t="n"/>
      <c r="BR10" s="525" t="n"/>
      <c r="BS10" s="525" t="n"/>
      <c r="BT10" s="525" t="n"/>
      <c r="BU10" s="525" t="n"/>
      <c r="BV10" s="266" t="n"/>
      <c r="BW10" s="525" t="n"/>
      <c r="BX10" s="525" t="n"/>
      <c r="BY10" s="525" t="n"/>
      <c r="BZ10" s="525" t="n"/>
      <c r="CA10" s="525" t="n"/>
      <c r="CB10" s="266" t="n"/>
      <c r="CC10" s="525" t="n"/>
      <c r="CD10" s="525" t="n"/>
      <c r="CE10" s="265" t="n"/>
      <c r="CF10" s="525" t="n"/>
      <c r="CG10" s="525" t="n"/>
      <c r="CH10" s="525" t="n"/>
      <c r="CI10" s="525" t="n"/>
      <c r="CJ10" s="524" t="n"/>
      <c r="CK10" s="266" t="n"/>
      <c r="CL10" s="266" t="n"/>
      <c r="CM10" s="266" t="n"/>
      <c r="CN10" s="266" t="n"/>
      <c r="CO10" s="525" t="n"/>
      <c r="CP10" s="265" t="n"/>
      <c r="CQ10" s="74" t="n"/>
      <c r="CR10" s="75" t="n"/>
      <c r="CS10" s="76" t="n"/>
      <c r="CT10" s="76" t="n"/>
      <c r="CU10" s="91" t="n"/>
      <c r="CV10" s="525" t="n"/>
      <c r="CW10" s="525" t="n"/>
      <c r="CX10" s="525" t="n"/>
      <c r="CY10" s="525" t="n"/>
      <c r="CZ10" s="524" t="n"/>
      <c r="DA10" s="141" t="n"/>
      <c r="DB10" s="162" t="n"/>
      <c r="DC10" s="162" t="n"/>
      <c r="DD10" s="512" t="n"/>
      <c r="DE10" s="491" t="n"/>
      <c r="DF10" s="141" t="n"/>
      <c r="DG10" s="139" t="n"/>
      <c r="DH10" s="139" t="n"/>
      <c r="DI10" s="139" t="n"/>
      <c r="DJ10" s="347" t="n"/>
      <c r="DK10" s="348" t="n"/>
      <c r="DL10" s="162" t="n"/>
      <c r="DM10" s="162" t="n"/>
      <c r="DN10" s="162" t="n"/>
      <c r="DO10" s="162" t="n"/>
      <c r="DP10" s="201" t="n"/>
      <c r="DQ10" s="201" t="n"/>
      <c r="DR10" s="163" t="n"/>
      <c r="DS10" s="141" t="n"/>
      <c r="DT10" s="139" t="n"/>
      <c r="DU10" s="139" t="n"/>
      <c r="DV10" s="139" t="n"/>
      <c r="DW10" s="140" t="n"/>
      <c r="DX10" s="347" t="n"/>
      <c r="DY10" s="147" t="n"/>
      <c r="DZ10" s="31" t="n"/>
      <c r="EA10" s="349" t="n"/>
      <c r="EB10" s="349" t="n"/>
      <c r="EC10" s="45" t="n"/>
      <c r="ED10" s="351" t="n"/>
      <c r="EE10" s="107" t="n"/>
      <c r="EF10" s="139" t="n"/>
      <c r="EG10" s="139" t="n"/>
      <c r="EH10" s="139" t="n"/>
      <c r="EI10" s="140" t="n"/>
      <c r="EJ10" s="108" t="n"/>
      <c r="EK10" s="141" t="n"/>
      <c r="EL10" s="140" t="n"/>
      <c r="EM10" s="140" t="n"/>
      <c r="EN10" s="140" t="n"/>
      <c r="EO10" s="347" t="n"/>
      <c r="EP10" s="348" t="n"/>
      <c r="EQ10" s="107" t="n"/>
      <c r="ER10" s="140" t="n"/>
      <c r="ES10" s="140" t="n"/>
      <c r="ET10" s="107" t="n"/>
      <c r="EU10" s="587" t="n"/>
      <c r="EV10" s="587" t="n"/>
      <c r="EW10" s="141" t="n"/>
      <c r="EX10" s="140" t="n"/>
      <c r="EY10" s="140" t="n"/>
      <c r="EZ10" s="140" t="n"/>
      <c r="FA10" s="140" t="n"/>
      <c r="FB10" s="147" t="n"/>
      <c r="FC10" s="74" t="n"/>
      <c r="FD10" s="75" t="n"/>
      <c r="FE10" s="76" t="n"/>
      <c r="FF10" s="76" t="n"/>
      <c r="FG10" s="91" t="n"/>
      <c r="FH10" s="92" t="n"/>
      <c r="FI10" s="91" t="n"/>
      <c r="FJ10" s="74" t="n"/>
      <c r="FK10" s="92" t="n"/>
      <c r="FL10" s="148" t="n"/>
      <c r="FM10" s="149" t="n"/>
      <c r="FN10" s="150" t="n"/>
      <c r="FO10" s="99" t="n"/>
      <c r="FP10" s="100" t="n"/>
      <c r="FQ10" s="100" t="n"/>
      <c r="FR10" s="100" t="n"/>
      <c r="FS10" s="100" t="n"/>
      <c r="FT10" s="100" t="n"/>
      <c r="FU10" s="100" t="n"/>
      <c r="FV10" s="100" t="n"/>
      <c r="FW10" s="100" t="n"/>
      <c r="FX10" s="100" t="n"/>
      <c r="FY10" s="100" t="n"/>
      <c r="FZ10" s="102" t="n"/>
      <c r="GA10" s="266" t="n"/>
      <c r="GB10" s="525" t="n"/>
      <c r="GC10" s="525" t="n"/>
      <c r="GD10" s="265" t="n"/>
      <c r="GE10" s="266" t="n"/>
      <c r="GF10" s="525" t="n"/>
      <c r="GG10" s="525" t="n"/>
      <c r="GH10" s="265" t="n"/>
      <c r="GI10" s="31" t="n"/>
      <c r="GJ10" s="349" t="n"/>
      <c r="GK10" s="349" t="n"/>
      <c r="GL10" s="45" t="n"/>
      <c r="GM10" s="351" t="n"/>
      <c r="GN10" s="31" t="n"/>
      <c r="GO10" s="45" t="n"/>
      <c r="GP10" s="45" t="n"/>
      <c r="GQ10" s="350" t="n"/>
      <c r="GR10" s="351" t="n"/>
      <c r="GS10" s="107" t="n"/>
      <c r="GT10" s="587" t="n"/>
      <c r="GU10" s="108" t="n"/>
      <c r="GV10" s="266" t="n"/>
      <c r="GW10" s="525" t="n"/>
      <c r="GX10" s="265" t="n"/>
      <c r="GY10" s="266" t="n"/>
      <c r="GZ10" s="525" t="n"/>
      <c r="HA10" s="525" t="n"/>
      <c r="HB10" s="265" t="n"/>
      <c r="HC10" s="31" t="n"/>
      <c r="HD10" s="45" t="n"/>
      <c r="HE10" s="45" t="n"/>
      <c r="HF10" s="45" t="n"/>
      <c r="HG10" s="45" t="n"/>
      <c r="HH10" s="45" t="n"/>
      <c r="HI10" s="45" t="n"/>
      <c r="HJ10" s="45" t="n"/>
      <c r="HK10" s="45" t="n"/>
      <c r="HL10" s="45" t="n"/>
      <c r="HM10" s="45" t="n"/>
      <c r="HN10" s="351" t="n"/>
      <c r="HO10" s="606" t="n"/>
      <c r="HP10" s="65">
        <f>AVERAGE(G10,L10,N10)</f>
        <v/>
      </c>
      <c r="HQ10" s="66">
        <f>AVERAGE(E10,H10,O10,Q10,S10,V10,Z10)</f>
        <v/>
      </c>
      <c r="HR10" s="66">
        <f>AVERAGE(T10)</f>
        <v/>
      </c>
      <c r="HS10" s="66">
        <f>AVERAGE(P10)</f>
        <v/>
      </c>
      <c r="HT10" s="66">
        <f>AVERAGE(W10,R10,F10)</f>
        <v/>
      </c>
      <c r="HU10" s="66" t="n"/>
      <c r="HV10" s="66">
        <f>AVERAGE(X10)</f>
        <v/>
      </c>
      <c r="HW10" s="66" t="n"/>
      <c r="HX10" s="66" t="n"/>
      <c r="HY10" s="66">
        <f>AVERAGE(Y10)</f>
        <v/>
      </c>
    </row>
    <row r="11" ht="15.75" customHeight="1" s="590">
      <c r="B11" s="12" t="n">
        <v>5</v>
      </c>
      <c r="C11" s="13" t="inlineStr">
        <is>
          <t>052-25-126028</t>
        </is>
      </c>
      <c r="D11" s="14" t="inlineStr">
        <is>
          <t>Hina Qamar</t>
        </is>
      </c>
      <c r="E11" s="274" t="n">
        <v>81.67</v>
      </c>
      <c r="F11" s="241" t="n">
        <v>87.78</v>
      </c>
      <c r="G11" s="526" t="n">
        <v>84.81</v>
      </c>
      <c r="H11" s="273" t="n">
        <v>86.06</v>
      </c>
      <c r="I11" s="274" t="n">
        <v>88.08</v>
      </c>
      <c r="J11" s="683" t="n"/>
      <c r="K11" s="665" t="n"/>
      <c r="L11" s="273" t="n">
        <v>90.90000000000001</v>
      </c>
      <c r="M11" s="663" t="n"/>
      <c r="N11" s="523" t="n">
        <v>96</v>
      </c>
      <c r="O11" s="524" t="n">
        <v>90.56</v>
      </c>
      <c r="P11" s="525" t="n">
        <v>83.89</v>
      </c>
      <c r="Q11" s="241" t="n">
        <v>86.97</v>
      </c>
      <c r="R11" s="273" t="n">
        <v>91.20999999999999</v>
      </c>
      <c r="S11" s="270" t="n">
        <v>95</v>
      </c>
      <c r="T11" s="262" t="n">
        <v>83.58</v>
      </c>
      <c r="U11" s="663" t="n"/>
      <c r="V11" s="274" t="n">
        <v>86.43000000000001</v>
      </c>
      <c r="W11" s="241" t="n">
        <v>82.08</v>
      </c>
      <c r="X11" s="273" t="n">
        <v>100</v>
      </c>
      <c r="Y11" s="273" t="n">
        <v>71.11</v>
      </c>
      <c r="Z11" s="273" t="n">
        <v>78</v>
      </c>
      <c r="AA11" s="269" t="n">
        <v>70.42</v>
      </c>
      <c r="AB11" s="269" t="n">
        <v>68.5</v>
      </c>
      <c r="AC11" s="269" t="n">
        <v>73.33</v>
      </c>
      <c r="AD11" s="269" t="n">
        <v>29.04761904761905</v>
      </c>
      <c r="AE11" s="269" t="n">
        <v>42.5</v>
      </c>
      <c r="AF11" s="269" t="n">
        <v>38.90873015873016</v>
      </c>
      <c r="AG11" s="263" t="n">
        <v>56.53846153846154</v>
      </c>
      <c r="AH11" s="528" t="n">
        <v>90.48</v>
      </c>
      <c r="AI11" s="528" t="n">
        <v>89.43000000000001</v>
      </c>
      <c r="AJ11" s="528" t="n">
        <v>90.67</v>
      </c>
      <c r="AK11" s="528" t="n">
        <v>87.19</v>
      </c>
      <c r="AL11" s="528" t="n">
        <v>100</v>
      </c>
      <c r="AM11" s="528" t="n">
        <v>16</v>
      </c>
      <c r="AN11" s="225" t="n">
        <v>74.29000000000001</v>
      </c>
      <c r="AO11" s="225" t="n">
        <v>82.64</v>
      </c>
      <c r="AP11" s="225" t="n">
        <v>89.33</v>
      </c>
      <c r="AQ11" s="263" t="n">
        <v>84.89</v>
      </c>
      <c r="AR11" s="528" t="n">
        <v>89.76000000000001</v>
      </c>
      <c r="AS11" s="528" t="n">
        <v>97.33</v>
      </c>
      <c r="AT11" s="262" t="n">
        <v>92</v>
      </c>
      <c r="AU11" s="261" t="n">
        <v>80.83</v>
      </c>
      <c r="AV11" s="263" t="n">
        <v>83.33</v>
      </c>
      <c r="AW11" s="263" t="n">
        <v>75</v>
      </c>
      <c r="AX11" s="263" t="n">
        <v>25</v>
      </c>
      <c r="AY11" s="262" t="n"/>
      <c r="AZ11" s="262" t="n"/>
      <c r="BA11" s="262" t="n"/>
      <c r="BB11" s="274" t="n"/>
      <c r="BC11" s="525" t="n"/>
      <c r="BD11" s="527" t="n"/>
      <c r="BE11" s="274" t="n"/>
      <c r="BF11" s="525" t="n"/>
      <c r="BG11" s="527" t="n"/>
      <c r="BH11" s="274" t="n"/>
      <c r="BI11" s="525" t="n"/>
      <c r="BJ11" s="525" t="n"/>
      <c r="BK11" s="525" t="n"/>
      <c r="BL11" s="525" t="n"/>
      <c r="BM11" s="525" t="n"/>
      <c r="BN11" s="527" t="n"/>
      <c r="BO11" s="525" t="n"/>
      <c r="BP11" s="525" t="n"/>
      <c r="BQ11" s="525" t="n"/>
      <c r="BR11" s="525" t="n"/>
      <c r="BS11" s="525" t="n"/>
      <c r="BT11" s="525" t="n"/>
      <c r="BU11" s="525" t="n"/>
      <c r="BV11" s="266" t="n"/>
      <c r="BW11" s="525" t="n"/>
      <c r="BX11" s="525" t="n"/>
      <c r="BY11" s="525" t="n"/>
      <c r="BZ11" s="525" t="n"/>
      <c r="CA11" s="525" t="n"/>
      <c r="CB11" s="266" t="n"/>
      <c r="CC11" s="525" t="n"/>
      <c r="CD11" s="525" t="n"/>
      <c r="CE11" s="265" t="n"/>
      <c r="CF11" s="525" t="n"/>
      <c r="CG11" s="525" t="n"/>
      <c r="CH11" s="525" t="n"/>
      <c r="CI11" s="525" t="n"/>
      <c r="CJ11" s="524" t="n"/>
      <c r="CK11" s="266" t="n"/>
      <c r="CL11" s="266" t="n"/>
      <c r="CM11" s="266" t="n"/>
      <c r="CN11" s="266" t="n"/>
      <c r="CO11" s="525" t="n"/>
      <c r="CP11" s="265" t="n"/>
      <c r="CQ11" s="74" t="n"/>
      <c r="CR11" s="75" t="n"/>
      <c r="CS11" s="76" t="n"/>
      <c r="CT11" s="76" t="n"/>
      <c r="CU11" s="91" t="n"/>
      <c r="CV11" s="525" t="n"/>
      <c r="CW11" s="525" t="n"/>
      <c r="CX11" s="525" t="n"/>
      <c r="CY11" s="525" t="n"/>
      <c r="CZ11" s="524" t="n"/>
      <c r="DA11" s="141" t="n"/>
      <c r="DB11" s="162" t="n"/>
      <c r="DC11" s="162" t="n"/>
      <c r="DD11" s="512" t="n"/>
      <c r="DE11" s="491" t="n"/>
      <c r="DF11" s="141" t="n"/>
      <c r="DG11" s="139" t="n"/>
      <c r="DH11" s="139" t="n"/>
      <c r="DI11" s="139" t="n"/>
      <c r="DJ11" s="347" t="n"/>
      <c r="DK11" s="348" t="n"/>
      <c r="DL11" s="162" t="n"/>
      <c r="DM11" s="162" t="n"/>
      <c r="DN11" s="162" t="n"/>
      <c r="DO11" s="162" t="n"/>
      <c r="DP11" s="201" t="n"/>
      <c r="DQ11" s="201" t="n"/>
      <c r="DR11" s="163" t="n"/>
      <c r="DS11" s="141" t="n"/>
      <c r="DT11" s="139" t="n"/>
      <c r="DU11" s="139" t="n"/>
      <c r="DV11" s="139" t="n"/>
      <c r="DW11" s="140" t="n"/>
      <c r="DX11" s="347" t="n"/>
      <c r="DY11" s="147" t="n"/>
      <c r="DZ11" s="31" t="n"/>
      <c r="EA11" s="349" t="n"/>
      <c r="EB11" s="349" t="n"/>
      <c r="EC11" s="45" t="n"/>
      <c r="ED11" s="351" t="n"/>
      <c r="EE11" s="107" t="n"/>
      <c r="EF11" s="139" t="n"/>
      <c r="EG11" s="139" t="n"/>
      <c r="EH11" s="139" t="n"/>
      <c r="EI11" s="140" t="n"/>
      <c r="EJ11" s="108" t="n"/>
      <c r="EK11" s="141" t="n"/>
      <c r="EL11" s="140" t="n"/>
      <c r="EM11" s="140" t="n"/>
      <c r="EN11" s="140" t="n"/>
      <c r="EO11" s="347" t="n"/>
      <c r="EP11" s="348" t="n"/>
      <c r="EQ11" s="107" t="n"/>
      <c r="ER11" s="140" t="n"/>
      <c r="ES11" s="140" t="n"/>
      <c r="ET11" s="107" t="n"/>
      <c r="EU11" s="587" t="n"/>
      <c r="EV11" s="587" t="n"/>
      <c r="EW11" s="141" t="n"/>
      <c r="EX11" s="140" t="n"/>
      <c r="EY11" s="140" t="n"/>
      <c r="EZ11" s="140" t="n"/>
      <c r="FA11" s="140" t="n"/>
      <c r="FB11" s="147" t="n"/>
      <c r="FC11" s="74" t="n"/>
      <c r="FD11" s="75" t="n"/>
      <c r="FE11" s="76" t="n"/>
      <c r="FF11" s="76" t="n"/>
      <c r="FG11" s="91" t="n"/>
      <c r="FH11" s="92" t="n"/>
      <c r="FI11" s="91" t="n"/>
      <c r="FJ11" s="74" t="n"/>
      <c r="FK11" s="92" t="n"/>
      <c r="FL11" s="148" t="n"/>
      <c r="FM11" s="149" t="n"/>
      <c r="FN11" s="150" t="n"/>
      <c r="FO11" s="99" t="n"/>
      <c r="FP11" s="100" t="n"/>
      <c r="FQ11" s="100" t="n"/>
      <c r="FR11" s="100" t="n"/>
      <c r="FS11" s="100" t="n"/>
      <c r="FT11" s="100" t="n"/>
      <c r="FU11" s="100" t="n"/>
      <c r="FV11" s="100" t="n"/>
      <c r="FW11" s="100" t="n"/>
      <c r="FX11" s="100" t="n"/>
      <c r="FY11" s="100" t="n"/>
      <c r="FZ11" s="102" t="n"/>
      <c r="GA11" s="266" t="n"/>
      <c r="GB11" s="525" t="n"/>
      <c r="GC11" s="525" t="n"/>
      <c r="GD11" s="265" t="n"/>
      <c r="GE11" s="266" t="n"/>
      <c r="GF11" s="525" t="n"/>
      <c r="GG11" s="525" t="n"/>
      <c r="GH11" s="265" t="n"/>
      <c r="GI11" s="31" t="n"/>
      <c r="GJ11" s="349" t="n"/>
      <c r="GK11" s="349" t="n"/>
      <c r="GL11" s="45" t="n"/>
      <c r="GM11" s="351" t="n"/>
      <c r="GN11" s="31" t="n"/>
      <c r="GO11" s="45" t="n"/>
      <c r="GP11" s="45" t="n"/>
      <c r="GQ11" s="350" t="n"/>
      <c r="GR11" s="351" t="n"/>
      <c r="GS11" s="107" t="n"/>
      <c r="GT11" s="587" t="n"/>
      <c r="GU11" s="108" t="n"/>
      <c r="GV11" s="266" t="n"/>
      <c r="GW11" s="525" t="n"/>
      <c r="GX11" s="265" t="n"/>
      <c r="GY11" s="266" t="n"/>
      <c r="GZ11" s="525" t="n"/>
      <c r="HA11" s="525" t="n"/>
      <c r="HB11" s="265" t="n"/>
      <c r="HC11" s="31" t="n"/>
      <c r="HD11" s="45" t="n"/>
      <c r="HE11" s="45" t="n"/>
      <c r="HF11" s="45" t="n"/>
      <c r="HG11" s="45" t="n"/>
      <c r="HH11" s="45" t="n"/>
      <c r="HI11" s="45" t="n"/>
      <c r="HJ11" s="45" t="n"/>
      <c r="HK11" s="45" t="n"/>
      <c r="HL11" s="45" t="n"/>
      <c r="HM11" s="45" t="n"/>
      <c r="HN11" s="351" t="n"/>
      <c r="HO11" s="606" t="n"/>
      <c r="HP11" s="65">
        <f>AVERAGE(G11,L11,N11)</f>
        <v/>
      </c>
      <c r="HQ11" s="66">
        <f>AVERAGE(E11,H11,O11,Q11,S11,V11,Z11)</f>
        <v/>
      </c>
      <c r="HR11" s="66">
        <f>AVERAGE(T11)</f>
        <v/>
      </c>
      <c r="HS11" s="66">
        <f>AVERAGE(P11)</f>
        <v/>
      </c>
      <c r="HT11" s="66">
        <f>AVERAGE(W11,R11,F11)</f>
        <v/>
      </c>
      <c r="HU11" s="66" t="n"/>
      <c r="HV11" s="66">
        <f>AVERAGE(X11)</f>
        <v/>
      </c>
      <c r="HW11" s="66" t="n"/>
      <c r="HX11" s="66" t="n"/>
      <c r="HY11" s="66">
        <f>AVERAGE(Y11)</f>
        <v/>
      </c>
    </row>
    <row r="12" ht="15.75" customHeight="1" s="590">
      <c r="B12" s="12" t="n">
        <v>6</v>
      </c>
      <c r="C12" s="13" t="inlineStr">
        <is>
          <t>052-25-126035</t>
        </is>
      </c>
      <c r="D12" s="14" t="inlineStr">
        <is>
          <t>Muhammad Talha</t>
        </is>
      </c>
      <c r="E12" s="274" t="n">
        <v>53.33</v>
      </c>
      <c r="F12" s="241" t="n">
        <v>52.22</v>
      </c>
      <c r="G12" s="526" t="n">
        <v>63.7</v>
      </c>
      <c r="H12" s="273" t="n">
        <v>68.70999999999999</v>
      </c>
      <c r="I12" s="274" t="n">
        <v>12.6666666666667</v>
      </c>
      <c r="J12" s="683" t="n"/>
      <c r="K12" s="665" t="n"/>
      <c r="L12" s="273" t="n">
        <v>20.42</v>
      </c>
      <c r="M12" s="663" t="n"/>
      <c r="N12" s="523" t="n">
        <v>18</v>
      </c>
      <c r="O12" s="524" t="n">
        <v>26.67</v>
      </c>
      <c r="P12" s="525" t="n">
        <v>15</v>
      </c>
      <c r="Q12" s="241" t="n">
        <v>21.21</v>
      </c>
      <c r="R12" s="273" t="n">
        <v>9.09</v>
      </c>
      <c r="S12" s="270" t="n">
        <v>85</v>
      </c>
      <c r="T12" s="262" t="n">
        <v>78</v>
      </c>
      <c r="U12" s="663" t="n"/>
      <c r="V12" s="274" t="n">
        <v>65</v>
      </c>
      <c r="W12" s="241" t="n">
        <v>70.63</v>
      </c>
      <c r="X12" s="273" t="n">
        <v>100</v>
      </c>
      <c r="Y12" s="273" t="n">
        <v>57.78</v>
      </c>
      <c r="Z12" s="273" t="n">
        <v>74</v>
      </c>
      <c r="AA12" s="269" t="n">
        <v>46.25</v>
      </c>
      <c r="AB12" s="269" t="n">
        <v>43.5</v>
      </c>
      <c r="AC12" s="269" t="n">
        <v>44.3</v>
      </c>
      <c r="AD12" s="269" t="n">
        <v>34.28571428571428</v>
      </c>
      <c r="AE12" s="269" t="n">
        <v>62.5</v>
      </c>
      <c r="AF12" s="269" t="n">
        <v>54.22619047619047</v>
      </c>
      <c r="AG12" s="263" t="n">
        <v>91.15384615384616</v>
      </c>
      <c r="AH12" s="528" t="n">
        <v>5.71</v>
      </c>
      <c r="AI12" s="528" t="n">
        <v>11.43</v>
      </c>
      <c r="AJ12" s="528" t="n">
        <v>3.33</v>
      </c>
      <c r="AK12" s="528" t="n">
        <v>60.63</v>
      </c>
      <c r="AL12" s="528" t="n"/>
      <c r="AM12" s="528" t="n"/>
      <c r="AN12" s="225" t="n">
        <v>0</v>
      </c>
      <c r="AO12" s="225" t="n">
        <v>6.67</v>
      </c>
      <c r="AP12" s="225" t="n">
        <v>0</v>
      </c>
      <c r="AQ12" s="263" t="n">
        <v>8.890000000000001</v>
      </c>
      <c r="AR12" s="528" t="n">
        <v>7.14</v>
      </c>
      <c r="AS12" s="528" t="n">
        <v>3.33</v>
      </c>
      <c r="AT12" s="262" t="n">
        <v>0</v>
      </c>
      <c r="AU12" s="261" t="n">
        <v>5.56</v>
      </c>
      <c r="AV12" s="263" t="n">
        <v>22.92</v>
      </c>
      <c r="AW12" s="263" t="n">
        <v>8.33</v>
      </c>
      <c r="AX12" s="263" t="n">
        <v>100</v>
      </c>
      <c r="AY12" s="262" t="n"/>
      <c r="AZ12" s="262" t="n"/>
      <c r="BA12" s="262" t="n"/>
      <c r="BB12" s="274" t="n"/>
      <c r="BC12" s="525" t="n"/>
      <c r="BD12" s="527" t="n"/>
      <c r="BE12" s="274" t="n"/>
      <c r="BF12" s="525" t="n"/>
      <c r="BG12" s="527" t="n"/>
      <c r="BH12" s="274" t="n"/>
      <c r="BI12" s="525" t="n"/>
      <c r="BJ12" s="525" t="n"/>
      <c r="BK12" s="525" t="n"/>
      <c r="BL12" s="525" t="n"/>
      <c r="BM12" s="525" t="n"/>
      <c r="BN12" s="527" t="n"/>
      <c r="BO12" s="525" t="n"/>
      <c r="BP12" s="525" t="n"/>
      <c r="BQ12" s="525" t="n"/>
      <c r="BR12" s="525" t="n"/>
      <c r="BS12" s="525" t="n"/>
      <c r="BT12" s="525" t="n"/>
      <c r="BU12" s="525" t="n"/>
      <c r="BV12" s="266" t="n"/>
      <c r="BW12" s="525" t="n"/>
      <c r="BX12" s="525" t="n"/>
      <c r="BY12" s="525" t="n"/>
      <c r="BZ12" s="525" t="n"/>
      <c r="CA12" s="525" t="n"/>
      <c r="CB12" s="266" t="n"/>
      <c r="CC12" s="525" t="n"/>
      <c r="CD12" s="525" t="n"/>
      <c r="CE12" s="265" t="n"/>
      <c r="CF12" s="525" t="n"/>
      <c r="CG12" s="525" t="n"/>
      <c r="CH12" s="525" t="n"/>
      <c r="CI12" s="525" t="n"/>
      <c r="CJ12" s="524" t="n"/>
      <c r="CK12" s="266" t="n"/>
      <c r="CL12" s="266" t="n"/>
      <c r="CM12" s="266" t="n"/>
      <c r="CN12" s="266" t="n"/>
      <c r="CO12" s="525" t="n"/>
      <c r="CP12" s="265" t="n"/>
      <c r="CQ12" s="74" t="n"/>
      <c r="CR12" s="75" t="n"/>
      <c r="CS12" s="76" t="n"/>
      <c r="CT12" s="76" t="n"/>
      <c r="CU12" s="91" t="n"/>
      <c r="CV12" s="525" t="n"/>
      <c r="CW12" s="525" t="n"/>
      <c r="CX12" s="525" t="n"/>
      <c r="CY12" s="525" t="n"/>
      <c r="CZ12" s="524" t="n"/>
      <c r="DA12" s="141" t="n"/>
      <c r="DB12" s="162" t="n"/>
      <c r="DC12" s="162" t="n"/>
      <c r="DD12" s="512" t="n"/>
      <c r="DE12" s="491" t="n"/>
      <c r="DF12" s="141" t="n"/>
      <c r="DG12" s="139" t="n"/>
      <c r="DH12" s="139" t="n"/>
      <c r="DI12" s="139" t="n"/>
      <c r="DJ12" s="347" t="n"/>
      <c r="DK12" s="348" t="n"/>
      <c r="DL12" s="162" t="n"/>
      <c r="DM12" s="162" t="n"/>
      <c r="DN12" s="162" t="n"/>
      <c r="DO12" s="162" t="n"/>
      <c r="DP12" s="201" t="n"/>
      <c r="DQ12" s="201" t="n"/>
      <c r="DR12" s="163" t="n"/>
      <c r="DS12" s="141" t="n"/>
      <c r="DT12" s="139" t="n"/>
      <c r="DU12" s="139" t="n"/>
      <c r="DV12" s="139" t="n"/>
      <c r="DW12" s="140" t="n"/>
      <c r="DX12" s="347" t="n"/>
      <c r="DY12" s="147" t="n"/>
      <c r="DZ12" s="31" t="n"/>
      <c r="EA12" s="349" t="n"/>
      <c r="EB12" s="349" t="n"/>
      <c r="EC12" s="45" t="n"/>
      <c r="ED12" s="351" t="n"/>
      <c r="EE12" s="107" t="n"/>
      <c r="EF12" s="139" t="n"/>
      <c r="EG12" s="139" t="n"/>
      <c r="EH12" s="139" t="n"/>
      <c r="EI12" s="140" t="n"/>
      <c r="EJ12" s="108" t="n"/>
      <c r="EK12" s="141" t="n"/>
      <c r="EL12" s="140" t="n"/>
      <c r="EM12" s="140" t="n"/>
      <c r="EN12" s="140" t="n"/>
      <c r="EO12" s="347" t="n"/>
      <c r="EP12" s="348" t="n"/>
      <c r="EQ12" s="107" t="n"/>
      <c r="ER12" s="140" t="n"/>
      <c r="ES12" s="140" t="n"/>
      <c r="ET12" s="107" t="n"/>
      <c r="EU12" s="587" t="n"/>
      <c r="EV12" s="587" t="n"/>
      <c r="EW12" s="141" t="n"/>
      <c r="EX12" s="140" t="n"/>
      <c r="EY12" s="140" t="n"/>
      <c r="EZ12" s="140" t="n"/>
      <c r="FA12" s="140" t="n"/>
      <c r="FB12" s="147" t="n"/>
      <c r="FC12" s="74" t="n"/>
      <c r="FD12" s="75" t="n"/>
      <c r="FE12" s="76" t="n"/>
      <c r="FF12" s="76" t="n"/>
      <c r="FG12" s="91" t="n"/>
      <c r="FH12" s="92" t="n"/>
      <c r="FI12" s="91" t="n"/>
      <c r="FJ12" s="74" t="n"/>
      <c r="FK12" s="92" t="n"/>
      <c r="FL12" s="148" t="n"/>
      <c r="FM12" s="149" t="n"/>
      <c r="FN12" s="150" t="n"/>
      <c r="FO12" s="99" t="n"/>
      <c r="FP12" s="100" t="n"/>
      <c r="FQ12" s="100" t="n"/>
      <c r="FR12" s="100" t="n"/>
      <c r="FS12" s="100" t="n"/>
      <c r="FT12" s="100" t="n"/>
      <c r="FU12" s="100" t="n"/>
      <c r="FV12" s="100" t="n"/>
      <c r="FW12" s="100" t="n"/>
      <c r="FX12" s="100" t="n"/>
      <c r="FY12" s="100" t="n"/>
      <c r="FZ12" s="102" t="n"/>
      <c r="GA12" s="266" t="n"/>
      <c r="GB12" s="525" t="n"/>
      <c r="GC12" s="525" t="n"/>
      <c r="GD12" s="265" t="n"/>
      <c r="GE12" s="266" t="n"/>
      <c r="GF12" s="525" t="n"/>
      <c r="GG12" s="525" t="n"/>
      <c r="GH12" s="265" t="n"/>
      <c r="GI12" s="31" t="n"/>
      <c r="GJ12" s="349" t="n"/>
      <c r="GK12" s="349" t="n"/>
      <c r="GL12" s="45" t="n"/>
      <c r="GM12" s="351" t="n"/>
      <c r="GN12" s="31" t="n"/>
      <c r="GO12" s="45" t="n"/>
      <c r="GP12" s="45" t="n"/>
      <c r="GQ12" s="350" t="n"/>
      <c r="GR12" s="351" t="n"/>
      <c r="GS12" s="107" t="n"/>
      <c r="GT12" s="587" t="n"/>
      <c r="GU12" s="108" t="n"/>
      <c r="GV12" s="266" t="n"/>
      <c r="GW12" s="525" t="n"/>
      <c r="GX12" s="265" t="n"/>
      <c r="GY12" s="266" t="n"/>
      <c r="GZ12" s="525" t="n"/>
      <c r="HA12" s="525" t="n"/>
      <c r="HB12" s="265" t="n"/>
      <c r="HC12" s="31" t="n"/>
      <c r="HD12" s="45" t="n"/>
      <c r="HE12" s="45" t="n"/>
      <c r="HF12" s="45" t="n"/>
      <c r="HG12" s="45" t="n"/>
      <c r="HH12" s="45" t="n"/>
      <c r="HI12" s="45" t="n"/>
      <c r="HJ12" s="45" t="n"/>
      <c r="HK12" s="45" t="n"/>
      <c r="HL12" s="45" t="n"/>
      <c r="HM12" s="45" t="n"/>
      <c r="HN12" s="351" t="n"/>
      <c r="HO12" s="606" t="n"/>
      <c r="HP12" s="65">
        <f>AVERAGE(G12,L12,N12)</f>
        <v/>
      </c>
      <c r="HQ12" s="66">
        <f>AVERAGE(E12,H12,O12,Q12,S12,V12,Z12)</f>
        <v/>
      </c>
      <c r="HR12" s="66">
        <f>AVERAGE(T12)</f>
        <v/>
      </c>
      <c r="HS12" s="66">
        <f>AVERAGE(P12)</f>
        <v/>
      </c>
      <c r="HT12" s="66">
        <f>AVERAGE(W12,R12,F12)</f>
        <v/>
      </c>
      <c r="HU12" s="66" t="n"/>
      <c r="HV12" s="66">
        <f>AVERAGE(X12)</f>
        <v/>
      </c>
      <c r="HW12" s="66" t="n"/>
      <c r="HX12" s="66" t="n"/>
      <c r="HY12" s="66">
        <f>AVERAGE(Y12)</f>
        <v/>
      </c>
    </row>
    <row r="13" ht="15.75" customHeight="1" s="590">
      <c r="B13" s="12" t="n">
        <v>7</v>
      </c>
      <c r="C13" s="13" t="inlineStr">
        <is>
          <t>052-25-126036</t>
        </is>
      </c>
      <c r="D13" s="14" t="inlineStr">
        <is>
          <t>Yahya Sohail</t>
        </is>
      </c>
      <c r="E13" s="274" t="n">
        <v>78.33</v>
      </c>
      <c r="F13" s="241" t="n">
        <v>72.22</v>
      </c>
      <c r="G13" s="526" t="n">
        <v>84.44</v>
      </c>
      <c r="H13" s="273" t="n">
        <v>81.67</v>
      </c>
      <c r="I13" s="274" t="n">
        <v>65.8</v>
      </c>
      <c r="J13" s="683" t="n"/>
      <c r="K13" s="665" t="n"/>
      <c r="L13" s="273" t="n">
        <v>89.66</v>
      </c>
      <c r="M13" s="663" t="n"/>
      <c r="N13" s="523" t="n">
        <v>74</v>
      </c>
      <c r="O13" s="524" t="n">
        <v>60</v>
      </c>
      <c r="P13" s="525" t="n">
        <v>60.56</v>
      </c>
      <c r="Q13" s="241" t="n">
        <v>77.27</v>
      </c>
      <c r="R13" s="273" t="n">
        <v>84.55</v>
      </c>
      <c r="S13" s="270" t="n">
        <v>97.5</v>
      </c>
      <c r="T13" s="262" t="n">
        <v>80</v>
      </c>
      <c r="U13" s="663" t="n"/>
      <c r="V13" s="274" t="n">
        <v>84.29000000000001</v>
      </c>
      <c r="W13" s="241" t="n">
        <v>72.12</v>
      </c>
      <c r="X13" s="273" t="n">
        <v>100</v>
      </c>
      <c r="Y13" s="273" t="n">
        <v>58.33</v>
      </c>
      <c r="Z13" s="273" t="n">
        <v>72</v>
      </c>
      <c r="AA13" s="269" t="n">
        <v>69.17</v>
      </c>
      <c r="AB13" s="269" t="n">
        <v>64.5</v>
      </c>
      <c r="AC13" s="269" t="n">
        <v>66.67</v>
      </c>
      <c r="AD13" s="269" t="n">
        <v>37.61904761904762</v>
      </c>
      <c r="AE13" s="269" t="n">
        <v>62.5</v>
      </c>
      <c r="AF13" s="269" t="n">
        <v>66.07142857142857</v>
      </c>
      <c r="AG13" s="241" t="n">
        <v>68.07692307692308</v>
      </c>
      <c r="AH13" s="526" t="n">
        <v>61.43</v>
      </c>
      <c r="AI13" s="526" t="n">
        <v>59.14</v>
      </c>
      <c r="AJ13" s="526" t="n">
        <v>59.33</v>
      </c>
      <c r="AK13" s="528" t="n">
        <v>64.06</v>
      </c>
      <c r="AL13" s="528" t="n">
        <v>100</v>
      </c>
      <c r="AM13" s="528" t="n">
        <v>16</v>
      </c>
      <c r="AN13" s="225" t="n">
        <v>36.67</v>
      </c>
      <c r="AO13" s="225" t="n">
        <v>36.11</v>
      </c>
      <c r="AP13" s="225" t="n">
        <v>57.33</v>
      </c>
      <c r="AQ13" s="263" t="n">
        <v>53.04</v>
      </c>
      <c r="AR13" s="528" t="n">
        <v>62.38</v>
      </c>
      <c r="AS13" s="528" t="n">
        <v>50</v>
      </c>
      <c r="AT13" s="262" t="n">
        <v>68</v>
      </c>
      <c r="AU13" s="261" t="n">
        <v>36.53</v>
      </c>
      <c r="AV13" s="263" t="n">
        <v>30.83</v>
      </c>
      <c r="AW13" s="263" t="n">
        <v>25</v>
      </c>
      <c r="AX13" s="263" t="n">
        <v>87.5</v>
      </c>
      <c r="AY13" s="262" t="n"/>
      <c r="AZ13" s="262" t="n"/>
      <c r="BA13" s="262" t="n"/>
      <c r="BB13" s="274" t="n"/>
      <c r="BC13" s="525" t="n"/>
      <c r="BD13" s="527" t="n"/>
      <c r="BE13" s="274" t="n"/>
      <c r="BF13" s="525" t="n"/>
      <c r="BG13" s="527" t="n"/>
      <c r="BH13" s="274" t="n"/>
      <c r="BI13" s="525" t="n"/>
      <c r="BJ13" s="525" t="n"/>
      <c r="BK13" s="525" t="n"/>
      <c r="BL13" s="525" t="n"/>
      <c r="BM13" s="525" t="n"/>
      <c r="BN13" s="527" t="n"/>
      <c r="BO13" s="525" t="n"/>
      <c r="BP13" s="525" t="n"/>
      <c r="BQ13" s="525" t="n"/>
      <c r="BR13" s="525" t="n"/>
      <c r="BS13" s="525" t="n"/>
      <c r="BT13" s="525" t="n"/>
      <c r="BU13" s="525" t="n"/>
      <c r="BV13" s="266" t="n"/>
      <c r="BW13" s="525" t="n"/>
      <c r="BX13" s="525" t="n"/>
      <c r="BY13" s="525" t="n"/>
      <c r="BZ13" s="525" t="n"/>
      <c r="CA13" s="525" t="n"/>
      <c r="CB13" s="266" t="n"/>
      <c r="CC13" s="525" t="n"/>
      <c r="CD13" s="525" t="n"/>
      <c r="CE13" s="265" t="n"/>
      <c r="CF13" s="525" t="n"/>
      <c r="CG13" s="525" t="n"/>
      <c r="CH13" s="525" t="n"/>
      <c r="CI13" s="525" t="n"/>
      <c r="CJ13" s="524" t="n"/>
      <c r="CK13" s="266" t="n"/>
      <c r="CL13" s="266" t="n"/>
      <c r="CM13" s="266" t="n"/>
      <c r="CN13" s="266" t="n"/>
      <c r="CO13" s="525" t="n"/>
      <c r="CP13" s="265" t="n"/>
      <c r="CQ13" s="74" t="n"/>
      <c r="CR13" s="75" t="n"/>
      <c r="CS13" s="76" t="n"/>
      <c r="CT13" s="76" t="n"/>
      <c r="CU13" s="91" t="n"/>
      <c r="CV13" s="525" t="n"/>
      <c r="CW13" s="525" t="n"/>
      <c r="CX13" s="525" t="n"/>
      <c r="CY13" s="525" t="n"/>
      <c r="CZ13" s="524" t="n"/>
      <c r="DA13" s="141" t="n"/>
      <c r="DB13" s="162" t="n"/>
      <c r="DC13" s="162" t="n"/>
      <c r="DD13" s="662" t="n"/>
      <c r="DE13" s="663" t="n"/>
      <c r="DF13" s="141" t="n"/>
      <c r="DG13" s="139" t="n"/>
      <c r="DH13" s="139" t="n"/>
      <c r="DI13" s="139" t="n"/>
      <c r="DJ13" s="147" t="n"/>
      <c r="DK13" s="664" t="n"/>
      <c r="DL13" s="162" t="n"/>
      <c r="DM13" s="162" t="n"/>
      <c r="DN13" s="162" t="n"/>
      <c r="DO13" s="162" t="n"/>
      <c r="DP13" s="201" t="n"/>
      <c r="DQ13" s="201" t="n"/>
      <c r="DR13" s="163" t="n"/>
      <c r="DS13" s="141" t="n"/>
      <c r="DT13" s="139" t="n"/>
      <c r="DU13" s="139" t="n"/>
      <c r="DV13" s="139" t="n"/>
      <c r="DW13" s="140" t="n"/>
      <c r="DX13" s="347" t="n"/>
      <c r="DY13" s="147" t="n"/>
      <c r="DZ13" s="31" t="n"/>
      <c r="EA13" s="45" t="n"/>
      <c r="EB13" s="665" t="n"/>
      <c r="EC13" s="45" t="n"/>
      <c r="ED13" s="351" t="n"/>
      <c r="EE13" s="107" t="n"/>
      <c r="EF13" s="139" t="n"/>
      <c r="EG13" s="139" t="n"/>
      <c r="EH13" s="139" t="n"/>
      <c r="EI13" s="140" t="n"/>
      <c r="EJ13" s="108" t="n"/>
      <c r="EK13" s="141" t="n"/>
      <c r="EL13" s="140" t="n"/>
      <c r="EM13" s="140" t="n"/>
      <c r="EN13" s="140" t="n"/>
      <c r="EO13" s="108" t="n"/>
      <c r="EP13" s="666" t="n"/>
      <c r="EQ13" s="107" t="n"/>
      <c r="ER13" s="140" t="n"/>
      <c r="ES13" s="140" t="n"/>
      <c r="ET13" s="107" t="n"/>
      <c r="EU13" s="587" t="n"/>
      <c r="EV13" s="587" t="n"/>
      <c r="EW13" s="141" t="n"/>
      <c r="EX13" s="140" t="n"/>
      <c r="EY13" s="140" t="n"/>
      <c r="EZ13" s="140" t="n"/>
      <c r="FA13" s="140" t="n"/>
      <c r="FB13" s="147" t="n"/>
      <c r="FC13" s="74" t="n"/>
      <c r="FD13" s="75" t="n"/>
      <c r="FE13" s="76" t="n"/>
      <c r="FF13" s="76" t="n"/>
      <c r="FG13" s="91" t="n"/>
      <c r="FH13" s="92" t="n"/>
      <c r="FI13" s="91" t="n"/>
      <c r="FJ13" s="74" t="n"/>
      <c r="FK13" s="92" t="n"/>
      <c r="FL13" s="148" t="n"/>
      <c r="FM13" s="149" t="n"/>
      <c r="FN13" s="150" t="n"/>
      <c r="FO13" s="99" t="n"/>
      <c r="FP13" s="100" t="n"/>
      <c r="FQ13" s="100" t="n"/>
      <c r="FR13" s="100" t="n"/>
      <c r="FS13" s="100" t="n"/>
      <c r="FT13" s="100" t="n"/>
      <c r="FU13" s="100" t="n"/>
      <c r="FV13" s="100" t="n"/>
      <c r="FW13" s="100" t="n"/>
      <c r="FX13" s="100" t="n"/>
      <c r="FY13" s="100" t="n"/>
      <c r="FZ13" s="102" t="n"/>
      <c r="GA13" s="266" t="n"/>
      <c r="GB13" s="525" t="n"/>
      <c r="GC13" s="525" t="n"/>
      <c r="GD13" s="265" t="n"/>
      <c r="GE13" s="266" t="n"/>
      <c r="GF13" s="525" t="n"/>
      <c r="GG13" s="525" t="n"/>
      <c r="GH13" s="265" t="n"/>
      <c r="GI13" s="31" t="n"/>
      <c r="GJ13" s="45" t="n"/>
      <c r="GK13" s="665" t="n"/>
      <c r="GL13" s="45" t="n"/>
      <c r="GM13" s="351" t="n"/>
      <c r="GN13" s="31" t="n"/>
      <c r="GO13" s="45" t="n"/>
      <c r="GP13" s="45" t="n"/>
      <c r="GQ13" s="667" t="n"/>
      <c r="GR13" s="668" t="n"/>
      <c r="GS13" s="107" t="n"/>
      <c r="GT13" s="587" t="n"/>
      <c r="GU13" s="108" t="n"/>
      <c r="GV13" s="266" t="n"/>
      <c r="GW13" s="525" t="n"/>
      <c r="GX13" s="265" t="n"/>
      <c r="GY13" s="266" t="n"/>
      <c r="GZ13" s="525" t="n"/>
      <c r="HA13" s="525" t="n"/>
      <c r="HB13" s="265" t="n"/>
      <c r="HC13" s="31" t="n"/>
      <c r="HD13" s="45" t="n"/>
      <c r="HE13" s="45" t="n"/>
      <c r="HF13" s="45" t="n"/>
      <c r="HG13" s="45" t="n"/>
      <c r="HH13" s="45" t="n"/>
      <c r="HI13" s="45" t="n"/>
      <c r="HJ13" s="45" t="n"/>
      <c r="HK13" s="45" t="n"/>
      <c r="HL13" s="45" t="n"/>
      <c r="HM13" s="45" t="n"/>
      <c r="HN13" s="351" t="n"/>
      <c r="HO13" s="606" t="n"/>
      <c r="HP13" s="65">
        <f>AVERAGE(G13,L13,N13)</f>
        <v/>
      </c>
      <c r="HQ13" s="66">
        <f>AVERAGE(E13,H13,O13,Q13,S13,V13,Z13)</f>
        <v/>
      </c>
      <c r="HR13" s="66">
        <f>AVERAGE(T13)</f>
        <v/>
      </c>
      <c r="HS13" s="66">
        <f>AVERAGE(P13)</f>
        <v/>
      </c>
      <c r="HT13" s="66">
        <f>AVERAGE(W13,R13,F13)</f>
        <v/>
      </c>
      <c r="HU13" s="66" t="n"/>
      <c r="HV13" s="66">
        <f>AVERAGE(X13)</f>
        <v/>
      </c>
      <c r="HW13" s="66" t="n"/>
      <c r="HX13" s="66" t="n"/>
      <c r="HY13" s="66">
        <f>AVERAGE(Y13)</f>
        <v/>
      </c>
    </row>
    <row r="14" ht="15.75" customHeight="1" s="590">
      <c r="B14" s="12" t="n">
        <v>8</v>
      </c>
      <c r="C14" s="13" t="inlineStr">
        <is>
          <t>052-25-126044</t>
        </is>
      </c>
      <c r="D14" s="14" t="inlineStr">
        <is>
          <t>Muhammad Faraz Yousaf</t>
        </is>
      </c>
      <c r="E14" s="274" t="n">
        <v>80</v>
      </c>
      <c r="F14" s="241" t="n">
        <v>66.67</v>
      </c>
      <c r="G14" s="526" t="n">
        <v>52.96</v>
      </c>
      <c r="H14" s="273" t="n">
        <v>80</v>
      </c>
      <c r="I14" s="274" t="n">
        <v>52.6833333333333</v>
      </c>
      <c r="J14" s="683" t="n"/>
      <c r="K14" s="665" t="n"/>
      <c r="L14" s="273" t="n">
        <v>51.11</v>
      </c>
      <c r="M14" s="663" t="n"/>
      <c r="N14" s="523" t="n">
        <v>72</v>
      </c>
      <c r="O14" s="524" t="n">
        <v>60</v>
      </c>
      <c r="P14" s="525" t="n">
        <v>58.89</v>
      </c>
      <c r="Q14" s="241" t="n">
        <v>62.73</v>
      </c>
      <c r="R14" s="273" t="n">
        <v>73.18000000000001</v>
      </c>
      <c r="S14" s="270" t="n">
        <v>85</v>
      </c>
      <c r="T14" s="262" t="n">
        <v>79.5</v>
      </c>
      <c r="U14" s="663" t="n"/>
      <c r="V14" s="274" t="n">
        <v>83.93000000000001</v>
      </c>
      <c r="W14" s="241" t="n">
        <v>77.98999999999999</v>
      </c>
      <c r="X14" s="273" t="n">
        <v>90</v>
      </c>
      <c r="Y14" s="273" t="n">
        <v>70.56</v>
      </c>
      <c r="Z14" s="273" t="n">
        <v>74</v>
      </c>
      <c r="AA14" s="269" t="n">
        <v>92.5</v>
      </c>
      <c r="AB14" s="269" t="n">
        <v>95.5</v>
      </c>
      <c r="AC14" s="269" t="n">
        <v>95.56</v>
      </c>
      <c r="AD14" s="269" t="n">
        <v>63.33333333333334</v>
      </c>
      <c r="AE14" s="269" t="n">
        <v>68.75</v>
      </c>
      <c r="AF14" s="269" t="n">
        <v>65.13888888888889</v>
      </c>
      <c r="AG14" s="241" t="n">
        <v>64.23076923076923</v>
      </c>
      <c r="AH14" s="526" t="n">
        <v>44.05</v>
      </c>
      <c r="AI14" s="526" t="n">
        <v>31.14</v>
      </c>
      <c r="AJ14" s="526" t="n">
        <v>36</v>
      </c>
      <c r="AK14" s="528" t="n">
        <v>62.14</v>
      </c>
      <c r="AL14" s="528" t="n">
        <v>100</v>
      </c>
      <c r="AM14" s="528" t="n">
        <v>16</v>
      </c>
      <c r="AN14" s="225" t="n">
        <v>0</v>
      </c>
      <c r="AO14" s="225" t="n">
        <v>0</v>
      </c>
      <c r="AP14" s="225" t="n">
        <v>26</v>
      </c>
      <c r="AQ14" s="263" t="n">
        <v>8.890000000000001</v>
      </c>
      <c r="AR14" s="528" t="n">
        <v>7.14</v>
      </c>
      <c r="AS14" s="528" t="n">
        <v>0</v>
      </c>
      <c r="AT14" s="262" t="n">
        <v>0</v>
      </c>
      <c r="AU14" s="261" t="n">
        <v>15</v>
      </c>
      <c r="AV14" s="263" t="n">
        <v>10</v>
      </c>
      <c r="AW14" s="263" t="n">
        <v>0</v>
      </c>
      <c r="AX14" s="263" t="n">
        <v>0</v>
      </c>
      <c r="AY14" s="262" t="n"/>
      <c r="AZ14" s="262" t="n"/>
      <c r="BA14" s="262" t="n"/>
      <c r="BB14" s="274" t="n"/>
      <c r="BC14" s="525" t="n"/>
      <c r="BD14" s="527" t="n"/>
      <c r="BE14" s="274" t="n"/>
      <c r="BF14" s="525" t="n"/>
      <c r="BG14" s="527" t="n"/>
      <c r="BH14" s="274" t="n"/>
      <c r="BI14" s="525" t="n"/>
      <c r="BJ14" s="525" t="n"/>
      <c r="BK14" s="525" t="n"/>
      <c r="BL14" s="525" t="n"/>
      <c r="BM14" s="525" t="n"/>
      <c r="BN14" s="527" t="n"/>
      <c r="BO14" s="525" t="n"/>
      <c r="BP14" s="525" t="n"/>
      <c r="BQ14" s="525" t="n"/>
      <c r="BR14" s="525" t="n"/>
      <c r="BS14" s="525" t="n"/>
      <c r="BT14" s="525" t="n"/>
      <c r="BU14" s="525" t="n"/>
      <c r="BV14" s="266" t="n"/>
      <c r="BW14" s="525" t="n"/>
      <c r="BX14" s="525" t="n"/>
      <c r="BY14" s="525" t="n"/>
      <c r="BZ14" s="525" t="n"/>
      <c r="CA14" s="525" t="n"/>
      <c r="CB14" s="266" t="n"/>
      <c r="CC14" s="525" t="n"/>
      <c r="CD14" s="525" t="n"/>
      <c r="CE14" s="265" t="n"/>
      <c r="CF14" s="525" t="n"/>
      <c r="CG14" s="525" t="n"/>
      <c r="CH14" s="525" t="n"/>
      <c r="CI14" s="525" t="n"/>
      <c r="CJ14" s="524" t="n"/>
      <c r="CK14" s="266" t="n"/>
      <c r="CL14" s="266" t="n"/>
      <c r="CM14" s="266" t="n"/>
      <c r="CN14" s="266" t="n"/>
      <c r="CO14" s="525" t="n"/>
      <c r="CP14" s="265" t="n"/>
      <c r="CQ14" s="74" t="n"/>
      <c r="CR14" s="75" t="n"/>
      <c r="CS14" s="76" t="n"/>
      <c r="CT14" s="76" t="n"/>
      <c r="CU14" s="91" t="n"/>
      <c r="CV14" s="525" t="n"/>
      <c r="CW14" s="525" t="n"/>
      <c r="CX14" s="525" t="n"/>
      <c r="CY14" s="525" t="n"/>
      <c r="CZ14" s="524" t="n"/>
      <c r="DA14" s="141" t="n"/>
      <c r="DB14" s="162" t="n"/>
      <c r="DC14" s="162" t="n"/>
      <c r="DD14" s="512" t="n"/>
      <c r="DE14" s="491" t="n"/>
      <c r="DF14" s="141" t="n"/>
      <c r="DG14" s="139" t="n"/>
      <c r="DH14" s="139" t="n"/>
      <c r="DI14" s="139" t="n"/>
      <c r="DJ14" s="347" t="n"/>
      <c r="DK14" s="348" t="n"/>
      <c r="DL14" s="162" t="n"/>
      <c r="DM14" s="162" t="n"/>
      <c r="DN14" s="162" t="n"/>
      <c r="DO14" s="162" t="n"/>
      <c r="DP14" s="201" t="n"/>
      <c r="DQ14" s="201" t="n"/>
      <c r="DR14" s="163" t="n"/>
      <c r="DS14" s="141" t="n"/>
      <c r="DT14" s="139" t="n"/>
      <c r="DU14" s="139" t="n"/>
      <c r="DV14" s="139" t="n"/>
      <c r="DW14" s="140" t="n"/>
      <c r="DX14" s="347" t="n"/>
      <c r="DY14" s="147" t="n"/>
      <c r="DZ14" s="31" t="n"/>
      <c r="EA14" s="349" t="n"/>
      <c r="EB14" s="349" t="n"/>
      <c r="EC14" s="45" t="n"/>
      <c r="ED14" s="351" t="n"/>
      <c r="EE14" s="107" t="n"/>
      <c r="EF14" s="139" t="n"/>
      <c r="EG14" s="139" t="n"/>
      <c r="EH14" s="139" t="n"/>
      <c r="EI14" s="140" t="n"/>
      <c r="EJ14" s="108" t="n"/>
      <c r="EK14" s="141" t="n"/>
      <c r="EL14" s="140" t="n"/>
      <c r="EM14" s="140" t="n"/>
      <c r="EN14" s="140" t="n"/>
      <c r="EO14" s="347" t="n"/>
      <c r="EP14" s="348" t="n"/>
      <c r="EQ14" s="107" t="n"/>
      <c r="ER14" s="140" t="n"/>
      <c r="ES14" s="140" t="n"/>
      <c r="ET14" s="107" t="n"/>
      <c r="EU14" s="587" t="n"/>
      <c r="EV14" s="587" t="n"/>
      <c r="EW14" s="141" t="n"/>
      <c r="EX14" s="140" t="n"/>
      <c r="EY14" s="140" t="n"/>
      <c r="EZ14" s="140" t="n"/>
      <c r="FA14" s="140" t="n"/>
      <c r="FB14" s="147" t="n"/>
      <c r="FC14" s="74" t="n"/>
      <c r="FD14" s="75" t="n"/>
      <c r="FE14" s="76" t="n"/>
      <c r="FF14" s="76" t="n"/>
      <c r="FG14" s="91" t="n"/>
      <c r="FH14" s="92" t="n"/>
      <c r="FI14" s="91" t="n"/>
      <c r="FJ14" s="74" t="n"/>
      <c r="FK14" s="92" t="n"/>
      <c r="FL14" s="148" t="n"/>
      <c r="FM14" s="149" t="n"/>
      <c r="FN14" s="150" t="n"/>
      <c r="FO14" s="99" t="n"/>
      <c r="FP14" s="100" t="n"/>
      <c r="FQ14" s="100" t="n"/>
      <c r="FR14" s="100" t="n"/>
      <c r="FS14" s="100" t="n"/>
      <c r="FT14" s="100" t="n"/>
      <c r="FU14" s="100" t="n"/>
      <c r="FV14" s="100" t="n"/>
      <c r="FW14" s="100" t="n"/>
      <c r="FX14" s="100" t="n"/>
      <c r="FY14" s="100" t="n"/>
      <c r="FZ14" s="102" t="n"/>
      <c r="GA14" s="266" t="n"/>
      <c r="GB14" s="525" t="n"/>
      <c r="GC14" s="525" t="n"/>
      <c r="GD14" s="265" t="n"/>
      <c r="GE14" s="266" t="n"/>
      <c r="GF14" s="525" t="n"/>
      <c r="GG14" s="525" t="n"/>
      <c r="GH14" s="265" t="n"/>
      <c r="GI14" s="31" t="n"/>
      <c r="GJ14" s="349" t="n"/>
      <c r="GK14" s="349" t="n"/>
      <c r="GL14" s="45" t="n"/>
      <c r="GM14" s="351" t="n"/>
      <c r="GN14" s="31" t="n"/>
      <c r="GO14" s="45" t="n"/>
      <c r="GP14" s="45" t="n"/>
      <c r="GQ14" s="350" t="n"/>
      <c r="GR14" s="351" t="n"/>
      <c r="GS14" s="107" t="n"/>
      <c r="GT14" s="587" t="n"/>
      <c r="GU14" s="108" t="n"/>
      <c r="GV14" s="266" t="n"/>
      <c r="GW14" s="525" t="n"/>
      <c r="GX14" s="265" t="n"/>
      <c r="GY14" s="266" t="n"/>
      <c r="GZ14" s="525" t="n"/>
      <c r="HA14" s="525" t="n"/>
      <c r="HB14" s="265" t="n"/>
      <c r="HC14" s="31" t="n"/>
      <c r="HD14" s="45" t="n"/>
      <c r="HE14" s="45" t="n"/>
      <c r="HF14" s="45" t="n"/>
      <c r="HG14" s="45" t="n"/>
      <c r="HH14" s="45" t="n"/>
      <c r="HI14" s="45" t="n"/>
      <c r="HJ14" s="45" t="n"/>
      <c r="HK14" s="45" t="n"/>
      <c r="HL14" s="45" t="n"/>
      <c r="HM14" s="45" t="n"/>
      <c r="HN14" s="351" t="n"/>
      <c r="HO14" s="606" t="n"/>
      <c r="HP14" s="65">
        <f>AVERAGE(G14,L14,N14)</f>
        <v/>
      </c>
      <c r="HQ14" s="66">
        <f>AVERAGE(E14,H14,O14,Q14,S14,V14,Z14)</f>
        <v/>
      </c>
      <c r="HR14" s="66">
        <f>AVERAGE(T14)</f>
        <v/>
      </c>
      <c r="HS14" s="66">
        <f>AVERAGE(P14)</f>
        <v/>
      </c>
      <c r="HT14" s="66">
        <f>AVERAGE(W14,R14,F14)</f>
        <v/>
      </c>
      <c r="HU14" s="66" t="n"/>
      <c r="HV14" s="66">
        <f>AVERAGE(X14)</f>
        <v/>
      </c>
      <c r="HW14" s="66" t="n"/>
      <c r="HX14" s="66" t="n"/>
      <c r="HY14" s="66">
        <f>AVERAGE(Y14)</f>
        <v/>
      </c>
    </row>
    <row r="15" ht="15.75" customHeight="1" s="590">
      <c r="B15" s="12" t="n">
        <v>9</v>
      </c>
      <c r="C15" s="13" t="inlineStr">
        <is>
          <t>052-25-126045</t>
        </is>
      </c>
      <c r="D15" s="14" t="inlineStr">
        <is>
          <t>Yasir Abbas</t>
        </is>
      </c>
      <c r="E15" s="274" t="n">
        <v>73.33</v>
      </c>
      <c r="F15" s="241" t="n">
        <v>91.11</v>
      </c>
      <c r="G15" s="526" t="n">
        <v>87.78</v>
      </c>
      <c r="H15" s="273" t="n">
        <v>84.55</v>
      </c>
      <c r="I15" s="274" t="n">
        <v>76.90000000000001</v>
      </c>
      <c r="J15" s="683" t="n"/>
      <c r="K15" s="665" t="n"/>
      <c r="L15" s="273" t="n">
        <v>88.31999999999999</v>
      </c>
      <c r="M15" s="663" t="n"/>
      <c r="N15" s="523" t="n">
        <v>74</v>
      </c>
      <c r="O15" s="524" t="n">
        <v>90.56</v>
      </c>
      <c r="P15" s="525" t="n">
        <v>73.33</v>
      </c>
      <c r="Q15" s="241" t="n">
        <v>84.84999999999999</v>
      </c>
      <c r="R15" s="273" t="n">
        <v>78.18000000000001</v>
      </c>
      <c r="S15" s="270" t="n">
        <v>97.5</v>
      </c>
      <c r="T15" s="262" t="n">
        <v>97.25</v>
      </c>
      <c r="U15" s="663" t="n"/>
      <c r="V15" s="274" t="n">
        <v>70.70999999999999</v>
      </c>
      <c r="W15" s="241" t="n">
        <v>73.78</v>
      </c>
      <c r="X15" s="273" t="n">
        <v>100</v>
      </c>
      <c r="Y15" s="273" t="n">
        <v>60.56</v>
      </c>
      <c r="Z15" s="273" t="n">
        <v>70</v>
      </c>
      <c r="AA15" s="269" t="n">
        <v>76.67</v>
      </c>
      <c r="AB15" s="269" t="n">
        <v>71.5</v>
      </c>
      <c r="AC15" s="269" t="n">
        <v>71.11</v>
      </c>
      <c r="AD15" s="269" t="n">
        <v>90.47619047619048</v>
      </c>
      <c r="AE15" s="269" t="n">
        <v>95</v>
      </c>
      <c r="AF15" s="269" t="n">
        <v>92.5</v>
      </c>
      <c r="AG15" s="241" t="n">
        <v>84.61538461538461</v>
      </c>
      <c r="AH15" s="526" t="n">
        <v>60</v>
      </c>
      <c r="AI15" s="526" t="n">
        <v>60</v>
      </c>
      <c r="AJ15" s="526" t="n">
        <v>63.33</v>
      </c>
      <c r="AK15" s="528" t="n">
        <v>78.84999999999999</v>
      </c>
      <c r="AL15" s="528" t="n">
        <v>100</v>
      </c>
      <c r="AM15" s="528" t="n">
        <v>16</v>
      </c>
      <c r="AN15" s="225" t="n">
        <v>57.62</v>
      </c>
      <c r="AO15" s="225" t="n">
        <v>55.97</v>
      </c>
      <c r="AP15" s="225" t="n">
        <v>68.67</v>
      </c>
      <c r="AQ15" s="263" t="n">
        <v>52.89</v>
      </c>
      <c r="AR15" s="528" t="n">
        <v>65.95</v>
      </c>
      <c r="AS15" s="528" t="n">
        <v>53.33</v>
      </c>
      <c r="AT15" s="262" t="n">
        <v>60</v>
      </c>
      <c r="AU15" s="261" t="n">
        <v>67.5</v>
      </c>
      <c r="AV15" s="263" t="n">
        <v>67.5</v>
      </c>
      <c r="AW15" s="263" t="n">
        <v>33.33</v>
      </c>
      <c r="AX15" s="263" t="n">
        <v>75</v>
      </c>
      <c r="AY15" s="262" t="n"/>
      <c r="AZ15" s="262" t="n"/>
      <c r="BA15" s="262" t="n"/>
      <c r="BB15" s="274" t="n"/>
      <c r="BC15" s="525" t="n"/>
      <c r="BD15" s="527" t="n"/>
      <c r="BE15" s="274" t="n"/>
      <c r="BF15" s="525" t="n"/>
      <c r="BG15" s="527" t="n"/>
      <c r="BH15" s="274" t="n"/>
      <c r="BI15" s="525" t="n"/>
      <c r="BJ15" s="525" t="n"/>
      <c r="BK15" s="525" t="n"/>
      <c r="BL15" s="525" t="n"/>
      <c r="BM15" s="525" t="n"/>
      <c r="BN15" s="527" t="n"/>
      <c r="BO15" s="525" t="n"/>
      <c r="BP15" s="525" t="n"/>
      <c r="BQ15" s="525" t="n"/>
      <c r="BR15" s="525" t="n"/>
      <c r="BS15" s="525" t="n"/>
      <c r="BT15" s="525" t="n"/>
      <c r="BU15" s="525" t="n"/>
      <c r="BV15" s="266" t="n"/>
      <c r="BW15" s="525" t="n"/>
      <c r="BX15" s="525" t="n"/>
      <c r="BY15" s="525" t="n"/>
      <c r="BZ15" s="525" t="n"/>
      <c r="CA15" s="525" t="n"/>
      <c r="CB15" s="266" t="n"/>
      <c r="CC15" s="525" t="n"/>
      <c r="CD15" s="525" t="n"/>
      <c r="CE15" s="265" t="n"/>
      <c r="CF15" s="525" t="n"/>
      <c r="CG15" s="525" t="n"/>
      <c r="CH15" s="525" t="n"/>
      <c r="CI15" s="525" t="n"/>
      <c r="CJ15" s="524" t="n"/>
      <c r="CK15" s="266" t="n"/>
      <c r="CL15" s="266" t="n"/>
      <c r="CM15" s="266" t="n"/>
      <c r="CN15" s="266" t="n"/>
      <c r="CO15" s="525" t="n"/>
      <c r="CP15" s="265" t="n"/>
      <c r="CQ15" s="74" t="n"/>
      <c r="CR15" s="75" t="n"/>
      <c r="CS15" s="76" t="n"/>
      <c r="CT15" s="76" t="n"/>
      <c r="CU15" s="91" t="n"/>
      <c r="CV15" s="525" t="n"/>
      <c r="CW15" s="525" t="n"/>
      <c r="CX15" s="525" t="n"/>
      <c r="CY15" s="525" t="n"/>
      <c r="CZ15" s="524" t="n"/>
      <c r="DA15" s="141" t="n"/>
      <c r="DB15" s="162" t="n"/>
      <c r="DC15" s="162" t="n"/>
      <c r="DD15" s="512" t="n"/>
      <c r="DE15" s="491" t="n"/>
      <c r="DF15" s="141" t="n"/>
      <c r="DG15" s="139" t="n"/>
      <c r="DH15" s="139" t="n"/>
      <c r="DI15" s="139" t="n"/>
      <c r="DJ15" s="347" t="n"/>
      <c r="DK15" s="348" t="n"/>
      <c r="DL15" s="162" t="n"/>
      <c r="DM15" s="162" t="n"/>
      <c r="DN15" s="162" t="n"/>
      <c r="DO15" s="162" t="n"/>
      <c r="DP15" s="201" t="n"/>
      <c r="DQ15" s="201" t="n"/>
      <c r="DR15" s="163" t="n"/>
      <c r="DS15" s="141" t="n"/>
      <c r="DT15" s="139" t="n"/>
      <c r="DU15" s="139" t="n"/>
      <c r="DV15" s="139" t="n"/>
      <c r="DW15" s="140" t="n"/>
      <c r="DX15" s="347" t="n"/>
      <c r="DY15" s="147" t="n"/>
      <c r="DZ15" s="31" t="n"/>
      <c r="EA15" s="349" t="n"/>
      <c r="EB15" s="349" t="n"/>
      <c r="EC15" s="45" t="n"/>
      <c r="ED15" s="351" t="n"/>
      <c r="EE15" s="107" t="n"/>
      <c r="EF15" s="139" t="n"/>
      <c r="EG15" s="139" t="n"/>
      <c r="EH15" s="139" t="n"/>
      <c r="EI15" s="140" t="n"/>
      <c r="EJ15" s="108" t="n"/>
      <c r="EK15" s="141" t="n"/>
      <c r="EL15" s="140" t="n"/>
      <c r="EM15" s="140" t="n"/>
      <c r="EN15" s="140" t="n"/>
      <c r="EO15" s="347" t="n"/>
      <c r="EP15" s="348" t="n"/>
      <c r="EQ15" s="107" t="n"/>
      <c r="ER15" s="140" t="n"/>
      <c r="ES15" s="140" t="n"/>
      <c r="ET15" s="107" t="n"/>
      <c r="EU15" s="587" t="n"/>
      <c r="EV15" s="587" t="n"/>
      <c r="EW15" s="141" t="n"/>
      <c r="EX15" s="140" t="n"/>
      <c r="EY15" s="140" t="n"/>
      <c r="EZ15" s="140" t="n"/>
      <c r="FA15" s="140" t="n"/>
      <c r="FB15" s="147" t="n"/>
      <c r="FC15" s="74" t="n"/>
      <c r="FD15" s="75" t="n"/>
      <c r="FE15" s="76" t="n"/>
      <c r="FF15" s="76" t="n"/>
      <c r="FG15" s="91" t="n"/>
      <c r="FH15" s="92" t="n"/>
      <c r="FI15" s="91" t="n"/>
      <c r="FJ15" s="74" t="n"/>
      <c r="FK15" s="92" t="n"/>
      <c r="FL15" s="148" t="n"/>
      <c r="FM15" s="149" t="n"/>
      <c r="FN15" s="150" t="n"/>
      <c r="FO15" s="99" t="n"/>
      <c r="FP15" s="100" t="n"/>
      <c r="FQ15" s="100" t="n"/>
      <c r="FR15" s="100" t="n"/>
      <c r="FS15" s="100" t="n"/>
      <c r="FT15" s="100" t="n"/>
      <c r="FU15" s="100" t="n"/>
      <c r="FV15" s="100" t="n"/>
      <c r="FW15" s="100" t="n"/>
      <c r="FX15" s="100" t="n"/>
      <c r="FY15" s="100" t="n"/>
      <c r="FZ15" s="102" t="n"/>
      <c r="GA15" s="266" t="n"/>
      <c r="GB15" s="525" t="n"/>
      <c r="GC15" s="525" t="n"/>
      <c r="GD15" s="265" t="n"/>
      <c r="GE15" s="266" t="n"/>
      <c r="GF15" s="525" t="n"/>
      <c r="GG15" s="525" t="n"/>
      <c r="GH15" s="265" t="n"/>
      <c r="GI15" s="31" t="n"/>
      <c r="GJ15" s="349" t="n"/>
      <c r="GK15" s="349" t="n"/>
      <c r="GL15" s="45" t="n"/>
      <c r="GM15" s="351" t="n"/>
      <c r="GN15" s="31" t="n"/>
      <c r="GO15" s="45" t="n"/>
      <c r="GP15" s="45" t="n"/>
      <c r="GQ15" s="350" t="n"/>
      <c r="GR15" s="351" t="n"/>
      <c r="GS15" s="107" t="n"/>
      <c r="GT15" s="587" t="n"/>
      <c r="GU15" s="108" t="n"/>
      <c r="GV15" s="266" t="n"/>
      <c r="GW15" s="525" t="n"/>
      <c r="GX15" s="265" t="n"/>
      <c r="GY15" s="266" t="n"/>
      <c r="GZ15" s="525" t="n"/>
      <c r="HA15" s="525" t="n"/>
      <c r="HB15" s="265" t="n"/>
      <c r="HC15" s="31" t="n"/>
      <c r="HD15" s="45" t="n"/>
      <c r="HE15" s="45" t="n"/>
      <c r="HF15" s="45" t="n"/>
      <c r="HG15" s="45" t="n"/>
      <c r="HH15" s="45" t="n"/>
      <c r="HI15" s="45" t="n"/>
      <c r="HJ15" s="45" t="n"/>
      <c r="HK15" s="45" t="n"/>
      <c r="HL15" s="45" t="n"/>
      <c r="HM15" s="45" t="n"/>
      <c r="HN15" s="351" t="n"/>
      <c r="HO15" s="606" t="n"/>
      <c r="HP15" s="65">
        <f>AVERAGE(G15,L15,N15)</f>
        <v/>
      </c>
      <c r="HQ15" s="66">
        <f>AVERAGE(E15,H15,O15,Q15,S15,V15,Z15)</f>
        <v/>
      </c>
      <c r="HR15" s="66">
        <f>AVERAGE(T15)</f>
        <v/>
      </c>
      <c r="HS15" s="66">
        <f>AVERAGE(P15)</f>
        <v/>
      </c>
      <c r="HT15" s="66">
        <f>AVERAGE(W15,R15,F15)</f>
        <v/>
      </c>
      <c r="HU15" s="66" t="n"/>
      <c r="HV15" s="66">
        <f>AVERAGE(X15)</f>
        <v/>
      </c>
      <c r="HW15" s="66" t="n"/>
      <c r="HX15" s="66" t="n"/>
      <c r="HY15" s="66">
        <f>AVERAGE(Y15)</f>
        <v/>
      </c>
    </row>
    <row r="16" ht="15.75" customHeight="1" s="590">
      <c r="B16" s="12" t="n">
        <v>10</v>
      </c>
      <c r="C16" s="13" t="inlineStr">
        <is>
          <t>052-25-126046</t>
        </is>
      </c>
      <c r="D16" s="14" t="inlineStr">
        <is>
          <t>Numan Khan</t>
        </is>
      </c>
      <c r="E16" s="274" t="n">
        <v>70</v>
      </c>
      <c r="F16" s="241" t="n">
        <v>61.11</v>
      </c>
      <c r="G16" s="526" t="n">
        <v>78.89</v>
      </c>
      <c r="H16" s="273" t="n">
        <v>71.44</v>
      </c>
      <c r="I16" s="274" t="n">
        <v>26.9666666666667</v>
      </c>
      <c r="J16" s="683" t="n"/>
      <c r="K16" s="665" t="n"/>
      <c r="L16" s="273" t="n">
        <v>85.73999999999999</v>
      </c>
      <c r="M16" s="663" t="n"/>
      <c r="N16" s="523" t="n">
        <v>72</v>
      </c>
      <c r="O16" s="524" t="n">
        <v>51.67</v>
      </c>
      <c r="P16" s="525" t="n">
        <v>51.11</v>
      </c>
      <c r="Q16" s="241" t="n">
        <v>76.97</v>
      </c>
      <c r="R16" s="273" t="n">
        <v>80</v>
      </c>
      <c r="S16" s="270" t="n">
        <v>92.5</v>
      </c>
      <c r="T16" s="262" t="n">
        <v>82.17</v>
      </c>
      <c r="U16" s="663" t="n"/>
      <c r="V16" s="274" t="n">
        <v>78.56999999999999</v>
      </c>
      <c r="W16" s="241" t="n">
        <v>65</v>
      </c>
      <c r="X16" s="273" t="n">
        <v>100</v>
      </c>
      <c r="Y16" s="273" t="n">
        <v>60.56</v>
      </c>
      <c r="Z16" s="273" t="n">
        <v>82</v>
      </c>
      <c r="AA16" s="269" t="n">
        <v>71.25</v>
      </c>
      <c r="AB16" s="269" t="n">
        <v>67.5</v>
      </c>
      <c r="AC16" s="269" t="n">
        <v>71.11</v>
      </c>
      <c r="AD16" s="269" t="n">
        <v>75.23809523809524</v>
      </c>
      <c r="AE16" s="269" t="n">
        <v>71.25</v>
      </c>
      <c r="AF16" s="269" t="n">
        <v>65.51587301587303</v>
      </c>
      <c r="AG16" s="241" t="n">
        <v>91.15384615384616</v>
      </c>
      <c r="AH16" s="526" t="n">
        <v>49.52</v>
      </c>
      <c r="AI16" s="526" t="n">
        <v>51.14</v>
      </c>
      <c r="AJ16" s="526" t="n">
        <v>48.67</v>
      </c>
      <c r="AK16" s="528" t="n">
        <v>57.03</v>
      </c>
      <c r="AL16" s="528" t="n">
        <v>82.5</v>
      </c>
      <c r="AM16" s="528" t="n">
        <v>16</v>
      </c>
      <c r="AN16" s="225" t="n">
        <v>50</v>
      </c>
      <c r="AO16" s="225" t="n">
        <v>40</v>
      </c>
      <c r="AP16" s="225" t="n">
        <v>58.17</v>
      </c>
      <c r="AQ16" s="263" t="n">
        <v>51.26</v>
      </c>
      <c r="AR16" s="528" t="n">
        <v>65.95</v>
      </c>
      <c r="AS16" s="528" t="n">
        <v>52.67</v>
      </c>
      <c r="AT16" s="262" t="n">
        <v>56</v>
      </c>
      <c r="AU16" s="261" t="n">
        <v>31.39</v>
      </c>
      <c r="AV16" s="263" t="n">
        <v>40.83</v>
      </c>
      <c r="AW16" s="263" t="n">
        <v>66.67</v>
      </c>
      <c r="AX16" s="263" t="n">
        <v>37.5</v>
      </c>
      <c r="AY16" s="262" t="n"/>
      <c r="AZ16" s="262" t="n"/>
      <c r="BA16" s="262" t="n"/>
      <c r="BB16" s="274" t="n"/>
      <c r="BC16" s="525" t="n"/>
      <c r="BD16" s="527" t="n"/>
      <c r="BE16" s="274" t="n"/>
      <c r="BF16" s="525" t="n"/>
      <c r="BG16" s="527" t="n"/>
      <c r="BH16" s="274" t="n"/>
      <c r="BI16" s="525" t="n"/>
      <c r="BJ16" s="525" t="n"/>
      <c r="BK16" s="525" t="n"/>
      <c r="BL16" s="525" t="n"/>
      <c r="BM16" s="525" t="n"/>
      <c r="BN16" s="527" t="n"/>
      <c r="BO16" s="525" t="n"/>
      <c r="BP16" s="525" t="n"/>
      <c r="BQ16" s="525" t="n"/>
      <c r="BR16" s="525" t="n"/>
      <c r="BS16" s="525" t="n"/>
      <c r="BT16" s="525" t="n"/>
      <c r="BU16" s="525" t="n"/>
      <c r="BV16" s="266" t="n"/>
      <c r="BW16" s="525" t="n"/>
      <c r="BX16" s="525" t="n"/>
      <c r="BY16" s="525" t="n"/>
      <c r="BZ16" s="525" t="n"/>
      <c r="CA16" s="525" t="n"/>
      <c r="CB16" s="266" t="n"/>
      <c r="CC16" s="525" t="n"/>
      <c r="CD16" s="525" t="n"/>
      <c r="CE16" s="265" t="n"/>
      <c r="CF16" s="525" t="n"/>
      <c r="CG16" s="525" t="n"/>
      <c r="CH16" s="525" t="n"/>
      <c r="CI16" s="525" t="n"/>
      <c r="CJ16" s="524" t="n"/>
      <c r="CK16" s="266" t="n"/>
      <c r="CL16" s="266" t="n"/>
      <c r="CM16" s="266" t="n"/>
      <c r="CN16" s="266" t="n"/>
      <c r="CO16" s="525" t="n"/>
      <c r="CP16" s="265" t="n"/>
      <c r="CQ16" s="74" t="n"/>
      <c r="CR16" s="75" t="n"/>
      <c r="CS16" s="76" t="n"/>
      <c r="CT16" s="76" t="n"/>
      <c r="CU16" s="91" t="n"/>
      <c r="CV16" s="525" t="n"/>
      <c r="CW16" s="525" t="n"/>
      <c r="CX16" s="525" t="n"/>
      <c r="CY16" s="525" t="n"/>
      <c r="CZ16" s="524" t="n"/>
      <c r="DA16" s="141" t="n"/>
      <c r="DB16" s="162" t="n"/>
      <c r="DC16" s="162" t="n"/>
      <c r="DD16" s="512" t="n"/>
      <c r="DE16" s="491" t="n"/>
      <c r="DF16" s="141" t="n"/>
      <c r="DG16" s="139" t="n"/>
      <c r="DH16" s="139" t="n"/>
      <c r="DI16" s="139" t="n"/>
      <c r="DJ16" s="347" t="n"/>
      <c r="DK16" s="348" t="n"/>
      <c r="DL16" s="162" t="n"/>
      <c r="DM16" s="162" t="n"/>
      <c r="DN16" s="162" t="n"/>
      <c r="DO16" s="162" t="n"/>
      <c r="DP16" s="201" t="n"/>
      <c r="DQ16" s="201" t="n"/>
      <c r="DR16" s="163" t="n"/>
      <c r="DS16" s="141" t="n"/>
      <c r="DT16" s="139" t="n"/>
      <c r="DU16" s="139" t="n"/>
      <c r="DV16" s="139" t="n"/>
      <c r="DW16" s="140" t="n"/>
      <c r="DX16" s="347" t="n"/>
      <c r="DY16" s="147" t="n"/>
      <c r="DZ16" s="31" t="n"/>
      <c r="EA16" s="349" t="n"/>
      <c r="EB16" s="349" t="n"/>
      <c r="EC16" s="45" t="n"/>
      <c r="ED16" s="351" t="n"/>
      <c r="EE16" s="107" t="n"/>
      <c r="EF16" s="139" t="n"/>
      <c r="EG16" s="139" t="n"/>
      <c r="EH16" s="139" t="n"/>
      <c r="EI16" s="140" t="n"/>
      <c r="EJ16" s="108" t="n"/>
      <c r="EK16" s="141" t="n"/>
      <c r="EL16" s="140" t="n"/>
      <c r="EM16" s="140" t="n"/>
      <c r="EN16" s="140" t="n"/>
      <c r="EO16" s="347" t="n"/>
      <c r="EP16" s="348" t="n"/>
      <c r="EQ16" s="107" t="n"/>
      <c r="ER16" s="140" t="n"/>
      <c r="ES16" s="140" t="n"/>
      <c r="ET16" s="107" t="n"/>
      <c r="EU16" s="587" t="n"/>
      <c r="EV16" s="587" t="n"/>
      <c r="EW16" s="141" t="n"/>
      <c r="EX16" s="140" t="n"/>
      <c r="EY16" s="140" t="n"/>
      <c r="EZ16" s="140" t="n"/>
      <c r="FA16" s="140" t="n"/>
      <c r="FB16" s="147" t="n"/>
      <c r="FC16" s="74" t="n"/>
      <c r="FD16" s="75" t="n"/>
      <c r="FE16" s="76" t="n"/>
      <c r="FF16" s="76" t="n"/>
      <c r="FG16" s="91" t="n"/>
      <c r="FH16" s="92" t="n"/>
      <c r="FI16" s="91" t="n"/>
      <c r="FJ16" s="74" t="n"/>
      <c r="FK16" s="92" t="n"/>
      <c r="FL16" s="148" t="n"/>
      <c r="FM16" s="149" t="n"/>
      <c r="FN16" s="150" t="n"/>
      <c r="FO16" s="99" t="n"/>
      <c r="FP16" s="100" t="n"/>
      <c r="FQ16" s="100" t="n"/>
      <c r="FR16" s="100" t="n"/>
      <c r="FS16" s="100" t="n"/>
      <c r="FT16" s="100" t="n"/>
      <c r="FU16" s="100" t="n"/>
      <c r="FV16" s="100" t="n"/>
      <c r="FW16" s="100" t="n"/>
      <c r="FX16" s="100" t="n"/>
      <c r="FY16" s="100" t="n"/>
      <c r="FZ16" s="102" t="n"/>
      <c r="GA16" s="266" t="n"/>
      <c r="GB16" s="525" t="n"/>
      <c r="GC16" s="525" t="n"/>
      <c r="GD16" s="265" t="n"/>
      <c r="GE16" s="266" t="n"/>
      <c r="GF16" s="525" t="n"/>
      <c r="GG16" s="525" t="n"/>
      <c r="GH16" s="265" t="n"/>
      <c r="GI16" s="31" t="n"/>
      <c r="GJ16" s="349" t="n"/>
      <c r="GK16" s="349" t="n"/>
      <c r="GL16" s="45" t="n"/>
      <c r="GM16" s="351" t="n"/>
      <c r="GN16" s="31" t="n"/>
      <c r="GO16" s="45" t="n"/>
      <c r="GP16" s="45" t="n"/>
      <c r="GQ16" s="350" t="n"/>
      <c r="GR16" s="351" t="n"/>
      <c r="GS16" s="107" t="n"/>
      <c r="GT16" s="587" t="n"/>
      <c r="GU16" s="108" t="n"/>
      <c r="GV16" s="266" t="n"/>
      <c r="GW16" s="525" t="n"/>
      <c r="GX16" s="265" t="n"/>
      <c r="GY16" s="266" t="n"/>
      <c r="GZ16" s="525" t="n"/>
      <c r="HA16" s="525" t="n"/>
      <c r="HB16" s="265" t="n"/>
      <c r="HC16" s="31" t="n"/>
      <c r="HD16" s="45" t="n"/>
      <c r="HE16" s="45" t="n"/>
      <c r="HF16" s="45" t="n"/>
      <c r="HG16" s="45" t="n"/>
      <c r="HH16" s="45" t="n"/>
      <c r="HI16" s="45" t="n"/>
      <c r="HJ16" s="45" t="n"/>
      <c r="HK16" s="45" t="n"/>
      <c r="HL16" s="45" t="n"/>
      <c r="HM16" s="45" t="n"/>
      <c r="HN16" s="351" t="n"/>
      <c r="HO16" s="606" t="n"/>
      <c r="HP16" s="65">
        <f>AVERAGE(G16,L16,N16)</f>
        <v/>
      </c>
      <c r="HQ16" s="66">
        <f>AVERAGE(E16,H16,O16,Q16,S16,V16,Z16)</f>
        <v/>
      </c>
      <c r="HR16" s="66">
        <f>AVERAGE(T16)</f>
        <v/>
      </c>
      <c r="HS16" s="66">
        <f>AVERAGE(P16)</f>
        <v/>
      </c>
      <c r="HT16" s="66">
        <f>AVERAGE(W16,R16,F16)</f>
        <v/>
      </c>
      <c r="HU16" s="66" t="n"/>
      <c r="HV16" s="66">
        <f>AVERAGE(X16)</f>
        <v/>
      </c>
      <c r="HW16" s="66" t="n"/>
      <c r="HX16" s="66" t="n"/>
      <c r="HY16" s="66">
        <f>AVERAGE(Y16)</f>
        <v/>
      </c>
    </row>
    <row r="17" ht="15.75" customHeight="1" s="590">
      <c r="B17" s="12" t="n">
        <v>11</v>
      </c>
      <c r="C17" s="13" t="inlineStr">
        <is>
          <t>052-25-126058</t>
        </is>
      </c>
      <c r="D17" s="14" t="inlineStr">
        <is>
          <t>Zainab Hanif</t>
        </is>
      </c>
      <c r="E17" s="274" t="n">
        <v>86.67</v>
      </c>
      <c r="F17" s="241" t="n">
        <v>85.56</v>
      </c>
      <c r="G17" s="526" t="n">
        <v>87.41</v>
      </c>
      <c r="H17" s="273" t="n">
        <v>92.27</v>
      </c>
      <c r="I17" s="274" t="n">
        <v>80.15000000000001</v>
      </c>
      <c r="J17" s="683" t="n"/>
      <c r="K17" s="665" t="n"/>
      <c r="L17" s="273" t="n">
        <v>91.72</v>
      </c>
      <c r="M17" s="663" t="n"/>
      <c r="N17" s="523" t="n">
        <v>94</v>
      </c>
      <c r="O17" s="524" t="n">
        <v>92.22</v>
      </c>
      <c r="P17" s="525" t="n">
        <v>91.11</v>
      </c>
      <c r="Q17" s="241" t="n">
        <v>90.61</v>
      </c>
      <c r="R17" s="273" t="n">
        <v>97.58</v>
      </c>
      <c r="S17" s="270" t="n">
        <v>100</v>
      </c>
      <c r="T17" s="262" t="n">
        <v>84.25</v>
      </c>
      <c r="U17" s="663" t="n"/>
      <c r="V17" s="274" t="n">
        <v>79.29000000000001</v>
      </c>
      <c r="W17" s="241" t="n">
        <v>86.59999999999999</v>
      </c>
      <c r="X17" s="273" t="n">
        <v>90</v>
      </c>
      <c r="Y17" s="273" t="n">
        <v>73.33</v>
      </c>
      <c r="Z17" s="273" t="n">
        <v>80</v>
      </c>
      <c r="AA17" s="269" t="n">
        <v>83.33</v>
      </c>
      <c r="AB17" s="269" t="n">
        <v>82</v>
      </c>
      <c r="AC17" s="269" t="n">
        <v>88.89</v>
      </c>
      <c r="AD17" s="269" t="n">
        <v>0</v>
      </c>
      <c r="AE17" s="269" t="n">
        <v>0</v>
      </c>
      <c r="AF17" s="269" t="n">
        <v>0</v>
      </c>
      <c r="AG17" s="241" t="n">
        <v>0</v>
      </c>
      <c r="AH17" s="526" t="n">
        <v>95.70999999999999</v>
      </c>
      <c r="AI17" s="526" t="n">
        <v>89.43000000000001</v>
      </c>
      <c r="AJ17" s="526" t="n">
        <v>100</v>
      </c>
      <c r="AK17" s="528" t="n">
        <v>91.81999999999999</v>
      </c>
      <c r="AL17" s="528" t="n">
        <v>100</v>
      </c>
      <c r="AM17" s="528" t="n">
        <v>16</v>
      </c>
      <c r="AN17" s="225" t="n">
        <v>47.14</v>
      </c>
      <c r="AO17" s="225" t="n">
        <v>35.69</v>
      </c>
      <c r="AP17" s="225" t="n">
        <v>65.33</v>
      </c>
      <c r="AQ17" s="263" t="n">
        <v>84.89</v>
      </c>
      <c r="AR17" s="528" t="n">
        <v>89.76000000000001</v>
      </c>
      <c r="AS17" s="528" t="n">
        <v>97.33</v>
      </c>
      <c r="AT17" s="262" t="n">
        <v>92</v>
      </c>
      <c r="AU17" s="261" t="n">
        <v>71.39</v>
      </c>
      <c r="AV17" s="263" t="n">
        <v>80</v>
      </c>
      <c r="AW17" s="263" t="n">
        <v>66.67</v>
      </c>
      <c r="AX17" s="263" t="n">
        <v>87.5</v>
      </c>
      <c r="AY17" s="262" t="n"/>
      <c r="AZ17" s="262" t="n"/>
      <c r="BA17" s="262" t="n"/>
      <c r="BB17" s="274" t="n"/>
      <c r="BC17" s="525" t="n"/>
      <c r="BD17" s="527" t="n"/>
      <c r="BE17" s="274" t="n"/>
      <c r="BF17" s="525" t="n"/>
      <c r="BG17" s="527" t="n"/>
      <c r="BH17" s="274" t="n"/>
      <c r="BI17" s="525" t="n"/>
      <c r="BJ17" s="525" t="n"/>
      <c r="BK17" s="525" t="n"/>
      <c r="BL17" s="525" t="n"/>
      <c r="BM17" s="525" t="n"/>
      <c r="BN17" s="527" t="n"/>
      <c r="BO17" s="525" t="n"/>
      <c r="BP17" s="525" t="n"/>
      <c r="BQ17" s="525" t="n"/>
      <c r="BR17" s="525" t="n"/>
      <c r="BS17" s="525" t="n"/>
      <c r="BT17" s="525" t="n"/>
      <c r="BU17" s="525" t="n"/>
      <c r="BV17" s="266" t="n"/>
      <c r="BW17" s="525" t="n"/>
      <c r="BX17" s="525" t="n"/>
      <c r="BY17" s="525" t="n"/>
      <c r="BZ17" s="525" t="n"/>
      <c r="CA17" s="525" t="n"/>
      <c r="CB17" s="266" t="n"/>
      <c r="CC17" s="525" t="n"/>
      <c r="CD17" s="525" t="n"/>
      <c r="CE17" s="265" t="n"/>
      <c r="CF17" s="525" t="n"/>
      <c r="CG17" s="525" t="n"/>
      <c r="CH17" s="525" t="n"/>
      <c r="CI17" s="525" t="n"/>
      <c r="CJ17" s="524" t="n"/>
      <c r="CK17" s="266" t="n"/>
      <c r="CL17" s="266" t="n"/>
      <c r="CM17" s="266" t="n"/>
      <c r="CN17" s="266" t="n"/>
      <c r="CO17" s="525" t="n"/>
      <c r="CP17" s="265" t="n"/>
      <c r="CQ17" s="74" t="n"/>
      <c r="CR17" s="75" t="n"/>
      <c r="CS17" s="76" t="n"/>
      <c r="CT17" s="76" t="n"/>
      <c r="CU17" s="91" t="n"/>
      <c r="CV17" s="525" t="n"/>
      <c r="CW17" s="525" t="n"/>
      <c r="CX17" s="525" t="n"/>
      <c r="CY17" s="525" t="n"/>
      <c r="CZ17" s="524" t="n"/>
      <c r="DA17" s="141" t="n"/>
      <c r="DB17" s="162" t="n"/>
      <c r="DC17" s="162" t="n"/>
      <c r="DD17" s="512" t="n"/>
      <c r="DE17" s="491" t="n"/>
      <c r="DF17" s="141" t="n"/>
      <c r="DG17" s="139" t="n"/>
      <c r="DH17" s="139" t="n"/>
      <c r="DI17" s="139" t="n"/>
      <c r="DJ17" s="347" t="n"/>
      <c r="DK17" s="348" t="n"/>
      <c r="DL17" s="162" t="n"/>
      <c r="DM17" s="162" t="n"/>
      <c r="DN17" s="162" t="n"/>
      <c r="DO17" s="162" t="n"/>
      <c r="DP17" s="201" t="n"/>
      <c r="DQ17" s="201" t="n"/>
      <c r="DR17" s="163" t="n"/>
      <c r="DS17" s="141" t="n"/>
      <c r="DT17" s="139" t="n"/>
      <c r="DU17" s="139" t="n"/>
      <c r="DV17" s="139" t="n"/>
      <c r="DW17" s="140" t="n"/>
      <c r="DX17" s="347" t="n"/>
      <c r="DY17" s="147" t="n"/>
      <c r="DZ17" s="31" t="n"/>
      <c r="EA17" s="349" t="n"/>
      <c r="EB17" s="349" t="n"/>
      <c r="EC17" s="45" t="n"/>
      <c r="ED17" s="351" t="n"/>
      <c r="EE17" s="107" t="n"/>
      <c r="EF17" s="139" t="n"/>
      <c r="EG17" s="139" t="n"/>
      <c r="EH17" s="139" t="n"/>
      <c r="EI17" s="140" t="n"/>
      <c r="EJ17" s="108" t="n"/>
      <c r="EK17" s="141" t="n"/>
      <c r="EL17" s="140" t="n"/>
      <c r="EM17" s="140" t="n"/>
      <c r="EN17" s="140" t="n"/>
      <c r="EO17" s="347" t="n"/>
      <c r="EP17" s="348" t="n"/>
      <c r="EQ17" s="107" t="n"/>
      <c r="ER17" s="140" t="n"/>
      <c r="ES17" s="140" t="n"/>
      <c r="ET17" s="107" t="n"/>
      <c r="EU17" s="587" t="n"/>
      <c r="EV17" s="587" t="n"/>
      <c r="EW17" s="141" t="n"/>
      <c r="EX17" s="140" t="n"/>
      <c r="EY17" s="140" t="n"/>
      <c r="EZ17" s="140" t="n"/>
      <c r="FA17" s="140" t="n"/>
      <c r="FB17" s="147" t="n"/>
      <c r="FC17" s="74" t="n"/>
      <c r="FD17" s="75" t="n"/>
      <c r="FE17" s="76" t="n"/>
      <c r="FF17" s="76" t="n"/>
      <c r="FG17" s="91" t="n"/>
      <c r="FH17" s="92" t="n"/>
      <c r="FI17" s="91" t="n"/>
      <c r="FJ17" s="74" t="n"/>
      <c r="FK17" s="92" t="n"/>
      <c r="FL17" s="148" t="n"/>
      <c r="FM17" s="149" t="n"/>
      <c r="FN17" s="150" t="n"/>
      <c r="FO17" s="99" t="n"/>
      <c r="FP17" s="100" t="n"/>
      <c r="FQ17" s="100" t="n"/>
      <c r="FR17" s="100" t="n"/>
      <c r="FS17" s="100" t="n"/>
      <c r="FT17" s="100" t="n"/>
      <c r="FU17" s="100" t="n"/>
      <c r="FV17" s="100" t="n"/>
      <c r="FW17" s="100" t="n"/>
      <c r="FX17" s="100" t="n"/>
      <c r="FY17" s="100" t="n"/>
      <c r="FZ17" s="102" t="n"/>
      <c r="GA17" s="266" t="n"/>
      <c r="GB17" s="525" t="n"/>
      <c r="GC17" s="525" t="n"/>
      <c r="GD17" s="265" t="n"/>
      <c r="GE17" s="266" t="n"/>
      <c r="GF17" s="525" t="n"/>
      <c r="GG17" s="525" t="n"/>
      <c r="GH17" s="265" t="n"/>
      <c r="GI17" s="31" t="n"/>
      <c r="GJ17" s="349" t="n"/>
      <c r="GK17" s="349" t="n"/>
      <c r="GL17" s="45" t="n"/>
      <c r="GM17" s="351" t="n"/>
      <c r="GN17" s="31" t="n"/>
      <c r="GO17" s="45" t="n"/>
      <c r="GP17" s="45" t="n"/>
      <c r="GQ17" s="350" t="n"/>
      <c r="GR17" s="351" t="n"/>
      <c r="GS17" s="107" t="n"/>
      <c r="GT17" s="587" t="n"/>
      <c r="GU17" s="108" t="n"/>
      <c r="GV17" s="266" t="n"/>
      <c r="GW17" s="525" t="n"/>
      <c r="GX17" s="265" t="n"/>
      <c r="GY17" s="266" t="n"/>
      <c r="GZ17" s="525" t="n"/>
      <c r="HA17" s="525" t="n"/>
      <c r="HB17" s="265" t="n"/>
      <c r="HC17" s="31" t="n"/>
      <c r="HD17" s="45" t="n"/>
      <c r="HE17" s="45" t="n"/>
      <c r="HF17" s="45" t="n"/>
      <c r="HG17" s="45" t="n"/>
      <c r="HH17" s="45" t="n"/>
      <c r="HI17" s="45" t="n"/>
      <c r="HJ17" s="45" t="n"/>
      <c r="HK17" s="45" t="n"/>
      <c r="HL17" s="45" t="n"/>
      <c r="HM17" s="45" t="n"/>
      <c r="HN17" s="351" t="n"/>
      <c r="HO17" s="606" t="n"/>
      <c r="HP17" s="65">
        <f>AVERAGE(G17,L17,N17)</f>
        <v/>
      </c>
      <c r="HQ17" s="66">
        <f>AVERAGE(E17,H17,O17,Q17,S17,V17,Z17)</f>
        <v/>
      </c>
      <c r="HR17" s="66">
        <f>AVERAGE(T17)</f>
        <v/>
      </c>
      <c r="HS17" s="66">
        <f>AVERAGE(P17)</f>
        <v/>
      </c>
      <c r="HT17" s="66">
        <f>AVERAGE(W17,R17,F17)</f>
        <v/>
      </c>
      <c r="HU17" s="66" t="n"/>
      <c r="HV17" s="66">
        <f>AVERAGE(X17)</f>
        <v/>
      </c>
      <c r="HW17" s="66" t="n"/>
      <c r="HX17" s="66" t="n"/>
      <c r="HY17" s="66">
        <f>AVERAGE(Y17)</f>
        <v/>
      </c>
    </row>
    <row r="18" ht="15.75" customHeight="1" s="590">
      <c r="B18" s="12" t="n">
        <v>12</v>
      </c>
      <c r="C18" s="13" t="inlineStr">
        <is>
          <t>052-25-126072</t>
        </is>
      </c>
      <c r="D18" s="14" t="inlineStr">
        <is>
          <t xml:space="preserve">Aryan Khalid </t>
        </is>
      </c>
      <c r="E18" s="274" t="n">
        <v>75</v>
      </c>
      <c r="F18" s="241" t="n">
        <v>75.56</v>
      </c>
      <c r="G18" s="526" t="n">
        <v>91.48</v>
      </c>
      <c r="H18" s="273" t="n">
        <v>93.64</v>
      </c>
      <c r="I18" s="274" t="n">
        <v>85.56666666666671</v>
      </c>
      <c r="J18" s="683" t="n"/>
      <c r="K18" s="665" t="n"/>
      <c r="L18" s="273" t="n">
        <v>81.64</v>
      </c>
      <c r="M18" s="663" t="n"/>
      <c r="N18" s="523" t="n">
        <v>90</v>
      </c>
      <c r="O18" s="524" t="n">
        <v>91.67</v>
      </c>
      <c r="P18" s="525" t="n">
        <v>80</v>
      </c>
      <c r="Q18" s="241" t="n">
        <v>87.88</v>
      </c>
      <c r="R18" s="273" t="n">
        <v>80.91</v>
      </c>
      <c r="S18" s="270" t="n">
        <v>90</v>
      </c>
      <c r="T18" s="262" t="n">
        <v>89.42</v>
      </c>
      <c r="U18" s="663" t="n"/>
      <c r="V18" s="274" t="n">
        <v>81.79000000000001</v>
      </c>
      <c r="W18" s="241" t="n">
        <v>81.77</v>
      </c>
      <c r="X18" s="273" t="n">
        <v>90</v>
      </c>
      <c r="Y18" s="273" t="n">
        <v>70</v>
      </c>
      <c r="Z18" s="273" t="n">
        <v>66</v>
      </c>
      <c r="AA18" s="269" t="n">
        <v>271.25</v>
      </c>
      <c r="AB18" s="269" t="n">
        <v>67.5</v>
      </c>
      <c r="AC18" s="269" t="n">
        <v>71.11</v>
      </c>
      <c r="AD18" s="269" t="n">
        <v>83.80952380952381</v>
      </c>
      <c r="AE18" s="269" t="n">
        <v>87.5</v>
      </c>
      <c r="AF18" s="269" t="n">
        <v>78.71031746031746</v>
      </c>
      <c r="AG18" s="241" t="n">
        <v>84.61538461538461</v>
      </c>
      <c r="AH18" s="526" t="n">
        <v>48.41</v>
      </c>
      <c r="AI18" s="526" t="n">
        <v>50.86</v>
      </c>
      <c r="AJ18" s="526" t="n">
        <v>54</v>
      </c>
      <c r="AK18" s="528" t="n">
        <v>0</v>
      </c>
      <c r="AL18" s="528" t="n">
        <v>100</v>
      </c>
      <c r="AM18" s="528" t="n">
        <v>16</v>
      </c>
      <c r="AN18" s="225" t="n">
        <v>47.14</v>
      </c>
      <c r="AO18" s="225" t="n">
        <v>35.69</v>
      </c>
      <c r="AP18" s="225" t="n">
        <v>65.33</v>
      </c>
      <c r="AQ18" s="263" t="n">
        <v>42.22</v>
      </c>
      <c r="AR18" s="528" t="n">
        <v>37.14</v>
      </c>
      <c r="AS18" s="528" t="n">
        <v>28</v>
      </c>
      <c r="AT18" s="262" t="n">
        <v>32</v>
      </c>
      <c r="AU18" s="261" t="n">
        <v>28.89</v>
      </c>
      <c r="AV18" s="263" t="n">
        <v>26.67</v>
      </c>
      <c r="AW18" s="263" t="n">
        <v>67.67</v>
      </c>
      <c r="AX18" s="263" t="n">
        <v>75</v>
      </c>
      <c r="AY18" s="262" t="n"/>
      <c r="AZ18" s="262" t="n"/>
      <c r="BA18" s="262" t="n"/>
      <c r="BB18" s="274" t="n"/>
      <c r="BC18" s="525" t="n"/>
      <c r="BD18" s="527" t="n"/>
      <c r="BE18" s="274" t="n"/>
      <c r="BF18" s="525" t="n"/>
      <c r="BG18" s="527" t="n"/>
      <c r="BH18" s="274" t="n"/>
      <c r="BI18" s="525" t="n"/>
      <c r="BJ18" s="525" t="n"/>
      <c r="BK18" s="525" t="n"/>
      <c r="BL18" s="525" t="n"/>
      <c r="BM18" s="525" t="n"/>
      <c r="BN18" s="527" t="n"/>
      <c r="BO18" s="525" t="n"/>
      <c r="BP18" s="525" t="n"/>
      <c r="BQ18" s="525" t="n"/>
      <c r="BR18" s="525" t="n"/>
      <c r="BS18" s="525" t="n"/>
      <c r="BT18" s="525" t="n"/>
      <c r="BU18" s="525" t="n"/>
      <c r="BV18" s="266" t="n"/>
      <c r="BW18" s="525" t="n"/>
      <c r="BX18" s="525" t="n"/>
      <c r="BY18" s="525" t="n"/>
      <c r="BZ18" s="525" t="n"/>
      <c r="CA18" s="525" t="n"/>
      <c r="CB18" s="266" t="n"/>
      <c r="CC18" s="525" t="n"/>
      <c r="CD18" s="525" t="n"/>
      <c r="CE18" s="265" t="n"/>
      <c r="CF18" s="525" t="n"/>
      <c r="CG18" s="525" t="n"/>
      <c r="CH18" s="525" t="n"/>
      <c r="CI18" s="525" t="n"/>
      <c r="CJ18" s="524" t="n"/>
      <c r="CK18" s="266" t="n"/>
      <c r="CL18" s="266" t="n"/>
      <c r="CM18" s="266" t="n"/>
      <c r="CN18" s="266" t="n"/>
      <c r="CO18" s="525" t="n"/>
      <c r="CP18" s="265" t="n"/>
      <c r="CQ18" s="74" t="n"/>
      <c r="CR18" s="75" t="n"/>
      <c r="CS18" s="76" t="n"/>
      <c r="CT18" s="76" t="n"/>
      <c r="CU18" s="91" t="n"/>
      <c r="CV18" s="525" t="n"/>
      <c r="CW18" s="525" t="n"/>
      <c r="CX18" s="525" t="n"/>
      <c r="CY18" s="525" t="n"/>
      <c r="CZ18" s="524" t="n"/>
      <c r="DA18" s="141" t="n"/>
      <c r="DB18" s="162" t="n"/>
      <c r="DC18" s="162" t="n"/>
      <c r="DD18" s="662" t="n"/>
      <c r="DE18" s="663" t="n"/>
      <c r="DF18" s="141" t="n"/>
      <c r="DG18" s="139" t="n"/>
      <c r="DH18" s="139" t="n"/>
      <c r="DI18" s="139" t="n"/>
      <c r="DJ18" s="147" t="n"/>
      <c r="DK18" s="664" t="n"/>
      <c r="DL18" s="162" t="n"/>
      <c r="DM18" s="162" t="n"/>
      <c r="DN18" s="162" t="n"/>
      <c r="DO18" s="162" t="n"/>
      <c r="DP18" s="201" t="n"/>
      <c r="DQ18" s="201" t="n"/>
      <c r="DR18" s="163" t="n"/>
      <c r="DS18" s="141" t="n"/>
      <c r="DT18" s="139" t="n"/>
      <c r="DU18" s="139" t="n"/>
      <c r="DV18" s="139" t="n"/>
      <c r="DW18" s="140" t="n"/>
      <c r="DX18" s="347" t="n"/>
      <c r="DY18" s="147" t="n"/>
      <c r="DZ18" s="31" t="n"/>
      <c r="EA18" s="45" t="n"/>
      <c r="EB18" s="665" t="n"/>
      <c r="EC18" s="45" t="n"/>
      <c r="ED18" s="351" t="n"/>
      <c r="EE18" s="107" t="n"/>
      <c r="EF18" s="139" t="n"/>
      <c r="EG18" s="139" t="n"/>
      <c r="EH18" s="139" t="n"/>
      <c r="EI18" s="140" t="n"/>
      <c r="EJ18" s="108" t="n"/>
      <c r="EK18" s="141" t="n"/>
      <c r="EL18" s="140" t="n"/>
      <c r="EM18" s="140" t="n"/>
      <c r="EN18" s="140" t="n"/>
      <c r="EO18" s="108" t="n"/>
      <c r="EP18" s="666" t="n"/>
      <c r="EQ18" s="107" t="n"/>
      <c r="ER18" s="140" t="n"/>
      <c r="ES18" s="140" t="n"/>
      <c r="ET18" s="107" t="n"/>
      <c r="EU18" s="587" t="n"/>
      <c r="EV18" s="587" t="n"/>
      <c r="EW18" s="141" t="n"/>
      <c r="EX18" s="140" t="n"/>
      <c r="EY18" s="140" t="n"/>
      <c r="EZ18" s="140" t="n"/>
      <c r="FA18" s="140" t="n"/>
      <c r="FB18" s="147" t="n"/>
      <c r="FC18" s="74" t="n"/>
      <c r="FD18" s="75" t="n"/>
      <c r="FE18" s="76" t="n"/>
      <c r="FF18" s="76" t="n"/>
      <c r="FG18" s="91" t="n"/>
      <c r="FH18" s="92" t="n"/>
      <c r="FI18" s="91" t="n"/>
      <c r="FJ18" s="74" t="n"/>
      <c r="FK18" s="92" t="n"/>
      <c r="FL18" s="148" t="n"/>
      <c r="FM18" s="149" t="n"/>
      <c r="FN18" s="150" t="n"/>
      <c r="FO18" s="99" t="n"/>
      <c r="FP18" s="100" t="n"/>
      <c r="FQ18" s="100" t="n"/>
      <c r="FR18" s="100" t="n"/>
      <c r="FS18" s="100" t="n"/>
      <c r="FT18" s="100" t="n"/>
      <c r="FU18" s="100" t="n"/>
      <c r="FV18" s="100" t="n"/>
      <c r="FW18" s="100" t="n"/>
      <c r="FX18" s="100" t="n"/>
      <c r="FY18" s="100" t="n"/>
      <c r="FZ18" s="102" t="n"/>
      <c r="GA18" s="266" t="n"/>
      <c r="GB18" s="525" t="n"/>
      <c r="GC18" s="525" t="n"/>
      <c r="GD18" s="265" t="n"/>
      <c r="GE18" s="266" t="n"/>
      <c r="GF18" s="525" t="n"/>
      <c r="GG18" s="525" t="n"/>
      <c r="GH18" s="265" t="n"/>
      <c r="GI18" s="31" t="n"/>
      <c r="GJ18" s="45" t="n"/>
      <c r="GK18" s="665" t="n"/>
      <c r="GL18" s="45" t="n"/>
      <c r="GM18" s="351" t="n"/>
      <c r="GN18" s="31" t="n"/>
      <c r="GO18" s="45" t="n"/>
      <c r="GP18" s="45" t="n"/>
      <c r="GQ18" s="667" t="n"/>
      <c r="GR18" s="668" t="n"/>
      <c r="GS18" s="107" t="n"/>
      <c r="GT18" s="587" t="n"/>
      <c r="GU18" s="108" t="n"/>
      <c r="GV18" s="266" t="n"/>
      <c r="GW18" s="525" t="n"/>
      <c r="GX18" s="265" t="n"/>
      <c r="GY18" s="266" t="n"/>
      <c r="GZ18" s="525" t="n"/>
      <c r="HA18" s="525" t="n"/>
      <c r="HB18" s="265" t="n"/>
      <c r="HC18" s="31" t="n"/>
      <c r="HD18" s="45" t="n"/>
      <c r="HE18" s="45" t="n"/>
      <c r="HF18" s="45" t="n"/>
      <c r="HG18" s="45" t="n"/>
      <c r="HH18" s="45" t="n"/>
      <c r="HI18" s="45" t="n"/>
      <c r="HJ18" s="45" t="n"/>
      <c r="HK18" s="45" t="n"/>
      <c r="HL18" s="45" t="n"/>
      <c r="HM18" s="45" t="n"/>
      <c r="HN18" s="351" t="n"/>
      <c r="HO18" s="606" t="n"/>
      <c r="HP18" s="65">
        <f>AVERAGE(G18,L18,N18)</f>
        <v/>
      </c>
      <c r="HQ18" s="66">
        <f>AVERAGE(E18,H18,O18,Q18,S18,V18,Z18)</f>
        <v/>
      </c>
      <c r="HR18" s="66">
        <f>AVERAGE(T18)</f>
        <v/>
      </c>
      <c r="HS18" s="66">
        <f>AVERAGE(P18)</f>
        <v/>
      </c>
      <c r="HT18" s="66">
        <f>AVERAGE(W18,R18,F18)</f>
        <v/>
      </c>
      <c r="HU18" s="66" t="n"/>
      <c r="HV18" s="66">
        <f>AVERAGE(X18)</f>
        <v/>
      </c>
      <c r="HW18" s="66" t="n"/>
      <c r="HX18" s="66" t="n"/>
      <c r="HY18" s="66">
        <f>AVERAGE(Y18)</f>
        <v/>
      </c>
    </row>
    <row r="19" ht="15.75" customHeight="1" s="590">
      <c r="B19" s="12" t="n">
        <v>13</v>
      </c>
      <c r="C19" s="13" t="inlineStr">
        <is>
          <t>052-25-126075</t>
        </is>
      </c>
      <c r="D19" s="14" t="inlineStr">
        <is>
          <t xml:space="preserve">Wajahat Nawaz Khan </t>
        </is>
      </c>
      <c r="E19" s="274" t="n">
        <v>35</v>
      </c>
      <c r="F19" s="241" t="n">
        <v>22</v>
      </c>
      <c r="G19" s="526" t="n">
        <v>34.81</v>
      </c>
      <c r="H19" s="273" t="n">
        <v>45.45</v>
      </c>
      <c r="I19" s="274" t="n">
        <v>7.16666666666667</v>
      </c>
      <c r="J19" s="683" t="n"/>
      <c r="K19" s="665" t="n"/>
      <c r="L19" s="273" t="n"/>
      <c r="M19" s="663" t="n"/>
      <c r="N19" s="523" t="n"/>
      <c r="O19" s="524" t="n"/>
      <c r="P19" s="525" t="n"/>
      <c r="Q19" s="241" t="n">
        <v>28.18</v>
      </c>
      <c r="R19" s="273" t="n">
        <v>2.73</v>
      </c>
      <c r="S19" s="270" t="n">
        <v>25</v>
      </c>
      <c r="T19" s="262" t="n"/>
      <c r="U19" s="663" t="n"/>
      <c r="V19" s="274" t="n">
        <v>10.71</v>
      </c>
      <c r="W19" s="241" t="n">
        <v>8.539999999999999</v>
      </c>
      <c r="X19" s="273" t="n"/>
      <c r="Y19" s="273" t="n">
        <v>0</v>
      </c>
      <c r="Z19" s="273" t="n">
        <v>0</v>
      </c>
      <c r="AA19" s="269" t="n">
        <v>67.92</v>
      </c>
      <c r="AB19" s="269" t="n">
        <v>65.5</v>
      </c>
      <c r="AC19" s="269" t="n">
        <v>75.56</v>
      </c>
      <c r="AD19" s="269" t="n">
        <v>96.66666666666667</v>
      </c>
      <c r="AE19" s="269" t="n">
        <v>85</v>
      </c>
      <c r="AF19" s="269" t="n">
        <v>80.67460317460318</v>
      </c>
      <c r="AG19" s="241" t="n">
        <v>68.07692307692308</v>
      </c>
      <c r="AH19" s="526" t="n">
        <v>52.62</v>
      </c>
      <c r="AI19" s="526" t="n">
        <v>60.57</v>
      </c>
      <c r="AJ19" s="526" t="n">
        <v>37.33</v>
      </c>
      <c r="AK19" s="528" t="n">
        <v>0</v>
      </c>
      <c r="AL19" s="528" t="n"/>
      <c r="AM19" s="528" t="n"/>
      <c r="AN19" s="261" t="n">
        <v>0</v>
      </c>
      <c r="AO19" s="263" t="n">
        <v>0</v>
      </c>
      <c r="AP19" s="263" t="n">
        <v>0</v>
      </c>
      <c r="AQ19" s="263" t="n"/>
      <c r="AR19" s="528" t="n"/>
      <c r="AS19" s="528" t="n"/>
      <c r="AT19" s="262" t="n"/>
      <c r="AU19" s="261" t="n">
        <v>0</v>
      </c>
      <c r="AV19" s="263" t="n">
        <v>0</v>
      </c>
      <c r="AW19" s="263" t="n">
        <v>0</v>
      </c>
      <c r="AX19" s="263" t="n">
        <v>0</v>
      </c>
      <c r="AY19" s="262" t="n"/>
      <c r="AZ19" s="262" t="n"/>
      <c r="BA19" s="262" t="n"/>
      <c r="BB19" s="274" t="n"/>
      <c r="BC19" s="525" t="n"/>
      <c r="BD19" s="527" t="n"/>
      <c r="BE19" s="274" t="n"/>
      <c r="BF19" s="525" t="n"/>
      <c r="BG19" s="527" t="n"/>
      <c r="BH19" s="274" t="n"/>
      <c r="BI19" s="525" t="n"/>
      <c r="BJ19" s="525" t="n"/>
      <c r="BK19" s="525" t="n"/>
      <c r="BL19" s="525" t="n"/>
      <c r="BM19" s="525" t="n"/>
      <c r="BN19" s="527" t="n"/>
      <c r="BO19" s="525" t="n"/>
      <c r="BP19" s="525" t="n"/>
      <c r="BQ19" s="525" t="n"/>
      <c r="BR19" s="525" t="n"/>
      <c r="BS19" s="525" t="n"/>
      <c r="BT19" s="525" t="n"/>
      <c r="BU19" s="525" t="n"/>
      <c r="BV19" s="266" t="n"/>
      <c r="BW19" s="525" t="n"/>
      <c r="BX19" s="525" t="n"/>
      <c r="BY19" s="525" t="n"/>
      <c r="BZ19" s="525" t="n"/>
      <c r="CA19" s="525" t="n"/>
      <c r="CB19" s="266" t="n"/>
      <c r="CC19" s="525" t="n"/>
      <c r="CD19" s="525" t="n"/>
      <c r="CE19" s="265" t="n"/>
      <c r="CF19" s="525" t="n"/>
      <c r="CG19" s="525" t="n"/>
      <c r="CH19" s="525" t="n"/>
      <c r="CI19" s="525" t="n"/>
      <c r="CJ19" s="524" t="n"/>
      <c r="CK19" s="266" t="n"/>
      <c r="CL19" s="266" t="n"/>
      <c r="CM19" s="266" t="n"/>
      <c r="CN19" s="266" t="n"/>
      <c r="CO19" s="525" t="n"/>
      <c r="CP19" s="265" t="n"/>
      <c r="CQ19" s="74" t="n"/>
      <c r="CR19" s="75" t="n"/>
      <c r="CS19" s="76" t="n"/>
      <c r="CT19" s="76" t="n"/>
      <c r="CU19" s="91" t="n"/>
      <c r="CV19" s="525" t="n"/>
      <c r="CW19" s="525" t="n"/>
      <c r="CX19" s="525" t="n"/>
      <c r="CY19" s="525" t="n"/>
      <c r="CZ19" s="524" t="n"/>
      <c r="DA19" s="141" t="n"/>
      <c r="DB19" s="162" t="n"/>
      <c r="DC19" s="162" t="n"/>
      <c r="DD19" s="512" t="n"/>
      <c r="DE19" s="491" t="n"/>
      <c r="DF19" s="141" t="n"/>
      <c r="DG19" s="139" t="n"/>
      <c r="DH19" s="139" t="n"/>
      <c r="DI19" s="139" t="n"/>
      <c r="DJ19" s="347" t="n"/>
      <c r="DK19" s="348" t="n"/>
      <c r="DL19" s="162" t="n"/>
      <c r="DM19" s="162" t="n"/>
      <c r="DN19" s="162" t="n"/>
      <c r="DO19" s="162" t="n"/>
      <c r="DP19" s="201" t="n"/>
      <c r="DQ19" s="201" t="n"/>
      <c r="DR19" s="163" t="n"/>
      <c r="DS19" s="141" t="n"/>
      <c r="DT19" s="139" t="n"/>
      <c r="DU19" s="139" t="n"/>
      <c r="DV19" s="139" t="n"/>
      <c r="DW19" s="140" t="n"/>
      <c r="DX19" s="347" t="n"/>
      <c r="DY19" s="147" t="n"/>
      <c r="DZ19" s="31" t="n"/>
      <c r="EA19" s="349" t="n"/>
      <c r="EB19" s="349" t="n"/>
      <c r="EC19" s="45" t="n"/>
      <c r="ED19" s="351" t="n"/>
      <c r="EE19" s="107" t="n"/>
      <c r="EF19" s="139" t="n"/>
      <c r="EG19" s="139" t="n"/>
      <c r="EH19" s="139" t="n"/>
      <c r="EI19" s="140" t="n"/>
      <c r="EJ19" s="108" t="n"/>
      <c r="EK19" s="141" t="n"/>
      <c r="EL19" s="140" t="n"/>
      <c r="EM19" s="140" t="n"/>
      <c r="EN19" s="140" t="n"/>
      <c r="EO19" s="347" t="n"/>
      <c r="EP19" s="348" t="n"/>
      <c r="EQ19" s="107" t="n"/>
      <c r="ER19" s="140" t="n"/>
      <c r="ES19" s="140" t="n"/>
      <c r="ET19" s="107" t="n"/>
      <c r="EU19" s="587" t="n"/>
      <c r="EV19" s="587" t="n"/>
      <c r="EW19" s="141" t="n"/>
      <c r="EX19" s="140" t="n"/>
      <c r="EY19" s="140" t="n"/>
      <c r="EZ19" s="140" t="n"/>
      <c r="FA19" s="140" t="n"/>
      <c r="FB19" s="147" t="n"/>
      <c r="FC19" s="74" t="n"/>
      <c r="FD19" s="75" t="n"/>
      <c r="FE19" s="76" t="n"/>
      <c r="FF19" s="76" t="n"/>
      <c r="FG19" s="91" t="n"/>
      <c r="FH19" s="92" t="n"/>
      <c r="FI19" s="91" t="n"/>
      <c r="FJ19" s="74" t="n"/>
      <c r="FK19" s="92" t="n"/>
      <c r="FL19" s="148" t="n"/>
      <c r="FM19" s="149" t="n"/>
      <c r="FN19" s="150" t="n"/>
      <c r="FO19" s="99" t="n"/>
      <c r="FP19" s="100" t="n"/>
      <c r="FQ19" s="100" t="n"/>
      <c r="FR19" s="100" t="n"/>
      <c r="FS19" s="100" t="n"/>
      <c r="FT19" s="100" t="n"/>
      <c r="FU19" s="100" t="n"/>
      <c r="FV19" s="100" t="n"/>
      <c r="FW19" s="100" t="n"/>
      <c r="FX19" s="100" t="n"/>
      <c r="FY19" s="100" t="n"/>
      <c r="FZ19" s="102" t="n"/>
      <c r="GA19" s="266" t="n"/>
      <c r="GB19" s="525" t="n"/>
      <c r="GC19" s="525" t="n"/>
      <c r="GD19" s="265" t="n"/>
      <c r="GE19" s="266" t="n"/>
      <c r="GF19" s="525" t="n"/>
      <c r="GG19" s="525" t="n"/>
      <c r="GH19" s="265" t="n"/>
      <c r="GI19" s="31" t="n"/>
      <c r="GJ19" s="349" t="n"/>
      <c r="GK19" s="349" t="n"/>
      <c r="GL19" s="45" t="n"/>
      <c r="GM19" s="351" t="n"/>
      <c r="GN19" s="31" t="n"/>
      <c r="GO19" s="45" t="n"/>
      <c r="GP19" s="45" t="n"/>
      <c r="GQ19" s="350" t="n"/>
      <c r="GR19" s="351" t="n"/>
      <c r="GS19" s="107" t="n"/>
      <c r="GT19" s="587" t="n"/>
      <c r="GU19" s="108" t="n"/>
      <c r="GV19" s="266" t="n"/>
      <c r="GW19" s="525" t="n"/>
      <c r="GX19" s="265" t="n"/>
      <c r="GY19" s="266" t="n"/>
      <c r="GZ19" s="525" t="n"/>
      <c r="HA19" s="525" t="n"/>
      <c r="HB19" s="265" t="n"/>
      <c r="HC19" s="31" t="n"/>
      <c r="HD19" s="45" t="n"/>
      <c r="HE19" s="45" t="n"/>
      <c r="HF19" s="45" t="n"/>
      <c r="HG19" s="45" t="n"/>
      <c r="HH19" s="45" t="n"/>
      <c r="HI19" s="45" t="n"/>
      <c r="HJ19" s="45" t="n"/>
      <c r="HK19" s="45" t="n"/>
      <c r="HL19" s="45" t="n"/>
      <c r="HM19" s="45" t="n"/>
      <c r="HN19" s="351" t="n"/>
      <c r="HO19" s="606" t="n"/>
      <c r="HP19" s="65">
        <f>AVERAGE(G19,L19,N19)</f>
        <v/>
      </c>
      <c r="HQ19" s="66">
        <f>AVERAGE(E19,H19,O19,Q19,S19,V19,Z19)</f>
        <v/>
      </c>
      <c r="HR19" s="66" t="n"/>
      <c r="HS19" s="66" t="n"/>
      <c r="HT19" s="66">
        <f>AVERAGE(W19,R19,F19)</f>
        <v/>
      </c>
      <c r="HU19" s="66" t="n"/>
      <c r="HV19" s="66" t="n"/>
      <c r="HW19" s="66" t="n"/>
      <c r="HX19" s="66" t="n"/>
      <c r="HY19" s="66">
        <f>AVERAGE(Y19)</f>
        <v/>
      </c>
    </row>
    <row r="20" ht="15.75" customHeight="1" s="590">
      <c r="B20" s="12" t="n">
        <v>14</v>
      </c>
      <c r="C20" s="13" t="inlineStr">
        <is>
          <t>052-25-126082</t>
        </is>
      </c>
      <c r="D20" s="14" t="inlineStr">
        <is>
          <t>Dawood Alam Shami</t>
        </is>
      </c>
      <c r="E20" s="274" t="n">
        <v>83.33</v>
      </c>
      <c r="F20" s="241" t="n">
        <v>75.56</v>
      </c>
      <c r="G20" s="526" t="n">
        <v>92.95999999999999</v>
      </c>
      <c r="H20" s="273" t="n">
        <v>95.08</v>
      </c>
      <c r="I20" s="274" t="n">
        <v>58.7333333333333</v>
      </c>
      <c r="J20" s="683" t="n"/>
      <c r="K20" s="665" t="n"/>
      <c r="L20" s="273" t="n">
        <v>56.92</v>
      </c>
      <c r="M20" s="663" t="n"/>
      <c r="N20" s="523" t="n">
        <v>80</v>
      </c>
      <c r="O20" s="524" t="n">
        <v>76.67</v>
      </c>
      <c r="P20" s="525" t="n">
        <v>69.44</v>
      </c>
      <c r="Q20" s="241" t="n">
        <v>61.82</v>
      </c>
      <c r="R20" s="273" t="n">
        <v>59.39</v>
      </c>
      <c r="S20" s="270" t="n">
        <v>92.5</v>
      </c>
      <c r="T20" s="262" t="n">
        <v>91.42</v>
      </c>
      <c r="U20" s="663" t="n"/>
      <c r="V20" s="274" t="n">
        <v>87.86</v>
      </c>
      <c r="W20" s="241" t="n">
        <v>71.15000000000001</v>
      </c>
      <c r="X20" s="273" t="n">
        <v>90</v>
      </c>
      <c r="Y20" s="273" t="n">
        <v>65</v>
      </c>
      <c r="Z20" s="273" t="n">
        <v>80</v>
      </c>
      <c r="AA20" s="269" t="n">
        <v>83.75</v>
      </c>
      <c r="AB20" s="269" t="n">
        <v>78.5</v>
      </c>
      <c r="AC20" s="269" t="n">
        <v>80</v>
      </c>
      <c r="AD20" s="269" t="n">
        <v>63.33333333333334</v>
      </c>
      <c r="AE20" s="269" t="n">
        <v>32.5</v>
      </c>
      <c r="AF20" s="269" t="n">
        <v>43.21428571428572</v>
      </c>
      <c r="AG20" s="241" t="n">
        <v>61.73076923076923</v>
      </c>
      <c r="AH20" s="526" t="n">
        <v>58.57</v>
      </c>
      <c r="AI20" s="526" t="n">
        <v>53.71</v>
      </c>
      <c r="AJ20" s="526" t="n">
        <v>49.33</v>
      </c>
      <c r="AK20" s="528" t="n">
        <v>67.92</v>
      </c>
      <c r="AL20" s="528" t="n"/>
      <c r="AM20" s="528" t="n"/>
      <c r="AN20" s="225" t="n">
        <v>57.14</v>
      </c>
      <c r="AO20" s="225" t="n">
        <v>46.81</v>
      </c>
      <c r="AP20" s="225" t="n">
        <v>75.67</v>
      </c>
      <c r="AQ20" s="263" t="n">
        <v>40.74</v>
      </c>
      <c r="AR20" s="263" t="n">
        <v>7.14</v>
      </c>
      <c r="AS20" s="263" t="n">
        <v>32</v>
      </c>
      <c r="AT20" s="263" t="n">
        <v>28</v>
      </c>
      <c r="AU20" s="261" t="n">
        <v>59.17</v>
      </c>
      <c r="AV20" s="263" t="n">
        <v>53.33</v>
      </c>
      <c r="AW20" s="263" t="n">
        <v>25</v>
      </c>
      <c r="AX20" s="263" t="n">
        <v>25</v>
      </c>
      <c r="AY20" s="262" t="n"/>
      <c r="AZ20" s="262" t="n"/>
      <c r="BA20" s="262" t="n"/>
      <c r="BB20" s="274" t="n"/>
      <c r="BC20" s="525" t="n"/>
      <c r="BD20" s="527" t="n"/>
      <c r="BE20" s="274" t="n"/>
      <c r="BF20" s="525" t="n"/>
      <c r="BG20" s="527" t="n"/>
      <c r="BH20" s="274" t="n"/>
      <c r="BI20" s="525" t="n"/>
      <c r="BJ20" s="525" t="n"/>
      <c r="BK20" s="525" t="n"/>
      <c r="BL20" s="525" t="n"/>
      <c r="BM20" s="525" t="n"/>
      <c r="BN20" s="527" t="n"/>
      <c r="BO20" s="525" t="n"/>
      <c r="BP20" s="525" t="n"/>
      <c r="BQ20" s="525" t="n"/>
      <c r="BR20" s="525" t="n"/>
      <c r="BS20" s="525" t="n"/>
      <c r="BT20" s="525" t="n"/>
      <c r="BU20" s="525" t="n"/>
      <c r="BV20" s="266" t="n"/>
      <c r="BW20" s="525" t="n"/>
      <c r="BX20" s="525" t="n"/>
      <c r="BY20" s="525" t="n"/>
      <c r="BZ20" s="525" t="n"/>
      <c r="CA20" s="525" t="n"/>
      <c r="CB20" s="266" t="n"/>
      <c r="CC20" s="525" t="n"/>
      <c r="CD20" s="525" t="n"/>
      <c r="CE20" s="265" t="n"/>
      <c r="CF20" s="525" t="n"/>
      <c r="CG20" s="525" t="n"/>
      <c r="CH20" s="525" t="n"/>
      <c r="CI20" s="525" t="n"/>
      <c r="CJ20" s="524" t="n"/>
      <c r="CK20" s="266" t="n"/>
      <c r="CL20" s="266" t="n"/>
      <c r="CM20" s="266" t="n"/>
      <c r="CN20" s="266" t="n"/>
      <c r="CO20" s="525" t="n"/>
      <c r="CP20" s="265" t="n"/>
      <c r="CQ20" s="74" t="n"/>
      <c r="CR20" s="75" t="n"/>
      <c r="CS20" s="76" t="n"/>
      <c r="CT20" s="76" t="n"/>
      <c r="CU20" s="91" t="n"/>
      <c r="CV20" s="525" t="n"/>
      <c r="CW20" s="525" t="n"/>
      <c r="CX20" s="525" t="n"/>
      <c r="CY20" s="525" t="n"/>
      <c r="CZ20" s="524" t="n"/>
      <c r="DA20" s="141" t="n"/>
      <c r="DB20" s="162" t="n"/>
      <c r="DC20" s="162" t="n"/>
      <c r="DD20" s="512" t="n"/>
      <c r="DE20" s="491" t="n"/>
      <c r="DF20" s="141" t="n"/>
      <c r="DG20" s="139" t="n"/>
      <c r="DH20" s="139" t="n"/>
      <c r="DI20" s="139" t="n"/>
      <c r="DJ20" s="347" t="n"/>
      <c r="DK20" s="348" t="n"/>
      <c r="DL20" s="162" t="n"/>
      <c r="DM20" s="162" t="n"/>
      <c r="DN20" s="162" t="n"/>
      <c r="DO20" s="162" t="n"/>
      <c r="DP20" s="201" t="n"/>
      <c r="DQ20" s="201" t="n"/>
      <c r="DR20" s="163" t="n"/>
      <c r="DS20" s="141" t="n"/>
      <c r="DT20" s="139" t="n"/>
      <c r="DU20" s="139" t="n"/>
      <c r="DV20" s="139" t="n"/>
      <c r="DW20" s="140" t="n"/>
      <c r="DX20" s="347" t="n"/>
      <c r="DY20" s="147" t="n"/>
      <c r="DZ20" s="31" t="n"/>
      <c r="EA20" s="349" t="n"/>
      <c r="EB20" s="349" t="n"/>
      <c r="EC20" s="45" t="n"/>
      <c r="ED20" s="351" t="n"/>
      <c r="EE20" s="107" t="n"/>
      <c r="EF20" s="139" t="n"/>
      <c r="EG20" s="139" t="n"/>
      <c r="EH20" s="139" t="n"/>
      <c r="EI20" s="140" t="n"/>
      <c r="EJ20" s="108" t="n"/>
      <c r="EK20" s="141" t="n"/>
      <c r="EL20" s="140" t="n"/>
      <c r="EM20" s="140" t="n"/>
      <c r="EN20" s="140" t="n"/>
      <c r="EO20" s="347" t="n"/>
      <c r="EP20" s="348" t="n"/>
      <c r="EQ20" s="107" t="n"/>
      <c r="ER20" s="140" t="n"/>
      <c r="ES20" s="140" t="n"/>
      <c r="ET20" s="107" t="n"/>
      <c r="EU20" s="587" t="n"/>
      <c r="EV20" s="587" t="n"/>
      <c r="EW20" s="141" t="n"/>
      <c r="EX20" s="140" t="n"/>
      <c r="EY20" s="140" t="n"/>
      <c r="EZ20" s="140" t="n"/>
      <c r="FA20" s="140" t="n"/>
      <c r="FB20" s="147" t="n"/>
      <c r="FC20" s="74" t="n"/>
      <c r="FD20" s="75" t="n"/>
      <c r="FE20" s="76" t="n"/>
      <c r="FF20" s="76" t="n"/>
      <c r="FG20" s="91" t="n"/>
      <c r="FH20" s="92" t="n"/>
      <c r="FI20" s="91" t="n"/>
      <c r="FJ20" s="74" t="n"/>
      <c r="FK20" s="92" t="n"/>
      <c r="FL20" s="148" t="n"/>
      <c r="FM20" s="149" t="n"/>
      <c r="FN20" s="150" t="n"/>
      <c r="FO20" s="99" t="n"/>
      <c r="FP20" s="100" t="n"/>
      <c r="FQ20" s="100" t="n"/>
      <c r="FR20" s="100" t="n"/>
      <c r="FS20" s="100" t="n"/>
      <c r="FT20" s="100" t="n"/>
      <c r="FU20" s="100" t="n"/>
      <c r="FV20" s="100" t="n"/>
      <c r="FW20" s="100" t="n"/>
      <c r="FX20" s="100" t="n"/>
      <c r="FY20" s="100" t="n"/>
      <c r="FZ20" s="102" t="n"/>
      <c r="GA20" s="266" t="n"/>
      <c r="GB20" s="525" t="n"/>
      <c r="GC20" s="525" t="n"/>
      <c r="GD20" s="265" t="n"/>
      <c r="GE20" s="266" t="n"/>
      <c r="GF20" s="525" t="n"/>
      <c r="GG20" s="525" t="n"/>
      <c r="GH20" s="265" t="n"/>
      <c r="GI20" s="31" t="n"/>
      <c r="GJ20" s="349" t="n"/>
      <c r="GK20" s="349" t="n"/>
      <c r="GL20" s="45" t="n"/>
      <c r="GM20" s="351" t="n"/>
      <c r="GN20" s="31" t="n"/>
      <c r="GO20" s="45" t="n"/>
      <c r="GP20" s="45" t="n"/>
      <c r="GQ20" s="350" t="n"/>
      <c r="GR20" s="351" t="n"/>
      <c r="GS20" s="107" t="n"/>
      <c r="GT20" s="587" t="n"/>
      <c r="GU20" s="108" t="n"/>
      <c r="GV20" s="266" t="n"/>
      <c r="GW20" s="525" t="n"/>
      <c r="GX20" s="265" t="n"/>
      <c r="GY20" s="266" t="n"/>
      <c r="GZ20" s="525" t="n"/>
      <c r="HA20" s="525" t="n"/>
      <c r="HB20" s="265" t="n"/>
      <c r="HC20" s="31" t="n"/>
      <c r="HD20" s="45" t="n"/>
      <c r="HE20" s="45" t="n"/>
      <c r="HF20" s="45" t="n"/>
      <c r="HG20" s="45" t="n"/>
      <c r="HH20" s="45" t="n"/>
      <c r="HI20" s="45" t="n"/>
      <c r="HJ20" s="45" t="n"/>
      <c r="HK20" s="45" t="n"/>
      <c r="HL20" s="45" t="n"/>
      <c r="HM20" s="45" t="n"/>
      <c r="HN20" s="351" t="n"/>
      <c r="HO20" s="606" t="n"/>
      <c r="HP20" s="65">
        <f>AVERAGE(G20,L20,N20)</f>
        <v/>
      </c>
      <c r="HQ20" s="66">
        <f>AVERAGE(E20,H20,O20,Q20,S20,V20,Z20)</f>
        <v/>
      </c>
      <c r="HR20" s="66">
        <f>AVERAGE(T20)</f>
        <v/>
      </c>
      <c r="HS20" s="66">
        <f>AVERAGE(P20)</f>
        <v/>
      </c>
      <c r="HT20" s="66">
        <f>AVERAGE(W20,R20,F20)</f>
        <v/>
      </c>
      <c r="HU20" s="66" t="n"/>
      <c r="HV20" s="66">
        <f>AVERAGE(X20)</f>
        <v/>
      </c>
      <c r="HW20" s="66" t="n"/>
      <c r="HX20" s="66" t="n"/>
      <c r="HY20" s="66">
        <f>AVERAGE(Y20)</f>
        <v/>
      </c>
    </row>
    <row r="21" ht="15.75" customHeight="1" s="590">
      <c r="B21" s="12" t="n">
        <v>15</v>
      </c>
      <c r="C21" s="13" t="inlineStr">
        <is>
          <t>052-25-126088</t>
        </is>
      </c>
      <c r="D21" s="14" t="inlineStr">
        <is>
          <t>Abid Khan</t>
        </is>
      </c>
      <c r="E21" s="274" t="n">
        <v>85</v>
      </c>
      <c r="F21" s="241" t="n">
        <v>72.22</v>
      </c>
      <c r="G21" s="526" t="n">
        <v>90.73999999999999</v>
      </c>
      <c r="H21" s="273" t="n">
        <v>85</v>
      </c>
      <c r="I21" s="274" t="n">
        <v>69.0333333333333</v>
      </c>
      <c r="J21" s="683" t="n"/>
      <c r="K21" s="665" t="n"/>
      <c r="L21" s="273" t="n">
        <v>88.59999999999999</v>
      </c>
      <c r="M21" s="663" t="n"/>
      <c r="N21" s="523" t="n">
        <v>70</v>
      </c>
      <c r="O21" s="524" t="n">
        <v>67.78</v>
      </c>
      <c r="P21" s="525" t="n">
        <v>66.67</v>
      </c>
      <c r="Q21" s="241" t="n">
        <v>82.42</v>
      </c>
      <c r="R21" s="273" t="n">
        <v>78.64</v>
      </c>
      <c r="S21" s="270" t="n">
        <v>97.5</v>
      </c>
      <c r="T21" s="262" t="n">
        <v>87.58</v>
      </c>
      <c r="U21" s="663" t="n"/>
      <c r="V21" s="274" t="n">
        <v>83.93000000000001</v>
      </c>
      <c r="W21" s="241" t="n">
        <v>74.93000000000001</v>
      </c>
      <c r="X21" s="273" t="n">
        <v>100</v>
      </c>
      <c r="Y21" s="273" t="n">
        <v>71.11</v>
      </c>
      <c r="Z21" s="273" t="n">
        <v>88</v>
      </c>
      <c r="AA21" s="269" t="n">
        <v>56.25</v>
      </c>
      <c r="AB21" s="269" t="n">
        <v>59.5</v>
      </c>
      <c r="AC21" s="269" t="n">
        <v>66.67</v>
      </c>
      <c r="AD21" s="269" t="n">
        <v>56.66666666666666</v>
      </c>
      <c r="AE21" s="269" t="n">
        <v>43.75</v>
      </c>
      <c r="AF21" s="269" t="n">
        <v>70.13888888888889</v>
      </c>
      <c r="AG21" s="241" t="n">
        <v>27.5</v>
      </c>
      <c r="AH21" s="526" t="n">
        <v>71.90000000000001</v>
      </c>
      <c r="AI21" s="526" t="n">
        <v>70.29000000000001</v>
      </c>
      <c r="AJ21" s="526" t="n">
        <v>67.33</v>
      </c>
      <c r="AK21" s="528" t="n">
        <v>89.11</v>
      </c>
      <c r="AL21" s="528" t="n">
        <v>95.83</v>
      </c>
      <c r="AM21" s="528" t="n">
        <v>14</v>
      </c>
      <c r="AN21" s="225" t="n">
        <v>67.14</v>
      </c>
      <c r="AO21" s="225" t="n">
        <v>46.53</v>
      </c>
      <c r="AP21" s="225" t="n">
        <v>60.33</v>
      </c>
      <c r="AQ21" s="263" t="n">
        <v>69.48</v>
      </c>
      <c r="AR21" s="528" t="n">
        <v>65.95</v>
      </c>
      <c r="AS21" s="528" t="n">
        <v>63.33</v>
      </c>
      <c r="AT21" s="262" t="n">
        <v>72</v>
      </c>
      <c r="AU21" s="261" t="n">
        <v>0</v>
      </c>
      <c r="AV21" s="263" t="n">
        <v>0</v>
      </c>
      <c r="AW21" s="263" t="n">
        <v>0</v>
      </c>
      <c r="AX21" s="263" t="n">
        <v>0</v>
      </c>
      <c r="AY21" s="262" t="n"/>
      <c r="AZ21" s="262" t="n"/>
      <c r="BA21" s="262" t="n"/>
      <c r="BB21" s="274" t="n"/>
      <c r="BC21" s="525" t="n"/>
      <c r="BD21" s="527" t="n"/>
      <c r="BE21" s="274" t="n"/>
      <c r="BF21" s="525" t="n"/>
      <c r="BG21" s="527" t="n"/>
      <c r="BH21" s="274" t="n"/>
      <c r="BI21" s="525" t="n"/>
      <c r="BJ21" s="525" t="n"/>
      <c r="BK21" s="525" t="n"/>
      <c r="BL21" s="525" t="n"/>
      <c r="BM21" s="525" t="n"/>
      <c r="BN21" s="527" t="n"/>
      <c r="BO21" s="525" t="n"/>
      <c r="BP21" s="525" t="n"/>
      <c r="BQ21" s="525" t="n"/>
      <c r="BR21" s="525" t="n"/>
      <c r="BS21" s="525" t="n"/>
      <c r="BT21" s="525" t="n"/>
      <c r="BU21" s="525" t="n"/>
      <c r="BV21" s="266" t="n"/>
      <c r="BW21" s="525" t="n"/>
      <c r="BX21" s="525" t="n"/>
      <c r="BY21" s="525" t="n"/>
      <c r="BZ21" s="525" t="n"/>
      <c r="CA21" s="525" t="n"/>
      <c r="CB21" s="266" t="n"/>
      <c r="CC21" s="525" t="n"/>
      <c r="CD21" s="525" t="n"/>
      <c r="CE21" s="265" t="n"/>
      <c r="CF21" s="525" t="n"/>
      <c r="CG21" s="525" t="n"/>
      <c r="CH21" s="525" t="n"/>
      <c r="CI21" s="525" t="n"/>
      <c r="CJ21" s="524" t="n"/>
      <c r="CK21" s="266" t="n"/>
      <c r="CL21" s="266" t="n"/>
      <c r="CM21" s="266" t="n"/>
      <c r="CN21" s="266" t="n"/>
      <c r="CO21" s="525" t="n"/>
      <c r="CP21" s="265" t="n"/>
      <c r="CQ21" s="74" t="n"/>
      <c r="CR21" s="75" t="n"/>
      <c r="CS21" s="76" t="n"/>
      <c r="CT21" s="76" t="n"/>
      <c r="CU21" s="91" t="n"/>
      <c r="CV21" s="525" t="n"/>
      <c r="CW21" s="525" t="n"/>
      <c r="CX21" s="525" t="n"/>
      <c r="CY21" s="525" t="n"/>
      <c r="CZ21" s="524" t="n"/>
      <c r="DA21" s="141" t="n"/>
      <c r="DB21" s="162" t="n"/>
      <c r="DC21" s="162" t="n"/>
      <c r="DD21" s="512" t="n"/>
      <c r="DE21" s="491" t="n"/>
      <c r="DF21" s="141" t="n"/>
      <c r="DG21" s="139" t="n"/>
      <c r="DH21" s="139" t="n"/>
      <c r="DI21" s="139" t="n"/>
      <c r="DJ21" s="347" t="n"/>
      <c r="DK21" s="348" t="n"/>
      <c r="DL21" s="162" t="n"/>
      <c r="DM21" s="162" t="n"/>
      <c r="DN21" s="162" t="n"/>
      <c r="DO21" s="162" t="n"/>
      <c r="DP21" s="201" t="n"/>
      <c r="DQ21" s="201" t="n"/>
      <c r="DR21" s="163" t="n"/>
      <c r="DS21" s="141" t="n"/>
      <c r="DT21" s="139" t="n"/>
      <c r="DU21" s="139" t="n"/>
      <c r="DV21" s="139" t="n"/>
      <c r="DW21" s="140" t="n"/>
      <c r="DX21" s="347" t="n"/>
      <c r="DY21" s="147" t="n"/>
      <c r="DZ21" s="31" t="n"/>
      <c r="EA21" s="349" t="n"/>
      <c r="EB21" s="349" t="n"/>
      <c r="EC21" s="45" t="n"/>
      <c r="ED21" s="351" t="n"/>
      <c r="EE21" s="107" t="n"/>
      <c r="EF21" s="139" t="n"/>
      <c r="EG21" s="139" t="n"/>
      <c r="EH21" s="139" t="n"/>
      <c r="EI21" s="140" t="n"/>
      <c r="EJ21" s="108" t="n"/>
      <c r="EK21" s="141" t="n"/>
      <c r="EL21" s="140" t="n"/>
      <c r="EM21" s="140" t="n"/>
      <c r="EN21" s="140" t="n"/>
      <c r="EO21" s="347" t="n"/>
      <c r="EP21" s="348" t="n"/>
      <c r="EQ21" s="107" t="n"/>
      <c r="ER21" s="140" t="n"/>
      <c r="ES21" s="140" t="n"/>
      <c r="ET21" s="107" t="n"/>
      <c r="EU21" s="587" t="n"/>
      <c r="EV21" s="587" t="n"/>
      <c r="EW21" s="141" t="n"/>
      <c r="EX21" s="140" t="n"/>
      <c r="EY21" s="140" t="n"/>
      <c r="EZ21" s="140" t="n"/>
      <c r="FA21" s="140" t="n"/>
      <c r="FB21" s="147" t="n"/>
      <c r="FC21" s="74" t="n"/>
      <c r="FD21" s="75" t="n"/>
      <c r="FE21" s="76" t="n"/>
      <c r="FF21" s="76" t="n"/>
      <c r="FG21" s="91" t="n"/>
      <c r="FH21" s="92" t="n"/>
      <c r="FI21" s="91" t="n"/>
      <c r="FJ21" s="74" t="n"/>
      <c r="FK21" s="92" t="n"/>
      <c r="FL21" s="148" t="n"/>
      <c r="FM21" s="149" t="n"/>
      <c r="FN21" s="150" t="n"/>
      <c r="FO21" s="99" t="n"/>
      <c r="FP21" s="100" t="n"/>
      <c r="FQ21" s="100" t="n"/>
      <c r="FR21" s="100" t="n"/>
      <c r="FS21" s="100" t="n"/>
      <c r="FT21" s="100" t="n"/>
      <c r="FU21" s="100" t="n"/>
      <c r="FV21" s="100" t="n"/>
      <c r="FW21" s="100" t="n"/>
      <c r="FX21" s="100" t="n"/>
      <c r="FY21" s="100" t="n"/>
      <c r="FZ21" s="102" t="n"/>
      <c r="GA21" s="266" t="n"/>
      <c r="GB21" s="525" t="n"/>
      <c r="GC21" s="525" t="n"/>
      <c r="GD21" s="265" t="n"/>
      <c r="GE21" s="266" t="n"/>
      <c r="GF21" s="525" t="n"/>
      <c r="GG21" s="525" t="n"/>
      <c r="GH21" s="265" t="n"/>
      <c r="GI21" s="31" t="n"/>
      <c r="GJ21" s="349" t="n"/>
      <c r="GK21" s="349" t="n"/>
      <c r="GL21" s="45" t="n"/>
      <c r="GM21" s="351" t="n"/>
      <c r="GN21" s="31" t="n"/>
      <c r="GO21" s="45" t="n"/>
      <c r="GP21" s="45" t="n"/>
      <c r="GQ21" s="350" t="n"/>
      <c r="GR21" s="351" t="n"/>
      <c r="GS21" s="107" t="n"/>
      <c r="GT21" s="587" t="n"/>
      <c r="GU21" s="108" t="n"/>
      <c r="GV21" s="266" t="n"/>
      <c r="GW21" s="525" t="n"/>
      <c r="GX21" s="265" t="n"/>
      <c r="GY21" s="266" t="n"/>
      <c r="GZ21" s="525" t="n"/>
      <c r="HA21" s="525" t="n"/>
      <c r="HB21" s="265" t="n"/>
      <c r="HC21" s="31" t="n"/>
      <c r="HD21" s="45" t="n"/>
      <c r="HE21" s="45" t="n"/>
      <c r="HF21" s="45" t="n"/>
      <c r="HG21" s="45" t="n"/>
      <c r="HH21" s="45" t="n"/>
      <c r="HI21" s="45" t="n"/>
      <c r="HJ21" s="45" t="n"/>
      <c r="HK21" s="45" t="n"/>
      <c r="HL21" s="45" t="n"/>
      <c r="HM21" s="45" t="n"/>
      <c r="HN21" s="351" t="n"/>
      <c r="HO21" s="606" t="n"/>
      <c r="HP21" s="65">
        <f>AVERAGE(G21,L21,N21)</f>
        <v/>
      </c>
      <c r="HQ21" s="66">
        <f>AVERAGE(E21,H21,O21,Q21,S21,V21,Z21)</f>
        <v/>
      </c>
      <c r="HR21" s="66">
        <f>AVERAGE(T21)</f>
        <v/>
      </c>
      <c r="HS21" s="66">
        <f>AVERAGE(P21)</f>
        <v/>
      </c>
      <c r="HT21" s="66">
        <f>AVERAGE(W21,R21,F21)</f>
        <v/>
      </c>
      <c r="HU21" s="66" t="n"/>
      <c r="HV21" s="66">
        <f>AVERAGE(X21)</f>
        <v/>
      </c>
      <c r="HW21" s="66" t="n"/>
      <c r="HX21" s="66" t="n"/>
      <c r="HY21" s="66">
        <f>AVERAGE(Y21)</f>
        <v/>
      </c>
    </row>
    <row r="22" ht="15.75" customHeight="1" s="590">
      <c r="B22" s="12" t="n">
        <v>16</v>
      </c>
      <c r="C22" s="13" t="inlineStr">
        <is>
          <t>052-25-126097</t>
        </is>
      </c>
      <c r="D22" s="14" t="inlineStr">
        <is>
          <t>Fahad Nasir Abbasi</t>
        </is>
      </c>
      <c r="E22" s="274" t="n">
        <v>76.67</v>
      </c>
      <c r="F22" s="241" t="n">
        <v>77.78</v>
      </c>
      <c r="G22" s="526" t="n">
        <v>93.33</v>
      </c>
      <c r="H22" s="273" t="n">
        <v>92.73</v>
      </c>
      <c r="I22" s="274" t="n">
        <v>60.9833333333333</v>
      </c>
      <c r="J22" s="683" t="n"/>
      <c r="K22" s="665" t="n"/>
      <c r="L22" s="273" t="n">
        <v>85.28</v>
      </c>
      <c r="M22" s="663" t="n"/>
      <c r="N22" s="523" t="n">
        <v>60</v>
      </c>
      <c r="O22" s="524" t="n">
        <v>67.78</v>
      </c>
      <c r="P22" s="525" t="n">
        <v>50</v>
      </c>
      <c r="Q22" s="241" t="n">
        <v>62.42</v>
      </c>
      <c r="R22" s="273" t="n">
        <v>66.52</v>
      </c>
      <c r="S22" s="270" t="n">
        <v>97.5</v>
      </c>
      <c r="T22" s="262" t="n">
        <v>86.5</v>
      </c>
      <c r="U22" s="663" t="n"/>
      <c r="V22" s="274" t="n">
        <v>77.86</v>
      </c>
      <c r="W22" s="241" t="n">
        <v>81.88</v>
      </c>
      <c r="X22" s="273" t="n">
        <v>100</v>
      </c>
      <c r="Y22" s="273" t="n">
        <v>61.67</v>
      </c>
      <c r="Z22" s="273" t="n">
        <v>64</v>
      </c>
      <c r="AA22" s="269" t="n">
        <v>67.08</v>
      </c>
      <c r="AB22" s="269" t="n">
        <v>67.5</v>
      </c>
      <c r="AC22" s="269" t="n">
        <v>66.67</v>
      </c>
      <c r="AD22" s="269" t="n">
        <v>0</v>
      </c>
      <c r="AE22" s="269" t="n">
        <v>0</v>
      </c>
      <c r="AF22" s="269" t="n">
        <v>0</v>
      </c>
      <c r="AG22" s="241" t="n">
        <v>0</v>
      </c>
      <c r="AH22" s="526" t="n">
        <v>60.71</v>
      </c>
      <c r="AI22" s="526" t="n">
        <v>58.57</v>
      </c>
      <c r="AJ22" s="526" t="n">
        <v>46</v>
      </c>
      <c r="AK22" s="528" t="n">
        <v>50.57</v>
      </c>
      <c r="AL22" s="528" t="n">
        <v>68.33</v>
      </c>
      <c r="AM22" s="528" t="n">
        <v>18</v>
      </c>
      <c r="AN22" s="225" t="n">
        <v>66.19</v>
      </c>
      <c r="AO22" s="225" t="n">
        <v>33.06</v>
      </c>
      <c r="AP22" s="225" t="n">
        <v>59</v>
      </c>
      <c r="AQ22" s="263" t="n">
        <v>50.67</v>
      </c>
      <c r="AR22" s="528" t="n">
        <v>58.81</v>
      </c>
      <c r="AS22" s="528" t="n">
        <v>62</v>
      </c>
      <c r="AT22" s="262" t="n">
        <v>60</v>
      </c>
      <c r="AU22" s="261" t="n">
        <v>36.94</v>
      </c>
      <c r="AV22" s="263" t="n">
        <v>39.17</v>
      </c>
      <c r="AW22" s="263" t="n">
        <v>29.17</v>
      </c>
      <c r="AX22" s="263" t="n">
        <v>75</v>
      </c>
      <c r="AY22" s="262" t="n"/>
      <c r="AZ22" s="262" t="n"/>
      <c r="BA22" s="262" t="n"/>
      <c r="BB22" s="274" t="n"/>
      <c r="BC22" s="525" t="n"/>
      <c r="BD22" s="527" t="n"/>
      <c r="BE22" s="274" t="n"/>
      <c r="BF22" s="525" t="n"/>
      <c r="BG22" s="527" t="n"/>
      <c r="BH22" s="274" t="n"/>
      <c r="BI22" s="525" t="n"/>
      <c r="BJ22" s="525" t="n"/>
      <c r="BK22" s="525" t="n"/>
      <c r="BL22" s="525" t="n"/>
      <c r="BM22" s="525" t="n"/>
      <c r="BN22" s="527" t="n"/>
      <c r="BO22" s="525" t="n"/>
      <c r="BP22" s="525" t="n"/>
      <c r="BQ22" s="525" t="n"/>
      <c r="BR22" s="525" t="n"/>
      <c r="BS22" s="525" t="n"/>
      <c r="BT22" s="525" t="n"/>
      <c r="BU22" s="525" t="n"/>
      <c r="BV22" s="266" t="n"/>
      <c r="BW22" s="525" t="n"/>
      <c r="BX22" s="525" t="n"/>
      <c r="BY22" s="525" t="n"/>
      <c r="BZ22" s="525" t="n"/>
      <c r="CA22" s="525" t="n"/>
      <c r="CB22" s="266" t="n"/>
      <c r="CC22" s="525" t="n"/>
      <c r="CD22" s="525" t="n"/>
      <c r="CE22" s="265" t="n"/>
      <c r="CF22" s="525" t="n"/>
      <c r="CG22" s="525" t="n"/>
      <c r="CH22" s="525" t="n"/>
      <c r="CI22" s="525" t="n"/>
      <c r="CJ22" s="524" t="n"/>
      <c r="CK22" s="266" t="n"/>
      <c r="CL22" s="266" t="n"/>
      <c r="CM22" s="266" t="n"/>
      <c r="CN22" s="266" t="n"/>
      <c r="CO22" s="525" t="n"/>
      <c r="CP22" s="265" t="n"/>
      <c r="CQ22" s="74" t="n"/>
      <c r="CR22" s="75" t="n"/>
      <c r="CS22" s="76" t="n"/>
      <c r="CT22" s="76" t="n"/>
      <c r="CU22" s="91" t="n"/>
      <c r="CV22" s="525" t="n"/>
      <c r="CW22" s="525" t="n"/>
      <c r="CX22" s="525" t="n"/>
      <c r="CY22" s="525" t="n"/>
      <c r="CZ22" s="524" t="n"/>
      <c r="DA22" s="141" t="n"/>
      <c r="DB22" s="162" t="n"/>
      <c r="DC22" s="162" t="n"/>
      <c r="DD22" s="512" t="n"/>
      <c r="DE22" s="491" t="n"/>
      <c r="DF22" s="141" t="n"/>
      <c r="DG22" s="139" t="n"/>
      <c r="DH22" s="139" t="n"/>
      <c r="DI22" s="139" t="n"/>
      <c r="DJ22" s="347" t="n"/>
      <c r="DK22" s="348" t="n"/>
      <c r="DL22" s="162" t="n"/>
      <c r="DM22" s="162" t="n"/>
      <c r="DN22" s="162" t="n"/>
      <c r="DO22" s="162" t="n"/>
      <c r="DP22" s="201" t="n"/>
      <c r="DQ22" s="201" t="n"/>
      <c r="DR22" s="163" t="n"/>
      <c r="DS22" s="141" t="n"/>
      <c r="DT22" s="139" t="n"/>
      <c r="DU22" s="139" t="n"/>
      <c r="DV22" s="139" t="n"/>
      <c r="DW22" s="140" t="n"/>
      <c r="DX22" s="347" t="n"/>
      <c r="DY22" s="147" t="n"/>
      <c r="DZ22" s="31" t="n"/>
      <c r="EA22" s="349" t="n"/>
      <c r="EB22" s="349" t="n"/>
      <c r="EC22" s="45" t="n"/>
      <c r="ED22" s="351" t="n"/>
      <c r="EE22" s="107" t="n"/>
      <c r="EF22" s="139" t="n"/>
      <c r="EG22" s="139" t="n"/>
      <c r="EH22" s="139" t="n"/>
      <c r="EI22" s="140" t="n"/>
      <c r="EJ22" s="108" t="n"/>
      <c r="EK22" s="141" t="n"/>
      <c r="EL22" s="140" t="n"/>
      <c r="EM22" s="140" t="n"/>
      <c r="EN22" s="140" t="n"/>
      <c r="EO22" s="347" t="n"/>
      <c r="EP22" s="348" t="n"/>
      <c r="EQ22" s="107" t="n"/>
      <c r="ER22" s="140" t="n"/>
      <c r="ES22" s="140" t="n"/>
      <c r="ET22" s="107" t="n"/>
      <c r="EU22" s="587" t="n"/>
      <c r="EV22" s="587" t="n"/>
      <c r="EW22" s="141" t="n"/>
      <c r="EX22" s="140" t="n"/>
      <c r="EY22" s="140" t="n"/>
      <c r="EZ22" s="140" t="n"/>
      <c r="FA22" s="140" t="n"/>
      <c r="FB22" s="147" t="n"/>
      <c r="FC22" s="74" t="n"/>
      <c r="FD22" s="75" t="n"/>
      <c r="FE22" s="76" t="n"/>
      <c r="FF22" s="76" t="n"/>
      <c r="FG22" s="91" t="n"/>
      <c r="FH22" s="92" t="n"/>
      <c r="FI22" s="91" t="n"/>
      <c r="FJ22" s="74" t="n"/>
      <c r="FK22" s="92" t="n"/>
      <c r="FL22" s="148" t="n"/>
      <c r="FM22" s="149" t="n"/>
      <c r="FN22" s="150" t="n"/>
      <c r="FO22" s="99" t="n"/>
      <c r="FP22" s="100" t="n"/>
      <c r="FQ22" s="100" t="n"/>
      <c r="FR22" s="100" t="n"/>
      <c r="FS22" s="100" t="n"/>
      <c r="FT22" s="100" t="n"/>
      <c r="FU22" s="100" t="n"/>
      <c r="FV22" s="100" t="n"/>
      <c r="FW22" s="100" t="n"/>
      <c r="FX22" s="100" t="n"/>
      <c r="FY22" s="100" t="n"/>
      <c r="FZ22" s="102" t="n"/>
      <c r="GA22" s="266" t="n"/>
      <c r="GB22" s="525" t="n"/>
      <c r="GC22" s="525" t="n"/>
      <c r="GD22" s="265" t="n"/>
      <c r="GE22" s="266" t="n"/>
      <c r="GF22" s="525" t="n"/>
      <c r="GG22" s="525" t="n"/>
      <c r="GH22" s="265" t="n"/>
      <c r="GI22" s="31" t="n"/>
      <c r="GJ22" s="349" t="n"/>
      <c r="GK22" s="349" t="n"/>
      <c r="GL22" s="45" t="n"/>
      <c r="GM22" s="351" t="n"/>
      <c r="GN22" s="31" t="n"/>
      <c r="GO22" s="45" t="n"/>
      <c r="GP22" s="45" t="n"/>
      <c r="GQ22" s="350" t="n"/>
      <c r="GR22" s="351" t="n"/>
      <c r="GS22" s="107" t="n"/>
      <c r="GT22" s="587" t="n"/>
      <c r="GU22" s="108" t="n"/>
      <c r="GV22" s="266" t="n"/>
      <c r="GW22" s="525" t="n"/>
      <c r="GX22" s="265" t="n"/>
      <c r="GY22" s="266" t="n"/>
      <c r="GZ22" s="525" t="n"/>
      <c r="HA22" s="525" t="n"/>
      <c r="HB22" s="265" t="n"/>
      <c r="HC22" s="31" t="n"/>
      <c r="HD22" s="45" t="n"/>
      <c r="HE22" s="45" t="n"/>
      <c r="HF22" s="45" t="n"/>
      <c r="HG22" s="45" t="n"/>
      <c r="HH22" s="45" t="n"/>
      <c r="HI22" s="45" t="n"/>
      <c r="HJ22" s="45" t="n"/>
      <c r="HK22" s="45" t="n"/>
      <c r="HL22" s="45" t="n"/>
      <c r="HM22" s="45" t="n"/>
      <c r="HN22" s="351" t="n"/>
      <c r="HO22" s="606" t="n"/>
      <c r="HP22" s="65">
        <f>AVERAGE(G22,L22,N22)</f>
        <v/>
      </c>
      <c r="HQ22" s="66">
        <f>AVERAGE(E22,H22,O22,Q22,S22,V22,Z22)</f>
        <v/>
      </c>
      <c r="HR22" s="66">
        <f>AVERAGE(T22)</f>
        <v/>
      </c>
      <c r="HS22" s="66">
        <f>AVERAGE(P22)</f>
        <v/>
      </c>
      <c r="HT22" s="66">
        <f>AVERAGE(W22,R22,F22)</f>
        <v/>
      </c>
      <c r="HU22" s="66" t="n"/>
      <c r="HV22" s="66">
        <f>AVERAGE(X22)</f>
        <v/>
      </c>
      <c r="HW22" s="66" t="n"/>
      <c r="HX22" s="66" t="n"/>
      <c r="HY22" s="66">
        <f>AVERAGE(Y22)</f>
        <v/>
      </c>
    </row>
    <row r="23" ht="15.75" customHeight="1" s="590">
      <c r="B23" s="12" t="n">
        <v>17</v>
      </c>
      <c r="C23" s="13" t="inlineStr">
        <is>
          <t>052-25-126099</t>
        </is>
      </c>
      <c r="D23" s="14" t="inlineStr">
        <is>
          <t>Abdul Saboor Malik</t>
        </is>
      </c>
      <c r="E23" s="274" t="n">
        <v>85</v>
      </c>
      <c r="F23" s="241" t="n">
        <v>71.11</v>
      </c>
      <c r="G23" s="526" t="n">
        <v>89.26000000000001</v>
      </c>
      <c r="H23" s="273" t="n">
        <v>85.91</v>
      </c>
      <c r="I23" s="274" t="n">
        <v>76.59999999999999</v>
      </c>
      <c r="J23" s="683" t="n"/>
      <c r="K23" s="665" t="n"/>
      <c r="L23" s="273" t="n">
        <v>79.05</v>
      </c>
      <c r="M23" s="663" t="n"/>
      <c r="N23" s="523" t="n">
        <v>90</v>
      </c>
      <c r="O23" s="524" t="n">
        <v>77.22</v>
      </c>
      <c r="P23" s="525" t="n">
        <v>60.56</v>
      </c>
      <c r="Q23" s="241" t="n">
        <v>84.23999999999999</v>
      </c>
      <c r="R23" s="273" t="n">
        <v>81.52</v>
      </c>
      <c r="S23" s="270" t="n">
        <v>92.5</v>
      </c>
      <c r="T23" s="262" t="n">
        <v>89.33</v>
      </c>
      <c r="U23" s="663" t="n"/>
      <c r="V23" s="274" t="n">
        <v>82.14</v>
      </c>
      <c r="W23" s="241" t="n">
        <v>81.08</v>
      </c>
      <c r="X23" s="273" t="n">
        <v>100</v>
      </c>
      <c r="Y23" s="273" t="n">
        <v>71.67</v>
      </c>
      <c r="Z23" s="273" t="n">
        <v>82</v>
      </c>
      <c r="AA23" s="269" t="n">
        <v>56.67</v>
      </c>
      <c r="AB23" s="269" t="n">
        <v>63.5</v>
      </c>
      <c r="AC23" s="269" t="n">
        <v>68.89</v>
      </c>
      <c r="AD23" s="269" t="n">
        <v>60.95238095238096</v>
      </c>
      <c r="AE23" s="269" t="n">
        <v>47.5</v>
      </c>
      <c r="AF23" s="269" t="n">
        <v>56.44841269841269</v>
      </c>
      <c r="AG23" s="241" t="n">
        <v>91.15384615384616</v>
      </c>
      <c r="AH23" s="526" t="n">
        <v>66.67</v>
      </c>
      <c r="AI23" s="526" t="n">
        <v>69.14</v>
      </c>
      <c r="AJ23" s="526" t="n">
        <v>68.67</v>
      </c>
      <c r="AK23" s="528" t="n">
        <v>48.13</v>
      </c>
      <c r="AL23" s="528" t="n"/>
      <c r="AM23" s="528" t="n"/>
      <c r="AN23" s="225" t="n">
        <v>56.19</v>
      </c>
      <c r="AO23" s="225" t="n">
        <v>44.31</v>
      </c>
      <c r="AP23" s="225" t="n">
        <v>55.17</v>
      </c>
      <c r="AQ23" s="263" t="n">
        <v>50.81</v>
      </c>
      <c r="AR23" s="528" t="n">
        <v>52.14</v>
      </c>
      <c r="AS23" s="528" t="n">
        <v>50.67</v>
      </c>
      <c r="AT23" s="262" t="n">
        <v>52</v>
      </c>
      <c r="AU23" s="261" t="n">
        <v>46.67</v>
      </c>
      <c r="AV23" s="263" t="n">
        <v>26.67</v>
      </c>
      <c r="AW23" s="263" t="n">
        <v>58.33</v>
      </c>
      <c r="AX23" s="263" t="n">
        <v>25</v>
      </c>
      <c r="AY23" s="262" t="n"/>
      <c r="AZ23" s="262" t="n"/>
      <c r="BA23" s="262" t="n"/>
      <c r="BB23" s="274" t="n"/>
      <c r="BC23" s="525" t="n"/>
      <c r="BD23" s="527" t="n"/>
      <c r="BE23" s="274" t="n"/>
      <c r="BF23" s="525" t="n"/>
      <c r="BG23" s="527" t="n"/>
      <c r="BH23" s="274" t="n"/>
      <c r="BI23" s="525" t="n"/>
      <c r="BJ23" s="525" t="n"/>
      <c r="BK23" s="525" t="n"/>
      <c r="BL23" s="525" t="n"/>
      <c r="BM23" s="525" t="n"/>
      <c r="BN23" s="527" t="n"/>
      <c r="BO23" s="525" t="n"/>
      <c r="BP23" s="525" t="n"/>
      <c r="BQ23" s="525" t="n"/>
      <c r="BR23" s="525" t="n"/>
      <c r="BS23" s="525" t="n"/>
      <c r="BT23" s="525" t="n"/>
      <c r="BU23" s="525" t="n"/>
      <c r="BV23" s="266" t="n"/>
      <c r="BW23" s="525" t="n"/>
      <c r="BX23" s="525" t="n"/>
      <c r="BY23" s="525" t="n"/>
      <c r="BZ23" s="525" t="n"/>
      <c r="CA23" s="525" t="n"/>
      <c r="CB23" s="266" t="n"/>
      <c r="CC23" s="525" t="n"/>
      <c r="CD23" s="525" t="n"/>
      <c r="CE23" s="265" t="n"/>
      <c r="CF23" s="525" t="n"/>
      <c r="CG23" s="525" t="n"/>
      <c r="CH23" s="525" t="n"/>
      <c r="CI23" s="525" t="n"/>
      <c r="CJ23" s="524" t="n"/>
      <c r="CK23" s="266" t="n"/>
      <c r="CL23" s="266" t="n"/>
      <c r="CM23" s="266" t="n"/>
      <c r="CN23" s="266" t="n"/>
      <c r="CO23" s="525" t="n"/>
      <c r="CP23" s="265" t="n"/>
      <c r="CQ23" s="74" t="n"/>
      <c r="CR23" s="75" t="n"/>
      <c r="CS23" s="76" t="n"/>
      <c r="CT23" s="76" t="n"/>
      <c r="CU23" s="91" t="n"/>
      <c r="CV23" s="525" t="n"/>
      <c r="CW23" s="525" t="n"/>
      <c r="CX23" s="525" t="n"/>
      <c r="CY23" s="525" t="n"/>
      <c r="CZ23" s="524" t="n"/>
      <c r="DA23" s="141" t="n"/>
      <c r="DB23" s="162" t="n"/>
      <c r="DC23" s="162" t="n"/>
      <c r="DD23" s="662" t="n"/>
      <c r="DE23" s="663" t="n"/>
      <c r="DF23" s="141" t="n"/>
      <c r="DG23" s="139" t="n"/>
      <c r="DH23" s="139" t="n"/>
      <c r="DI23" s="139" t="n"/>
      <c r="DJ23" s="147" t="n"/>
      <c r="DK23" s="664" t="n"/>
      <c r="DL23" s="162" t="n"/>
      <c r="DM23" s="162" t="n"/>
      <c r="DN23" s="162" t="n"/>
      <c r="DO23" s="162" t="n"/>
      <c r="DP23" s="201" t="n"/>
      <c r="DQ23" s="201" t="n"/>
      <c r="DR23" s="163" t="n"/>
      <c r="DS23" s="141" t="n"/>
      <c r="DT23" s="139" t="n"/>
      <c r="DU23" s="139" t="n"/>
      <c r="DV23" s="139" t="n"/>
      <c r="DW23" s="140" t="n"/>
      <c r="DX23" s="347" t="n"/>
      <c r="DY23" s="147" t="n"/>
      <c r="DZ23" s="31" t="n"/>
      <c r="EA23" s="45" t="n"/>
      <c r="EB23" s="665" t="n"/>
      <c r="EC23" s="45" t="n"/>
      <c r="ED23" s="351" t="n"/>
      <c r="EE23" s="107" t="n"/>
      <c r="EF23" s="139" t="n"/>
      <c r="EG23" s="139" t="n"/>
      <c r="EH23" s="139" t="n"/>
      <c r="EI23" s="140" t="n"/>
      <c r="EJ23" s="108" t="n"/>
      <c r="EK23" s="141" t="n"/>
      <c r="EL23" s="140" t="n"/>
      <c r="EM23" s="140" t="n"/>
      <c r="EN23" s="140" t="n"/>
      <c r="EO23" s="108" t="n"/>
      <c r="EP23" s="666" t="n"/>
      <c r="EQ23" s="107" t="n"/>
      <c r="ER23" s="140" t="n"/>
      <c r="ES23" s="140" t="n"/>
      <c r="ET23" s="107" t="n"/>
      <c r="EU23" s="587" t="n"/>
      <c r="EV23" s="587" t="n"/>
      <c r="EW23" s="141" t="n"/>
      <c r="EX23" s="140" t="n"/>
      <c r="EY23" s="140" t="n"/>
      <c r="EZ23" s="140" t="n"/>
      <c r="FA23" s="140" t="n"/>
      <c r="FB23" s="147" t="n"/>
      <c r="FC23" s="74" t="n"/>
      <c r="FD23" s="75" t="n"/>
      <c r="FE23" s="76" t="n"/>
      <c r="FF23" s="76" t="n"/>
      <c r="FG23" s="91" t="n"/>
      <c r="FH23" s="92" t="n"/>
      <c r="FI23" s="91" t="n"/>
      <c r="FJ23" s="74" t="n"/>
      <c r="FK23" s="92" t="n"/>
      <c r="FL23" s="148" t="n"/>
      <c r="FM23" s="149" t="n"/>
      <c r="FN23" s="150" t="n"/>
      <c r="FO23" s="99" t="n"/>
      <c r="FP23" s="100" t="n"/>
      <c r="FQ23" s="100" t="n"/>
      <c r="FR23" s="100" t="n"/>
      <c r="FS23" s="100" t="n"/>
      <c r="FT23" s="100" t="n"/>
      <c r="FU23" s="100" t="n"/>
      <c r="FV23" s="100" t="n"/>
      <c r="FW23" s="100" t="n"/>
      <c r="FX23" s="100" t="n"/>
      <c r="FY23" s="100" t="n"/>
      <c r="FZ23" s="102" t="n"/>
      <c r="GA23" s="266" t="n"/>
      <c r="GB23" s="525" t="n"/>
      <c r="GC23" s="525" t="n"/>
      <c r="GD23" s="265" t="n"/>
      <c r="GE23" s="266" t="n"/>
      <c r="GF23" s="525" t="n"/>
      <c r="GG23" s="525" t="n"/>
      <c r="GH23" s="265" t="n"/>
      <c r="GI23" s="31" t="n"/>
      <c r="GJ23" s="45" t="n"/>
      <c r="GK23" s="665" t="n"/>
      <c r="GL23" s="45" t="n"/>
      <c r="GM23" s="351" t="n"/>
      <c r="GN23" s="31" t="n"/>
      <c r="GO23" s="45" t="n"/>
      <c r="GP23" s="45" t="n"/>
      <c r="GQ23" s="667" t="n"/>
      <c r="GR23" s="668" t="n"/>
      <c r="GS23" s="107" t="n"/>
      <c r="GT23" s="587" t="n"/>
      <c r="GU23" s="108" t="n"/>
      <c r="GV23" s="266" t="n"/>
      <c r="GW23" s="525" t="n"/>
      <c r="GX23" s="265" t="n"/>
      <c r="GY23" s="266" t="n"/>
      <c r="GZ23" s="525" t="n"/>
      <c r="HA23" s="525" t="n"/>
      <c r="HB23" s="265" t="n"/>
      <c r="HC23" s="31" t="n"/>
      <c r="HD23" s="45" t="n"/>
      <c r="HE23" s="45" t="n"/>
      <c r="HF23" s="45" t="n"/>
      <c r="HG23" s="45" t="n"/>
      <c r="HH23" s="45" t="n"/>
      <c r="HI23" s="45" t="n"/>
      <c r="HJ23" s="45" t="n"/>
      <c r="HK23" s="45" t="n"/>
      <c r="HL23" s="45" t="n"/>
      <c r="HM23" s="45" t="n"/>
      <c r="HN23" s="351" t="n"/>
      <c r="HO23" s="606" t="n"/>
      <c r="HP23" s="65">
        <f>AVERAGE(G23,L23,N23)</f>
        <v/>
      </c>
      <c r="HQ23" s="66">
        <f>AVERAGE(E23,H23,O23,Q23,S23,V23,Z23)</f>
        <v/>
      </c>
      <c r="HR23" s="66">
        <f>AVERAGE(T23)</f>
        <v/>
      </c>
      <c r="HS23" s="66">
        <f>AVERAGE(P23)</f>
        <v/>
      </c>
      <c r="HT23" s="66">
        <f>AVERAGE(W23,R23,F23)</f>
        <v/>
      </c>
      <c r="HU23" s="66" t="n"/>
      <c r="HV23" s="66">
        <f>AVERAGE(X23)</f>
        <v/>
      </c>
      <c r="HW23" s="66" t="n"/>
      <c r="HX23" s="66" t="n"/>
      <c r="HY23" s="66">
        <f>AVERAGE(Y23)</f>
        <v/>
      </c>
    </row>
    <row r="24" ht="15.75" customHeight="1" s="590">
      <c r="B24" s="12" t="n">
        <v>18</v>
      </c>
      <c r="C24" s="13" t="inlineStr">
        <is>
          <t>052-25-126105</t>
        </is>
      </c>
      <c r="D24" s="14" t="inlineStr">
        <is>
          <t xml:space="preserve">Haider Saleem </t>
        </is>
      </c>
      <c r="E24" s="274" t="n">
        <v>70</v>
      </c>
      <c r="F24" s="241" t="n">
        <v>57.78</v>
      </c>
      <c r="G24" s="526" t="n">
        <v>44.81</v>
      </c>
      <c r="H24" s="273" t="n">
        <v>74.23999999999999</v>
      </c>
      <c r="I24" s="274" t="n">
        <v>55.8833333333333</v>
      </c>
      <c r="J24" s="683" t="n"/>
      <c r="K24" s="665" t="n"/>
      <c r="L24" s="273" t="n">
        <v>78.48</v>
      </c>
      <c r="M24" s="663" t="n"/>
      <c r="N24" s="523" t="n">
        <v>56</v>
      </c>
      <c r="O24" s="524" t="n">
        <v>57.78</v>
      </c>
      <c r="P24" s="525" t="n">
        <v>34.44</v>
      </c>
      <c r="Q24" s="241" t="n">
        <v>60.3</v>
      </c>
      <c r="R24" s="273" t="n">
        <v>78.48</v>
      </c>
      <c r="S24" s="270" t="n">
        <v>80</v>
      </c>
      <c r="T24" s="262" t="n">
        <v>77.67</v>
      </c>
      <c r="U24" s="663" t="n"/>
      <c r="V24" s="274" t="n">
        <v>73.20999999999999</v>
      </c>
      <c r="W24" s="241" t="n">
        <v>80.14</v>
      </c>
      <c r="X24" s="273" t="n">
        <v>90</v>
      </c>
      <c r="Y24" s="273" t="n">
        <v>53.33</v>
      </c>
      <c r="Z24" s="273" t="n">
        <v>64</v>
      </c>
      <c r="AA24" s="269" t="n">
        <v>63.75</v>
      </c>
      <c r="AB24" s="269" t="n">
        <v>66</v>
      </c>
      <c r="AC24" s="269" t="n">
        <v>66.67</v>
      </c>
      <c r="AD24" s="269" t="n">
        <v>0</v>
      </c>
      <c r="AE24" s="269" t="n">
        <v>0</v>
      </c>
      <c r="AF24" s="269" t="n">
        <v>0</v>
      </c>
      <c r="AG24" s="241" t="n">
        <v>0</v>
      </c>
      <c r="AH24" s="526" t="n">
        <v>54.05</v>
      </c>
      <c r="AI24" s="526" t="n">
        <v>54</v>
      </c>
      <c r="AJ24" s="526" t="n">
        <v>32.67</v>
      </c>
      <c r="AK24" s="528" t="n">
        <v>48.13</v>
      </c>
      <c r="AL24" s="528" t="n">
        <v>65</v>
      </c>
      <c r="AM24" s="528" t="n">
        <v>18</v>
      </c>
      <c r="AN24" s="225" t="n">
        <v>52.38</v>
      </c>
      <c r="AO24" s="225" t="n">
        <v>31.25</v>
      </c>
      <c r="AP24" s="225" t="n">
        <v>34.67</v>
      </c>
      <c r="AQ24" s="263" t="n">
        <v>50.22</v>
      </c>
      <c r="AR24" s="528" t="n">
        <v>54.52</v>
      </c>
      <c r="AS24" s="528" t="n">
        <v>53.33</v>
      </c>
      <c r="AT24" s="262" t="n">
        <v>52</v>
      </c>
      <c r="AU24" s="261" t="n">
        <v>26.39</v>
      </c>
      <c r="AV24" s="263" t="n">
        <v>29.17</v>
      </c>
      <c r="AW24" s="263" t="n">
        <v>8.33</v>
      </c>
      <c r="AX24" s="263" t="n">
        <v>75</v>
      </c>
      <c r="AY24" s="262" t="n"/>
      <c r="AZ24" s="262" t="n"/>
      <c r="BA24" s="262" t="n"/>
      <c r="BB24" s="274" t="n"/>
      <c r="BC24" s="525" t="n"/>
      <c r="BD24" s="527" t="n"/>
      <c r="BE24" s="274" t="n"/>
      <c r="BF24" s="525" t="n"/>
      <c r="BG24" s="527" t="n"/>
      <c r="BH24" s="274" t="n"/>
      <c r="BI24" s="525" t="n"/>
      <c r="BJ24" s="525" t="n"/>
      <c r="BK24" s="525" t="n"/>
      <c r="BL24" s="525" t="n"/>
      <c r="BM24" s="525" t="n"/>
      <c r="BN24" s="527" t="n"/>
      <c r="BO24" s="525" t="n"/>
      <c r="BP24" s="525" t="n"/>
      <c r="BQ24" s="525" t="n"/>
      <c r="BR24" s="525" t="n"/>
      <c r="BS24" s="525" t="n"/>
      <c r="BT24" s="525" t="n"/>
      <c r="BU24" s="525" t="n"/>
      <c r="BV24" s="266" t="n"/>
      <c r="BW24" s="525" t="n"/>
      <c r="BX24" s="525" t="n"/>
      <c r="BY24" s="525" t="n"/>
      <c r="BZ24" s="525" t="n"/>
      <c r="CA24" s="525" t="n"/>
      <c r="CB24" s="266" t="n"/>
      <c r="CC24" s="525" t="n"/>
      <c r="CD24" s="525" t="n"/>
      <c r="CE24" s="265" t="n"/>
      <c r="CF24" s="525" t="n"/>
      <c r="CG24" s="525" t="n"/>
      <c r="CH24" s="525" t="n"/>
      <c r="CI24" s="525" t="n"/>
      <c r="CJ24" s="524" t="n"/>
      <c r="CK24" s="266" t="n"/>
      <c r="CL24" s="266" t="n"/>
      <c r="CM24" s="266" t="n"/>
      <c r="CN24" s="266" t="n"/>
      <c r="CO24" s="525" t="n"/>
      <c r="CP24" s="265" t="n"/>
      <c r="CQ24" s="74" t="n"/>
      <c r="CR24" s="75" t="n"/>
      <c r="CS24" s="76" t="n"/>
      <c r="CT24" s="76" t="n"/>
      <c r="CU24" s="91" t="n"/>
      <c r="CV24" s="525" t="n"/>
      <c r="CW24" s="525" t="n"/>
      <c r="CX24" s="525" t="n"/>
      <c r="CY24" s="525" t="n"/>
      <c r="CZ24" s="524" t="n"/>
      <c r="DA24" s="141" t="n"/>
      <c r="DB24" s="162" t="n"/>
      <c r="DC24" s="162" t="n"/>
      <c r="DD24" s="662" t="n"/>
      <c r="DE24" s="663" t="n"/>
      <c r="DF24" s="141" t="n"/>
      <c r="DG24" s="139" t="n"/>
      <c r="DH24" s="139" t="n"/>
      <c r="DI24" s="139" t="n"/>
      <c r="DJ24" s="147" t="n"/>
      <c r="DK24" s="664" t="n"/>
      <c r="DL24" s="162" t="n"/>
      <c r="DM24" s="162" t="n"/>
      <c r="DN24" s="162" t="n"/>
      <c r="DO24" s="162" t="n"/>
      <c r="DP24" s="201" t="n"/>
      <c r="DQ24" s="201" t="n"/>
      <c r="DR24" s="163" t="n"/>
      <c r="DS24" s="141" t="n"/>
      <c r="DT24" s="139" t="n"/>
      <c r="DU24" s="139" t="n"/>
      <c r="DV24" s="139" t="n"/>
      <c r="DW24" s="140" t="n"/>
      <c r="DX24" s="347" t="n"/>
      <c r="DY24" s="147" t="n"/>
      <c r="DZ24" s="31" t="n"/>
      <c r="EA24" s="45" t="n"/>
      <c r="EB24" s="665" t="n"/>
      <c r="EC24" s="45" t="n"/>
      <c r="ED24" s="351" t="n"/>
      <c r="EE24" s="107" t="n"/>
      <c r="EF24" s="139" t="n"/>
      <c r="EG24" s="139" t="n"/>
      <c r="EH24" s="139" t="n"/>
      <c r="EI24" s="140" t="n"/>
      <c r="EJ24" s="108" t="n"/>
      <c r="EK24" s="141" t="n"/>
      <c r="EL24" s="140" t="n"/>
      <c r="EM24" s="140" t="n"/>
      <c r="EN24" s="140" t="n"/>
      <c r="EO24" s="108" t="n"/>
      <c r="EP24" s="666" t="n"/>
      <c r="EQ24" s="107" t="n"/>
      <c r="ER24" s="140" t="n"/>
      <c r="ES24" s="140" t="n"/>
      <c r="ET24" s="107" t="n"/>
      <c r="EU24" s="587" t="n"/>
      <c r="EV24" s="587" t="n"/>
      <c r="EW24" s="141" t="n"/>
      <c r="EX24" s="140" t="n"/>
      <c r="EY24" s="140" t="n"/>
      <c r="EZ24" s="140" t="n"/>
      <c r="FA24" s="140" t="n"/>
      <c r="FB24" s="147" t="n"/>
      <c r="FC24" s="74" t="n"/>
      <c r="FD24" s="75" t="n"/>
      <c r="FE24" s="76" t="n"/>
      <c r="FF24" s="76" t="n"/>
      <c r="FG24" s="91" t="n"/>
      <c r="FH24" s="92" t="n"/>
      <c r="FI24" s="91" t="n"/>
      <c r="FJ24" s="74" t="n"/>
      <c r="FK24" s="92" t="n"/>
      <c r="FL24" s="148" t="n"/>
      <c r="FM24" s="149" t="n"/>
      <c r="FN24" s="150" t="n"/>
      <c r="FO24" s="99" t="n"/>
      <c r="FP24" s="100" t="n"/>
      <c r="FQ24" s="100" t="n"/>
      <c r="FR24" s="100" t="n"/>
      <c r="FS24" s="100" t="n"/>
      <c r="FT24" s="100" t="n"/>
      <c r="FU24" s="100" t="n"/>
      <c r="FV24" s="100" t="n"/>
      <c r="FW24" s="100" t="n"/>
      <c r="FX24" s="100" t="n"/>
      <c r="FY24" s="100" t="n"/>
      <c r="FZ24" s="102" t="n"/>
      <c r="GA24" s="266" t="n"/>
      <c r="GB24" s="525" t="n"/>
      <c r="GC24" s="525" t="n"/>
      <c r="GD24" s="265" t="n"/>
      <c r="GE24" s="266" t="n"/>
      <c r="GF24" s="525" t="n"/>
      <c r="GG24" s="525" t="n"/>
      <c r="GH24" s="265" t="n"/>
      <c r="GI24" s="31" t="n"/>
      <c r="GJ24" s="45" t="n"/>
      <c r="GK24" s="665" t="n"/>
      <c r="GL24" s="45" t="n"/>
      <c r="GM24" s="351" t="n"/>
      <c r="GN24" s="31" t="n"/>
      <c r="GO24" s="45" t="n"/>
      <c r="GP24" s="45" t="n"/>
      <c r="GQ24" s="667" t="n"/>
      <c r="GR24" s="668" t="n"/>
      <c r="GS24" s="107" t="n"/>
      <c r="GT24" s="587" t="n"/>
      <c r="GU24" s="108" t="n"/>
      <c r="GV24" s="266" t="n"/>
      <c r="GW24" s="525" t="n"/>
      <c r="GX24" s="265" t="n"/>
      <c r="GY24" s="266" t="n"/>
      <c r="GZ24" s="525" t="n"/>
      <c r="HA24" s="525" t="n"/>
      <c r="HB24" s="265" t="n"/>
      <c r="HC24" s="31" t="n"/>
      <c r="HD24" s="45" t="n"/>
      <c r="HE24" s="45" t="n"/>
      <c r="HF24" s="45" t="n"/>
      <c r="HG24" s="45" t="n"/>
      <c r="HH24" s="45" t="n"/>
      <c r="HI24" s="45" t="n"/>
      <c r="HJ24" s="45" t="n"/>
      <c r="HK24" s="45" t="n"/>
      <c r="HL24" s="45" t="n"/>
      <c r="HM24" s="45" t="n"/>
      <c r="HN24" s="351" t="n"/>
      <c r="HO24" s="606" t="n"/>
      <c r="HP24" s="65">
        <f>AVERAGE(G24,L24,N24)</f>
        <v/>
      </c>
      <c r="HQ24" s="66">
        <f>AVERAGE(E24,H24,O24,Q24,S24,V24,Z24)</f>
        <v/>
      </c>
      <c r="HR24" s="66">
        <f>AVERAGE(T24)</f>
        <v/>
      </c>
      <c r="HS24" s="66">
        <f>AVERAGE(P24)</f>
        <v/>
      </c>
      <c r="HT24" s="66">
        <f>AVERAGE(W24,R24,F24)</f>
        <v/>
      </c>
      <c r="HU24" s="66" t="n"/>
      <c r="HV24" s="66">
        <f>AVERAGE(X24)</f>
        <v/>
      </c>
      <c r="HW24" s="66" t="n"/>
      <c r="HX24" s="66" t="n"/>
      <c r="HY24" s="66">
        <f>AVERAGE(Y24)</f>
        <v/>
      </c>
    </row>
    <row r="25" ht="15.75" customHeight="1" s="590">
      <c r="B25" s="12" t="n">
        <v>19</v>
      </c>
      <c r="C25" s="13" t="inlineStr">
        <is>
          <t>052-25-126109</t>
        </is>
      </c>
      <c r="D25" s="14" t="inlineStr">
        <is>
          <t>Shahab Ali</t>
        </is>
      </c>
      <c r="E25" s="274" t="n">
        <v>75</v>
      </c>
      <c r="F25" s="241" t="n">
        <v>71.11</v>
      </c>
      <c r="G25" s="526" t="n">
        <v>92.59</v>
      </c>
      <c r="H25" s="273" t="n">
        <v>88.26000000000001</v>
      </c>
      <c r="I25" s="274" t="n">
        <v>62.5333333333333</v>
      </c>
      <c r="J25" s="683" t="n"/>
      <c r="K25" s="665" t="n"/>
      <c r="L25" s="273" t="n">
        <v>88.62</v>
      </c>
      <c r="M25" s="663" t="n"/>
      <c r="N25" s="523" t="n">
        <v>78</v>
      </c>
      <c r="O25" s="524" t="n">
        <v>77.22</v>
      </c>
      <c r="P25" s="525" t="n">
        <v>62.78</v>
      </c>
      <c r="Q25" s="241" t="n">
        <v>73.94</v>
      </c>
      <c r="R25" s="273" t="n">
        <v>86.81999999999999</v>
      </c>
      <c r="S25" s="270" t="n">
        <v>87.5</v>
      </c>
      <c r="T25" s="262" t="n">
        <v>84.5</v>
      </c>
      <c r="U25" s="663" t="n"/>
      <c r="V25" s="274" t="n">
        <v>77.86</v>
      </c>
      <c r="W25" s="241" t="n">
        <v>75.56</v>
      </c>
      <c r="X25" s="273" t="n">
        <v>100</v>
      </c>
      <c r="Y25" s="273" t="n">
        <v>65</v>
      </c>
      <c r="Z25" s="273" t="n">
        <v>76</v>
      </c>
      <c r="AA25" s="269" t="n">
        <v>88.33</v>
      </c>
      <c r="AB25" s="269" t="n">
        <v>82.5</v>
      </c>
      <c r="AC25" s="269" t="n">
        <v>93.33</v>
      </c>
      <c r="AD25" s="269" t="n">
        <v>49.04761904761904</v>
      </c>
      <c r="AE25" s="269" t="n">
        <v>73.75</v>
      </c>
      <c r="AF25" s="269" t="n">
        <v>86.62698412698411</v>
      </c>
      <c r="AG25" s="241" t="n">
        <v>92.30769230769231</v>
      </c>
      <c r="AH25" s="526" t="n">
        <v>85.95</v>
      </c>
      <c r="AI25" s="526" t="n">
        <v>82.86</v>
      </c>
      <c r="AJ25" s="526" t="n">
        <v>81.33</v>
      </c>
      <c r="AK25" s="528" t="n">
        <v>70.26000000000001</v>
      </c>
      <c r="AL25" s="528" t="n">
        <v>100</v>
      </c>
      <c r="AM25" s="528" t="n">
        <v>18</v>
      </c>
      <c r="AN25" s="225" t="n">
        <v>52.38</v>
      </c>
      <c r="AO25" s="225" t="n">
        <v>41.39</v>
      </c>
      <c r="AP25" s="225" t="n">
        <v>62.83</v>
      </c>
      <c r="AQ25" s="263" t="n">
        <v>72.59</v>
      </c>
      <c r="AR25" s="528" t="n">
        <v>65.95</v>
      </c>
      <c r="AS25" s="528" t="n">
        <v>52</v>
      </c>
      <c r="AT25" s="262" t="n">
        <v>64</v>
      </c>
      <c r="AU25" s="261" t="n">
        <v>25.83</v>
      </c>
      <c r="AV25" s="263" t="n">
        <v>14.17</v>
      </c>
      <c r="AW25" s="263" t="n">
        <v>33.33</v>
      </c>
      <c r="AX25" s="263" t="n">
        <v>50</v>
      </c>
      <c r="AY25" s="262" t="n"/>
      <c r="AZ25" s="262" t="n"/>
      <c r="BA25" s="262" t="n"/>
      <c r="BB25" s="274" t="n"/>
      <c r="BC25" s="525" t="n"/>
      <c r="BD25" s="527" t="n"/>
      <c r="BE25" s="274" t="n"/>
      <c r="BF25" s="525" t="n"/>
      <c r="BG25" s="527" t="n"/>
      <c r="BH25" s="274" t="n"/>
      <c r="BI25" s="525" t="n"/>
      <c r="BJ25" s="525" t="n"/>
      <c r="BK25" s="525" t="n"/>
      <c r="BL25" s="525" t="n"/>
      <c r="BM25" s="525" t="n"/>
      <c r="BN25" s="527" t="n"/>
      <c r="BO25" s="525" t="n"/>
      <c r="BP25" s="525" t="n"/>
      <c r="BQ25" s="525" t="n"/>
      <c r="BR25" s="525" t="n"/>
      <c r="BS25" s="525" t="n"/>
      <c r="BT25" s="525" t="n"/>
      <c r="BU25" s="525" t="n"/>
      <c r="BV25" s="266" t="n"/>
      <c r="BW25" s="525" t="n"/>
      <c r="BX25" s="525" t="n"/>
      <c r="BY25" s="525" t="n"/>
      <c r="BZ25" s="525" t="n"/>
      <c r="CA25" s="525" t="n"/>
      <c r="CB25" s="266" t="n"/>
      <c r="CC25" s="525" t="n"/>
      <c r="CD25" s="525" t="n"/>
      <c r="CE25" s="265" t="n"/>
      <c r="CF25" s="525" t="n"/>
      <c r="CG25" s="525" t="n"/>
      <c r="CH25" s="525" t="n"/>
      <c r="CI25" s="525" t="n"/>
      <c r="CJ25" s="524" t="n"/>
      <c r="CK25" s="266" t="n"/>
      <c r="CL25" s="266" t="n"/>
      <c r="CM25" s="266" t="n"/>
      <c r="CN25" s="266" t="n"/>
      <c r="CO25" s="525" t="n"/>
      <c r="CP25" s="265" t="n"/>
      <c r="CQ25" s="74" t="n"/>
      <c r="CR25" s="75" t="n"/>
      <c r="CS25" s="76" t="n"/>
      <c r="CT25" s="76" t="n"/>
      <c r="CU25" s="91" t="n"/>
      <c r="CV25" s="525" t="n"/>
      <c r="CW25" s="525" t="n"/>
      <c r="CX25" s="525" t="n"/>
      <c r="CY25" s="525" t="n"/>
      <c r="CZ25" s="524" t="n"/>
      <c r="DA25" s="141" t="n"/>
      <c r="DB25" s="162" t="n"/>
      <c r="DC25" s="162" t="n"/>
      <c r="DD25" s="662" t="n"/>
      <c r="DE25" s="663" t="n"/>
      <c r="DF25" s="141" t="n"/>
      <c r="DG25" s="139" t="n"/>
      <c r="DH25" s="139" t="n"/>
      <c r="DI25" s="139" t="n"/>
      <c r="DJ25" s="147" t="n"/>
      <c r="DK25" s="664" t="n"/>
      <c r="DL25" s="162" t="n"/>
      <c r="DM25" s="162" t="n"/>
      <c r="DN25" s="162" t="n"/>
      <c r="DO25" s="162" t="n"/>
      <c r="DP25" s="201" t="n"/>
      <c r="DQ25" s="201" t="n"/>
      <c r="DR25" s="163" t="n"/>
      <c r="DS25" s="141" t="n"/>
      <c r="DT25" s="139" t="n"/>
      <c r="DU25" s="139" t="n"/>
      <c r="DV25" s="139" t="n"/>
      <c r="DW25" s="140" t="n"/>
      <c r="DX25" s="347" t="n"/>
      <c r="DY25" s="147" t="n"/>
      <c r="DZ25" s="31" t="n"/>
      <c r="EA25" s="45" t="n"/>
      <c r="EB25" s="665" t="n"/>
      <c r="EC25" s="45" t="n"/>
      <c r="ED25" s="351" t="n"/>
      <c r="EE25" s="107" t="n"/>
      <c r="EF25" s="139" t="n"/>
      <c r="EG25" s="139" t="n"/>
      <c r="EH25" s="139" t="n"/>
      <c r="EI25" s="140" t="n"/>
      <c r="EJ25" s="108" t="n"/>
      <c r="EK25" s="141" t="n"/>
      <c r="EL25" s="140" t="n"/>
      <c r="EM25" s="140" t="n"/>
      <c r="EN25" s="140" t="n"/>
      <c r="EO25" s="108" t="n"/>
      <c r="EP25" s="666" t="n"/>
      <c r="EQ25" s="107" t="n"/>
      <c r="ER25" s="140" t="n"/>
      <c r="ES25" s="140" t="n"/>
      <c r="ET25" s="107" t="n"/>
      <c r="EU25" s="587" t="n"/>
      <c r="EV25" s="587" t="n"/>
      <c r="EW25" s="141" t="n"/>
      <c r="EX25" s="140" t="n"/>
      <c r="EY25" s="140" t="n"/>
      <c r="EZ25" s="140" t="n"/>
      <c r="FA25" s="140" t="n"/>
      <c r="FB25" s="147" t="n"/>
      <c r="FC25" s="74" t="n"/>
      <c r="FD25" s="75" t="n"/>
      <c r="FE25" s="76" t="n"/>
      <c r="FF25" s="76" t="n"/>
      <c r="FG25" s="91" t="n"/>
      <c r="FH25" s="92" t="n"/>
      <c r="FI25" s="91" t="n"/>
      <c r="FJ25" s="74" t="n"/>
      <c r="FK25" s="92" t="n"/>
      <c r="FL25" s="148" t="n"/>
      <c r="FM25" s="149" t="n"/>
      <c r="FN25" s="150" t="n"/>
      <c r="FO25" s="99" t="n"/>
      <c r="FP25" s="100" t="n"/>
      <c r="FQ25" s="100" t="n"/>
      <c r="FR25" s="100" t="n"/>
      <c r="FS25" s="100" t="n"/>
      <c r="FT25" s="100" t="n"/>
      <c r="FU25" s="100" t="n"/>
      <c r="FV25" s="100" t="n"/>
      <c r="FW25" s="100" t="n"/>
      <c r="FX25" s="100" t="n"/>
      <c r="FY25" s="100" t="n"/>
      <c r="FZ25" s="102" t="n"/>
      <c r="GA25" s="266" t="n"/>
      <c r="GB25" s="525" t="n"/>
      <c r="GC25" s="525" t="n"/>
      <c r="GD25" s="265" t="n"/>
      <c r="GE25" s="266" t="n"/>
      <c r="GF25" s="525" t="n"/>
      <c r="GG25" s="525" t="n"/>
      <c r="GH25" s="265" t="n"/>
      <c r="GI25" s="31" t="n"/>
      <c r="GJ25" s="45" t="n"/>
      <c r="GK25" s="665" t="n"/>
      <c r="GL25" s="45" t="n"/>
      <c r="GM25" s="351" t="n"/>
      <c r="GN25" s="31" t="n"/>
      <c r="GO25" s="45" t="n"/>
      <c r="GP25" s="45" t="n"/>
      <c r="GQ25" s="667" t="n"/>
      <c r="GR25" s="668" t="n"/>
      <c r="GS25" s="107" t="n"/>
      <c r="GT25" s="587" t="n"/>
      <c r="GU25" s="108" t="n"/>
      <c r="GV25" s="266" t="n"/>
      <c r="GW25" s="525" t="n"/>
      <c r="GX25" s="265" t="n"/>
      <c r="GY25" s="266" t="n"/>
      <c r="GZ25" s="525" t="n"/>
      <c r="HA25" s="525" t="n"/>
      <c r="HB25" s="265" t="n"/>
      <c r="HC25" s="31" t="n"/>
      <c r="HD25" s="45" t="n"/>
      <c r="HE25" s="45" t="n"/>
      <c r="HF25" s="45" t="n"/>
      <c r="HG25" s="45" t="n"/>
      <c r="HH25" s="45" t="n"/>
      <c r="HI25" s="45" t="n"/>
      <c r="HJ25" s="45" t="n"/>
      <c r="HK25" s="45" t="n"/>
      <c r="HL25" s="45" t="n"/>
      <c r="HM25" s="45" t="n"/>
      <c r="HN25" s="351" t="n"/>
      <c r="HO25" s="606" t="n"/>
      <c r="HP25" s="65">
        <f>AVERAGE(G25,L25,N25)</f>
        <v/>
      </c>
      <c r="HQ25" s="66">
        <f>AVERAGE(E25,H25,O25,Q25,S25,V25,Z25)</f>
        <v/>
      </c>
      <c r="HR25" s="66">
        <f>AVERAGE(T25)</f>
        <v/>
      </c>
      <c r="HS25" s="66">
        <f>AVERAGE(P25)</f>
        <v/>
      </c>
      <c r="HT25" s="66">
        <f>AVERAGE(W25,R25,F25)</f>
        <v/>
      </c>
      <c r="HU25" s="66" t="n"/>
      <c r="HV25" s="66">
        <f>AVERAGE(X25)</f>
        <v/>
      </c>
      <c r="HW25" s="66" t="n"/>
      <c r="HX25" s="66" t="n"/>
      <c r="HY25" s="66">
        <f>AVERAGE(Y25)</f>
        <v/>
      </c>
    </row>
    <row r="26" ht="15.75" customHeight="1" s="590">
      <c r="B26" s="12" t="n">
        <v>20</v>
      </c>
      <c r="C26" s="13" t="inlineStr">
        <is>
          <t>052-25-126111</t>
        </is>
      </c>
      <c r="D26" s="14" t="inlineStr">
        <is>
          <t>Syed Murtaza Asad</t>
        </is>
      </c>
      <c r="E26" s="274" t="n">
        <v>71.67</v>
      </c>
      <c r="F26" s="241" t="n">
        <v>60</v>
      </c>
      <c r="G26" s="526" t="n">
        <v>81.48</v>
      </c>
      <c r="H26" s="273" t="n">
        <v>83.26000000000001</v>
      </c>
      <c r="I26" s="274" t="n">
        <v>21.6333333333333</v>
      </c>
      <c r="J26" s="683" t="n"/>
      <c r="K26" s="665" t="n"/>
      <c r="L26" s="273" t="n">
        <v>26.78</v>
      </c>
      <c r="M26" s="663" t="n"/>
      <c r="N26" s="523" t="n">
        <v>50</v>
      </c>
      <c r="O26" s="524" t="n">
        <v>13.33</v>
      </c>
      <c r="P26" s="525" t="n">
        <v>21.67</v>
      </c>
      <c r="Q26" s="241" t="n">
        <v>63.03</v>
      </c>
      <c r="R26" s="273" t="n">
        <v>64.23999999999999</v>
      </c>
      <c r="S26" s="270" t="n">
        <v>92.5</v>
      </c>
      <c r="T26" s="262" t="n">
        <v>76.92</v>
      </c>
      <c r="U26" s="663" t="n"/>
      <c r="V26" s="274" t="n">
        <v>76.79000000000001</v>
      </c>
      <c r="W26" s="241" t="n">
        <v>78.68000000000001</v>
      </c>
      <c r="X26" s="273" t="n">
        <v>90</v>
      </c>
      <c r="Y26" s="273" t="n">
        <v>61.67</v>
      </c>
      <c r="Z26" s="273" t="n">
        <v>86</v>
      </c>
      <c r="AA26" s="269" t="n">
        <v>67.92</v>
      </c>
      <c r="AB26" s="269" t="n">
        <v>65.5</v>
      </c>
      <c r="AC26" s="269" t="n">
        <v>71.11</v>
      </c>
      <c r="AD26" s="269" t="n">
        <v>28.09523809523809</v>
      </c>
      <c r="AE26" s="269" t="n">
        <v>32.5</v>
      </c>
      <c r="AF26" s="269" t="n">
        <v>48.75</v>
      </c>
      <c r="AG26" s="241" t="n">
        <v>45</v>
      </c>
      <c r="AH26" s="526" t="n">
        <v>0</v>
      </c>
      <c r="AI26" s="526" t="n">
        <v>0</v>
      </c>
      <c r="AJ26" s="526" t="n">
        <v>0</v>
      </c>
      <c r="AK26" s="528" t="n">
        <v>0</v>
      </c>
      <c r="AL26" s="528" t="n"/>
      <c r="AM26" s="528" t="n"/>
      <c r="AN26" s="261" t="n">
        <v>0</v>
      </c>
      <c r="AO26" s="263" t="n">
        <v>0</v>
      </c>
      <c r="AP26" s="263" t="n">
        <v>0</v>
      </c>
      <c r="AQ26" s="263" t="n"/>
      <c r="AR26" s="528" t="n"/>
      <c r="AS26" s="528" t="n"/>
      <c r="AT26" s="262" t="n"/>
      <c r="AU26" s="261" t="n">
        <v>0</v>
      </c>
      <c r="AV26" s="263" t="n">
        <v>0</v>
      </c>
      <c r="AW26" s="263" t="n">
        <v>0</v>
      </c>
      <c r="AX26" s="263" t="n">
        <v>0</v>
      </c>
      <c r="AY26" s="262" t="n"/>
      <c r="AZ26" s="262" t="n"/>
      <c r="BA26" s="262" t="n"/>
      <c r="BB26" s="274" t="n"/>
      <c r="BC26" s="525" t="n"/>
      <c r="BD26" s="527" t="n"/>
      <c r="BE26" s="274" t="n"/>
      <c r="BF26" s="525" t="n"/>
      <c r="BG26" s="527" t="n"/>
      <c r="BH26" s="274" t="n"/>
      <c r="BI26" s="525" t="n"/>
      <c r="BJ26" s="525" t="n"/>
      <c r="BK26" s="525" t="n"/>
      <c r="BL26" s="525" t="n"/>
      <c r="BM26" s="525" t="n"/>
      <c r="BN26" s="527" t="n"/>
      <c r="BO26" s="525" t="n"/>
      <c r="BP26" s="525" t="n"/>
      <c r="BQ26" s="525" t="n"/>
      <c r="BR26" s="525" t="n"/>
      <c r="BS26" s="525" t="n"/>
      <c r="BT26" s="525" t="n"/>
      <c r="BU26" s="525" t="n"/>
      <c r="BV26" s="266" t="n"/>
      <c r="BW26" s="525" t="n"/>
      <c r="BX26" s="525" t="n"/>
      <c r="BY26" s="525" t="n"/>
      <c r="BZ26" s="525" t="n"/>
      <c r="CA26" s="525" t="n"/>
      <c r="CB26" s="266" t="n"/>
      <c r="CC26" s="525" t="n"/>
      <c r="CD26" s="525" t="n"/>
      <c r="CE26" s="265" t="n"/>
      <c r="CF26" s="525" t="n"/>
      <c r="CG26" s="525" t="n"/>
      <c r="CH26" s="525" t="n"/>
      <c r="CI26" s="525" t="n"/>
      <c r="CJ26" s="524" t="n"/>
      <c r="CK26" s="266" t="n"/>
      <c r="CL26" s="266" t="n"/>
      <c r="CM26" s="266" t="n"/>
      <c r="CN26" s="266" t="n"/>
      <c r="CO26" s="525" t="n"/>
      <c r="CP26" s="265" t="n"/>
      <c r="CQ26" s="74" t="n"/>
      <c r="CR26" s="75" t="n"/>
      <c r="CS26" s="76" t="n"/>
      <c r="CT26" s="76" t="n"/>
      <c r="CU26" s="91" t="n"/>
      <c r="CV26" s="525" t="n"/>
      <c r="CW26" s="525" t="n"/>
      <c r="CX26" s="525" t="n"/>
      <c r="CY26" s="525" t="n"/>
      <c r="CZ26" s="524" t="n"/>
      <c r="DA26" s="141" t="n"/>
      <c r="DB26" s="162" t="n"/>
      <c r="DC26" s="162" t="n"/>
      <c r="DD26" s="512" t="n"/>
      <c r="DE26" s="491" t="n"/>
      <c r="DF26" s="141" t="n"/>
      <c r="DG26" s="139" t="n"/>
      <c r="DH26" s="139" t="n"/>
      <c r="DI26" s="139" t="n"/>
      <c r="DJ26" s="347" t="n"/>
      <c r="DK26" s="348" t="n"/>
      <c r="DL26" s="162" t="n"/>
      <c r="DM26" s="162" t="n"/>
      <c r="DN26" s="162" t="n"/>
      <c r="DO26" s="162" t="n"/>
      <c r="DP26" s="201" t="n"/>
      <c r="DQ26" s="201" t="n"/>
      <c r="DR26" s="163" t="n"/>
      <c r="DS26" s="141" t="n"/>
      <c r="DT26" s="139" t="n"/>
      <c r="DU26" s="139" t="n"/>
      <c r="DV26" s="139" t="n"/>
      <c r="DW26" s="140" t="n"/>
      <c r="DX26" s="347" t="n"/>
      <c r="DY26" s="147" t="n"/>
      <c r="DZ26" s="31" t="n"/>
      <c r="EA26" s="349" t="n"/>
      <c r="EB26" s="349" t="n"/>
      <c r="EC26" s="349" t="n"/>
      <c r="ED26" s="351" t="n"/>
      <c r="EE26" s="107" t="n"/>
      <c r="EF26" s="139" t="n"/>
      <c r="EG26" s="139" t="n"/>
      <c r="EH26" s="139" t="n"/>
      <c r="EI26" s="140" t="n"/>
      <c r="EJ26" s="108" t="n"/>
      <c r="EK26" s="141" t="n"/>
      <c r="EL26" s="140" t="n"/>
      <c r="EM26" s="140" t="n"/>
      <c r="EN26" s="140" t="n"/>
      <c r="EO26" s="347" t="n"/>
      <c r="EP26" s="348" t="n"/>
      <c r="EQ26" s="107" t="n"/>
      <c r="ER26" s="140" t="n"/>
      <c r="ES26" s="347" t="n"/>
      <c r="ET26" s="107" t="n"/>
      <c r="EU26" s="587" t="n"/>
      <c r="EV26" s="587" t="n"/>
      <c r="EW26" s="141" t="n"/>
      <c r="EX26" s="140" t="n"/>
      <c r="EY26" s="140" t="n"/>
      <c r="EZ26" s="140" t="n"/>
      <c r="FA26" s="140" t="n"/>
      <c r="FB26" s="147" t="n"/>
      <c r="FC26" s="74" t="n"/>
      <c r="FD26" s="75" t="n"/>
      <c r="FE26" s="76" t="n"/>
      <c r="FF26" s="76" t="n"/>
      <c r="FG26" s="91" t="n"/>
      <c r="FH26" s="92" t="n"/>
      <c r="FI26" s="91" t="n"/>
      <c r="FJ26" s="74" t="n"/>
      <c r="FK26" s="92" t="n"/>
      <c r="FL26" s="148" t="n"/>
      <c r="FM26" s="149" t="n"/>
      <c r="FN26" s="150" t="n"/>
      <c r="FO26" s="99" t="n"/>
      <c r="FP26" s="100" t="n"/>
      <c r="FQ26" s="100" t="n"/>
      <c r="FR26" s="100" t="n"/>
      <c r="FS26" s="100" t="n"/>
      <c r="FT26" s="100" t="n"/>
      <c r="FU26" s="100" t="n"/>
      <c r="FV26" s="100" t="n"/>
      <c r="FW26" s="100" t="n"/>
      <c r="FX26" s="100" t="n"/>
      <c r="FY26" s="100" t="n"/>
      <c r="FZ26" s="102" t="n"/>
      <c r="GA26" s="266" t="n"/>
      <c r="GB26" s="525" t="n"/>
      <c r="GC26" s="525" t="n"/>
      <c r="GD26" s="265" t="n"/>
      <c r="GE26" s="266" t="n"/>
      <c r="GF26" s="525" t="n"/>
      <c r="GG26" s="525" t="n"/>
      <c r="GH26" s="265" t="n"/>
      <c r="GI26" s="31" t="n"/>
      <c r="GJ26" s="349" t="n"/>
      <c r="GK26" s="349" t="n"/>
      <c r="GL26" s="45" t="n"/>
      <c r="GM26" s="351" t="n"/>
      <c r="GN26" s="31" t="n"/>
      <c r="GO26" s="45" t="n"/>
      <c r="GP26" s="45" t="n"/>
      <c r="GQ26" s="350" t="n"/>
      <c r="GR26" s="351" t="n"/>
      <c r="GS26" s="107" t="n"/>
      <c r="GT26" s="587" t="n"/>
      <c r="GU26" s="108" t="n"/>
      <c r="GV26" s="266" t="n"/>
      <c r="GW26" s="525" t="n"/>
      <c r="GX26" s="265" t="n"/>
      <c r="GY26" s="266" t="n"/>
      <c r="GZ26" s="525" t="n"/>
      <c r="HA26" s="525" t="n"/>
      <c r="HB26" s="265" t="n"/>
      <c r="HC26" s="31" t="n"/>
      <c r="HD26" s="45" t="n"/>
      <c r="HE26" s="45" t="n"/>
      <c r="HF26" s="45" t="n"/>
      <c r="HG26" s="45" t="n"/>
      <c r="HH26" s="45" t="n"/>
      <c r="HI26" s="45" t="n"/>
      <c r="HJ26" s="45" t="n"/>
      <c r="HK26" s="45" t="n"/>
      <c r="HL26" s="45" t="n"/>
      <c r="HM26" s="45" t="n"/>
      <c r="HN26" s="351" t="n"/>
      <c r="HO26" s="606" t="n"/>
      <c r="HP26" s="65">
        <f>AVERAGE(G26,L26,N26)</f>
        <v/>
      </c>
      <c r="HQ26" s="66">
        <f>AVERAGE(E26,H26,O26,Q26,S26,V26,Z26)</f>
        <v/>
      </c>
      <c r="HR26" s="66">
        <f>AVERAGE(T26)</f>
        <v/>
      </c>
      <c r="HS26" s="66">
        <f>AVERAGE(P26)</f>
        <v/>
      </c>
      <c r="HT26" s="66">
        <f>AVERAGE(W26,R26,F26)</f>
        <v/>
      </c>
      <c r="HU26" s="66" t="n"/>
      <c r="HV26" s="66">
        <f>AVERAGE(X26)</f>
        <v/>
      </c>
      <c r="HW26" s="66" t="n"/>
      <c r="HX26" s="66" t="n"/>
      <c r="HY26" s="66">
        <f>AVERAGE(Y26)</f>
        <v/>
      </c>
    </row>
    <row r="27" ht="15.75" customHeight="1" s="590">
      <c r="B27" s="12" t="n">
        <v>21</v>
      </c>
      <c r="C27" s="13" t="inlineStr">
        <is>
          <t>052-25-126145</t>
        </is>
      </c>
      <c r="D27" s="14" t="inlineStr">
        <is>
          <t>Raja Haris Waqar</t>
        </is>
      </c>
      <c r="E27" s="274" t="n">
        <v>80</v>
      </c>
      <c r="F27" s="241" t="n">
        <v>66.67</v>
      </c>
      <c r="G27" s="526" t="n">
        <v>71.11</v>
      </c>
      <c r="H27" s="273" t="n">
        <v>81.20999999999999</v>
      </c>
      <c r="I27" s="274" t="n">
        <v>19.8333333333333</v>
      </c>
      <c r="J27" s="683" t="n"/>
      <c r="K27" s="665" t="n"/>
      <c r="L27" s="273" t="n">
        <v>66</v>
      </c>
      <c r="M27" s="663" t="n"/>
      <c r="N27" s="523" t="n">
        <v>46</v>
      </c>
      <c r="O27" s="524" t="n">
        <v>41.67</v>
      </c>
      <c r="P27" s="525" t="n">
        <v>15.56</v>
      </c>
      <c r="Q27" s="241" t="n">
        <v>39.09</v>
      </c>
      <c r="R27" s="273" t="n">
        <v>37.12</v>
      </c>
      <c r="S27" s="270" t="n">
        <v>80</v>
      </c>
      <c r="T27" s="262" t="n">
        <v>84.17</v>
      </c>
      <c r="U27" s="663" t="n"/>
      <c r="V27" s="274" t="n">
        <v>82.86</v>
      </c>
      <c r="W27" s="241" t="n">
        <v>77.22</v>
      </c>
      <c r="X27" s="273" t="n">
        <v>90</v>
      </c>
      <c r="Y27" s="273" t="n">
        <v>47.78</v>
      </c>
      <c r="Z27" s="273" t="n">
        <v>76</v>
      </c>
      <c r="AA27" s="269" t="n">
        <v>65</v>
      </c>
      <c r="AB27" s="269" t="n">
        <v>47.5</v>
      </c>
      <c r="AC27" s="269" t="n">
        <v>71.11</v>
      </c>
      <c r="AD27" s="269" t="n">
        <v>9.523809523809524</v>
      </c>
      <c r="AE27" s="269" t="n">
        <v>5</v>
      </c>
      <c r="AF27" s="269" t="n">
        <v>3.333333333333333</v>
      </c>
      <c r="AG27" s="241" t="n">
        <v>0</v>
      </c>
      <c r="AH27" s="526" t="n">
        <v>53.33</v>
      </c>
      <c r="AI27" s="526" t="n">
        <v>54</v>
      </c>
      <c r="AJ27" s="526" t="n">
        <v>48.67</v>
      </c>
      <c r="AK27" s="528" t="n">
        <v>59.95</v>
      </c>
      <c r="AL27" s="528" t="n"/>
      <c r="AM27" s="528" t="n"/>
      <c r="AN27" s="225" t="n">
        <v>54.29</v>
      </c>
      <c r="AO27" s="225" t="n">
        <v>24.17</v>
      </c>
      <c r="AP27" s="225" t="n">
        <v>45.33</v>
      </c>
      <c r="AQ27" s="263" t="n">
        <v>51.56</v>
      </c>
      <c r="AR27" s="528" t="n">
        <v>57.14</v>
      </c>
      <c r="AS27" s="528" t="n">
        <v>52.67</v>
      </c>
      <c r="AT27" s="262" t="n">
        <v>56</v>
      </c>
      <c r="AU27" s="261" t="n">
        <v>40.83</v>
      </c>
      <c r="AV27" s="263" t="n">
        <v>32.5</v>
      </c>
      <c r="AW27" s="263" t="n">
        <v>8.33</v>
      </c>
      <c r="AX27" s="263" t="n">
        <v>62.5</v>
      </c>
      <c r="AY27" s="262" t="n"/>
      <c r="AZ27" s="262" t="n"/>
      <c r="BA27" s="262" t="n"/>
      <c r="BB27" s="274" t="n"/>
      <c r="BC27" s="525" t="n"/>
      <c r="BD27" s="527" t="n"/>
      <c r="BE27" s="274" t="n"/>
      <c r="BF27" s="525" t="n"/>
      <c r="BG27" s="527" t="n"/>
      <c r="BH27" s="274" t="n"/>
      <c r="BI27" s="525" t="n"/>
      <c r="BJ27" s="525" t="n"/>
      <c r="BK27" s="525" t="n"/>
      <c r="BL27" s="525" t="n"/>
      <c r="BM27" s="525" t="n"/>
      <c r="BN27" s="527" t="n"/>
      <c r="BO27" s="525" t="n"/>
      <c r="BP27" s="525" t="n"/>
      <c r="BQ27" s="525" t="n"/>
      <c r="BR27" s="525" t="n"/>
      <c r="BS27" s="525" t="n"/>
      <c r="BT27" s="525" t="n"/>
      <c r="BU27" s="525" t="n"/>
      <c r="BV27" s="266" t="n"/>
      <c r="BW27" s="525" t="n"/>
      <c r="BX27" s="525" t="n"/>
      <c r="BY27" s="525" t="n"/>
      <c r="BZ27" s="525" t="n"/>
      <c r="CA27" s="525" t="n"/>
      <c r="CB27" s="266" t="n"/>
      <c r="CC27" s="525" t="n"/>
      <c r="CD27" s="525" t="n"/>
      <c r="CE27" s="265" t="n"/>
      <c r="CF27" s="525" t="n"/>
      <c r="CG27" s="525" t="n"/>
      <c r="CH27" s="525" t="n"/>
      <c r="CI27" s="525" t="n"/>
      <c r="CJ27" s="524" t="n"/>
      <c r="CK27" s="266" t="n"/>
      <c r="CL27" s="266" t="n"/>
      <c r="CM27" s="266" t="n"/>
      <c r="CN27" s="266" t="n"/>
      <c r="CO27" s="525" t="n"/>
      <c r="CP27" s="265" t="n"/>
      <c r="CQ27" s="74" t="n"/>
      <c r="CR27" s="75" t="n"/>
      <c r="CS27" s="76" t="n"/>
      <c r="CT27" s="76" t="n"/>
      <c r="CU27" s="91" t="n"/>
      <c r="CV27" s="525" t="n"/>
      <c r="CW27" s="525" t="n"/>
      <c r="CX27" s="525" t="n"/>
      <c r="CY27" s="525" t="n"/>
      <c r="CZ27" s="524" t="n"/>
      <c r="DA27" s="141" t="n"/>
      <c r="DB27" s="162" t="n"/>
      <c r="DC27" s="162" t="n"/>
      <c r="DD27" s="512" t="n"/>
      <c r="DE27" s="491" t="n"/>
      <c r="DF27" s="141" t="n"/>
      <c r="DG27" s="139" t="n"/>
      <c r="DH27" s="139" t="n"/>
      <c r="DI27" s="139" t="n"/>
      <c r="DJ27" s="347" t="n"/>
      <c r="DK27" s="348" t="n"/>
      <c r="DL27" s="162" t="n"/>
      <c r="DM27" s="162" t="n"/>
      <c r="DN27" s="162" t="n"/>
      <c r="DO27" s="162" t="n"/>
      <c r="DP27" s="201" t="n"/>
      <c r="DQ27" s="201" t="n"/>
      <c r="DR27" s="163" t="n"/>
      <c r="DS27" s="141" t="n"/>
      <c r="DT27" s="139" t="n"/>
      <c r="DU27" s="139" t="n"/>
      <c r="DV27" s="139" t="n"/>
      <c r="DW27" s="140" t="n"/>
      <c r="DX27" s="347" t="n"/>
      <c r="DY27" s="147" t="n"/>
      <c r="DZ27" s="31" t="n"/>
      <c r="EA27" s="349" t="n"/>
      <c r="EB27" s="349" t="n"/>
      <c r="EC27" s="349" t="n"/>
      <c r="ED27" s="351" t="n"/>
      <c r="EE27" s="107" t="n"/>
      <c r="EF27" s="139" t="n"/>
      <c r="EG27" s="139" t="n"/>
      <c r="EH27" s="139" t="n"/>
      <c r="EI27" s="140" t="n"/>
      <c r="EJ27" s="108" t="n"/>
      <c r="EK27" s="141" t="n"/>
      <c r="EL27" s="140" t="n"/>
      <c r="EM27" s="140" t="n"/>
      <c r="EN27" s="140" t="n"/>
      <c r="EO27" s="347" t="n"/>
      <c r="EP27" s="348" t="n"/>
      <c r="EQ27" s="107" t="n"/>
      <c r="ER27" s="140" t="n"/>
      <c r="ES27" s="347" t="n"/>
      <c r="ET27" s="107" t="n"/>
      <c r="EU27" s="587" t="n"/>
      <c r="EV27" s="587" t="n"/>
      <c r="EW27" s="141" t="n"/>
      <c r="EX27" s="140" t="n"/>
      <c r="EY27" s="140" t="n"/>
      <c r="EZ27" s="140" t="n"/>
      <c r="FA27" s="140" t="n"/>
      <c r="FB27" s="147" t="n"/>
      <c r="FC27" s="74" t="n"/>
      <c r="FD27" s="75" t="n"/>
      <c r="FE27" s="76" t="n"/>
      <c r="FF27" s="76" t="n"/>
      <c r="FG27" s="91" t="n"/>
      <c r="FH27" s="92" t="n"/>
      <c r="FI27" s="91" t="n"/>
      <c r="FJ27" s="74" t="n"/>
      <c r="FK27" s="92" t="n"/>
      <c r="FL27" s="148" t="n"/>
      <c r="FM27" s="149" t="n"/>
      <c r="FN27" s="150" t="n"/>
      <c r="FO27" s="99" t="n"/>
      <c r="FP27" s="100" t="n"/>
      <c r="FQ27" s="100" t="n"/>
      <c r="FR27" s="100" t="n"/>
      <c r="FS27" s="100" t="n"/>
      <c r="FT27" s="100" t="n"/>
      <c r="FU27" s="100" t="n"/>
      <c r="FV27" s="100" t="n"/>
      <c r="FW27" s="100" t="n"/>
      <c r="FX27" s="100" t="n"/>
      <c r="FY27" s="100" t="n"/>
      <c r="FZ27" s="102" t="n"/>
      <c r="GA27" s="266" t="n"/>
      <c r="GB27" s="525" t="n"/>
      <c r="GC27" s="525" t="n"/>
      <c r="GD27" s="265" t="n"/>
      <c r="GE27" s="266" t="n"/>
      <c r="GF27" s="525" t="n"/>
      <c r="GG27" s="525" t="n"/>
      <c r="GH27" s="265" t="n"/>
      <c r="GI27" s="31" t="n"/>
      <c r="GJ27" s="349" t="n"/>
      <c r="GK27" s="349" t="n"/>
      <c r="GL27" s="45" t="n"/>
      <c r="GM27" s="351" t="n"/>
      <c r="GN27" s="31" t="n"/>
      <c r="GO27" s="45" t="n"/>
      <c r="GP27" s="45" t="n"/>
      <c r="GQ27" s="350" t="n"/>
      <c r="GR27" s="351" t="n"/>
      <c r="GS27" s="107" t="n"/>
      <c r="GT27" s="587" t="n"/>
      <c r="GU27" s="108" t="n"/>
      <c r="GV27" s="266" t="n"/>
      <c r="GW27" s="525" t="n"/>
      <c r="GX27" s="265" t="n"/>
      <c r="GY27" s="266" t="n"/>
      <c r="GZ27" s="525" t="n"/>
      <c r="HA27" s="525" t="n"/>
      <c r="HB27" s="265" t="n"/>
      <c r="HC27" s="31" t="n"/>
      <c r="HD27" s="45" t="n"/>
      <c r="HE27" s="45" t="n"/>
      <c r="HF27" s="45" t="n"/>
      <c r="HG27" s="45" t="n"/>
      <c r="HH27" s="45" t="n"/>
      <c r="HI27" s="45" t="n"/>
      <c r="HJ27" s="45" t="n"/>
      <c r="HK27" s="45" t="n"/>
      <c r="HL27" s="45" t="n"/>
      <c r="HM27" s="45" t="n"/>
      <c r="HN27" s="351" t="n"/>
      <c r="HO27" s="606" t="n"/>
      <c r="HP27" s="65">
        <f>AVERAGE(G27,L27,N27)</f>
        <v/>
      </c>
      <c r="HQ27" s="66">
        <f>AVERAGE(E27,H27,O27,Q27,S27,V27,Z27)</f>
        <v/>
      </c>
      <c r="HR27" s="66">
        <f>AVERAGE(T27)</f>
        <v/>
      </c>
      <c r="HS27" s="66">
        <f>AVERAGE(P27)</f>
        <v/>
      </c>
      <c r="HT27" s="66">
        <f>AVERAGE(W27,R27,F27)</f>
        <v/>
      </c>
      <c r="HU27" s="66" t="n"/>
      <c r="HV27" s="66">
        <f>AVERAGE(X27)</f>
        <v/>
      </c>
      <c r="HW27" s="66" t="n"/>
      <c r="HX27" s="66" t="n"/>
      <c r="HY27" s="66">
        <f>AVERAGE(Y27)</f>
        <v/>
      </c>
    </row>
    <row r="28" ht="15.75" customHeight="1" s="590">
      <c r="B28" s="12" t="n">
        <v>22</v>
      </c>
      <c r="C28" s="13" t="inlineStr">
        <is>
          <t>052-25-126155</t>
        </is>
      </c>
      <c r="D28" s="14" t="inlineStr">
        <is>
          <t xml:space="preserve">Zulfiqar Ali </t>
        </is>
      </c>
      <c r="E28" s="274" t="n">
        <v>75</v>
      </c>
      <c r="F28" s="241" t="n">
        <v>83.33</v>
      </c>
      <c r="G28" s="526" t="n">
        <v>95.19</v>
      </c>
      <c r="H28" s="273" t="n">
        <v>95.83</v>
      </c>
      <c r="I28" s="274" t="n">
        <v>59.92</v>
      </c>
      <c r="J28" s="683" t="n"/>
      <c r="K28" s="665" t="n"/>
      <c r="L28" s="273" t="n">
        <v>61.59</v>
      </c>
      <c r="M28" s="663" t="n"/>
      <c r="N28" s="523" t="n">
        <v>72</v>
      </c>
      <c r="O28" s="524" t="n">
        <v>63.33</v>
      </c>
      <c r="P28" s="525" t="n">
        <v>78.89</v>
      </c>
      <c r="Q28" s="241" t="n">
        <v>76.06</v>
      </c>
      <c r="R28" s="273" t="n">
        <v>68.64</v>
      </c>
      <c r="S28" s="270" t="n">
        <v>95</v>
      </c>
      <c r="T28" s="262" t="n">
        <v>87.08</v>
      </c>
      <c r="U28" s="663" t="n"/>
      <c r="V28" s="274" t="n">
        <v>82.86</v>
      </c>
      <c r="W28" s="241" t="n">
        <v>78.37</v>
      </c>
      <c r="X28" s="273" t="n">
        <v>100</v>
      </c>
      <c r="Y28" s="273" t="n">
        <v>60.56</v>
      </c>
      <c r="Z28" s="273" t="n">
        <v>64</v>
      </c>
      <c r="AA28" s="269" t="n">
        <v>49.58</v>
      </c>
      <c r="AB28" s="269" t="n">
        <v>48.5</v>
      </c>
      <c r="AC28" s="269" t="n">
        <v>57.78</v>
      </c>
      <c r="AD28" s="269" t="n">
        <v>62.38095238095238</v>
      </c>
      <c r="AE28" s="269" t="n">
        <v>53.75</v>
      </c>
      <c r="AF28" s="269" t="n">
        <v>62.24206349206349</v>
      </c>
      <c r="AG28" s="241" t="n">
        <v>68.07692307692308</v>
      </c>
      <c r="AH28" s="526" t="n">
        <v>57.86</v>
      </c>
      <c r="AI28" s="526" t="n">
        <v>61.43</v>
      </c>
      <c r="AJ28" s="526" t="n">
        <v>42.67</v>
      </c>
      <c r="AK28" s="528" t="n">
        <v>60.99</v>
      </c>
      <c r="AL28" s="528" t="n">
        <v>100</v>
      </c>
      <c r="AM28" s="528" t="n">
        <v>16</v>
      </c>
      <c r="AN28" s="225" t="n">
        <v>44.76</v>
      </c>
      <c r="AO28" s="225" t="n">
        <v>45</v>
      </c>
      <c r="AP28" s="225" t="n">
        <v>56.17</v>
      </c>
      <c r="AQ28" s="263" t="n">
        <v>39.56</v>
      </c>
      <c r="AR28" s="528" t="n">
        <v>28.81</v>
      </c>
      <c r="AS28" s="528" t="n">
        <v>20</v>
      </c>
      <c r="AT28" s="262" t="n">
        <v>28</v>
      </c>
      <c r="AU28" s="261" t="n">
        <v>36.94</v>
      </c>
      <c r="AV28" s="263" t="n">
        <v>43.33</v>
      </c>
      <c r="AW28" s="263" t="n">
        <v>8.33</v>
      </c>
      <c r="AX28" s="263" t="n">
        <v>75</v>
      </c>
      <c r="AY28" s="262" t="n"/>
      <c r="AZ28" s="262" t="n"/>
      <c r="BA28" s="262" t="n"/>
      <c r="BB28" s="274" t="n"/>
      <c r="BC28" s="525" t="n"/>
      <c r="BD28" s="527" t="n"/>
      <c r="BE28" s="274" t="n"/>
      <c r="BF28" s="525" t="n"/>
      <c r="BG28" s="527" t="n"/>
      <c r="BH28" s="274" t="n"/>
      <c r="BI28" s="525" t="n"/>
      <c r="BJ28" s="525" t="n"/>
      <c r="BK28" s="525" t="n"/>
      <c r="BL28" s="525" t="n"/>
      <c r="BM28" s="525" t="n"/>
      <c r="BN28" s="527" t="n"/>
      <c r="BO28" s="525" t="n"/>
      <c r="BP28" s="525" t="n"/>
      <c r="BQ28" s="525" t="n"/>
      <c r="BR28" s="525" t="n"/>
      <c r="BS28" s="525" t="n"/>
      <c r="BT28" s="525" t="n"/>
      <c r="BU28" s="525" t="n"/>
      <c r="BV28" s="266" t="n"/>
      <c r="BW28" s="525" t="n"/>
      <c r="BX28" s="525" t="n"/>
      <c r="BY28" s="525" t="n"/>
      <c r="BZ28" s="525" t="n"/>
      <c r="CA28" s="525" t="n"/>
      <c r="CB28" s="266" t="n"/>
      <c r="CC28" s="525" t="n"/>
      <c r="CD28" s="525" t="n"/>
      <c r="CE28" s="265" t="n"/>
      <c r="CF28" s="525" t="n"/>
      <c r="CG28" s="525" t="n"/>
      <c r="CH28" s="525" t="n"/>
      <c r="CI28" s="525" t="n"/>
      <c r="CJ28" s="524" t="n"/>
      <c r="CK28" s="266" t="n"/>
      <c r="CL28" s="266" t="n"/>
      <c r="CM28" s="266" t="n"/>
      <c r="CN28" s="266" t="n"/>
      <c r="CO28" s="525" t="n"/>
      <c r="CP28" s="265" t="n"/>
      <c r="CQ28" s="74" t="n"/>
      <c r="CR28" s="75" t="n"/>
      <c r="CS28" s="76" t="n"/>
      <c r="CT28" s="76" t="n"/>
      <c r="CU28" s="91" t="n"/>
      <c r="CV28" s="525" t="n"/>
      <c r="CW28" s="525" t="n"/>
      <c r="CX28" s="525" t="n"/>
      <c r="CY28" s="525" t="n"/>
      <c r="CZ28" s="524" t="n"/>
      <c r="DA28" s="141" t="n"/>
      <c r="DB28" s="162" t="n"/>
      <c r="DC28" s="162" t="n"/>
      <c r="DD28" s="512" t="n"/>
      <c r="DE28" s="491" t="n"/>
      <c r="DF28" s="141" t="n"/>
      <c r="DG28" s="139" t="n"/>
      <c r="DH28" s="139" t="n"/>
      <c r="DI28" s="139" t="n"/>
      <c r="DJ28" s="347" t="n"/>
      <c r="DK28" s="348" t="n"/>
      <c r="DL28" s="162" t="n"/>
      <c r="DM28" s="162" t="n"/>
      <c r="DN28" s="162" t="n"/>
      <c r="DO28" s="162" t="n"/>
      <c r="DP28" s="201" t="n"/>
      <c r="DQ28" s="201" t="n"/>
      <c r="DR28" s="163" t="n"/>
      <c r="DS28" s="141" t="n"/>
      <c r="DT28" s="139" t="n"/>
      <c r="DU28" s="139" t="n"/>
      <c r="DV28" s="139" t="n"/>
      <c r="DW28" s="140" t="n"/>
      <c r="DX28" s="347" t="n"/>
      <c r="DY28" s="147" t="n"/>
      <c r="DZ28" s="31" t="n"/>
      <c r="EA28" s="349" t="n"/>
      <c r="EB28" s="349" t="n"/>
      <c r="EC28" s="349" t="n"/>
      <c r="ED28" s="351" t="n"/>
      <c r="EE28" s="107" t="n"/>
      <c r="EF28" s="139" t="n"/>
      <c r="EG28" s="139" t="n"/>
      <c r="EH28" s="139" t="n"/>
      <c r="EI28" s="140" t="n"/>
      <c r="EJ28" s="108" t="n"/>
      <c r="EK28" s="141" t="n"/>
      <c r="EL28" s="140" t="n"/>
      <c r="EM28" s="140" t="n"/>
      <c r="EN28" s="140" t="n"/>
      <c r="EO28" s="347" t="n"/>
      <c r="EP28" s="348" t="n"/>
      <c r="EQ28" s="107" t="n"/>
      <c r="ER28" s="140" t="n"/>
      <c r="ES28" s="347" t="n"/>
      <c r="ET28" s="107" t="n"/>
      <c r="EU28" s="587" t="n"/>
      <c r="EV28" s="587" t="n"/>
      <c r="EW28" s="141" t="n"/>
      <c r="EX28" s="140" t="n"/>
      <c r="EY28" s="140" t="n"/>
      <c r="EZ28" s="140" t="n"/>
      <c r="FA28" s="140" t="n"/>
      <c r="FB28" s="147" t="n"/>
      <c r="FC28" s="74" t="n"/>
      <c r="FD28" s="75" t="n"/>
      <c r="FE28" s="76" t="n"/>
      <c r="FF28" s="76" t="n"/>
      <c r="FG28" s="91" t="n"/>
      <c r="FH28" s="92" t="n"/>
      <c r="FI28" s="91" t="n"/>
      <c r="FJ28" s="74" t="n"/>
      <c r="FK28" s="92" t="n"/>
      <c r="FL28" s="148" t="n"/>
      <c r="FM28" s="149" t="n"/>
      <c r="FN28" s="150" t="n"/>
      <c r="FO28" s="99" t="n"/>
      <c r="FP28" s="100" t="n"/>
      <c r="FQ28" s="100" t="n"/>
      <c r="FR28" s="100" t="n"/>
      <c r="FS28" s="100" t="n"/>
      <c r="FT28" s="100" t="n"/>
      <c r="FU28" s="100" t="n"/>
      <c r="FV28" s="100" t="n"/>
      <c r="FW28" s="100" t="n"/>
      <c r="FX28" s="100" t="n"/>
      <c r="FY28" s="100" t="n"/>
      <c r="FZ28" s="102" t="n"/>
      <c r="GA28" s="266" t="n"/>
      <c r="GB28" s="525" t="n"/>
      <c r="GC28" s="525" t="n"/>
      <c r="GD28" s="265" t="n"/>
      <c r="GE28" s="266" t="n"/>
      <c r="GF28" s="525" t="n"/>
      <c r="GG28" s="525" t="n"/>
      <c r="GH28" s="265" t="n"/>
      <c r="GI28" s="31" t="n"/>
      <c r="GJ28" s="349" t="n"/>
      <c r="GK28" s="349" t="n"/>
      <c r="GL28" s="45" t="n"/>
      <c r="GM28" s="351" t="n"/>
      <c r="GN28" s="31" t="n"/>
      <c r="GO28" s="45" t="n"/>
      <c r="GP28" s="45" t="n"/>
      <c r="GQ28" s="350" t="n"/>
      <c r="GR28" s="351" t="n"/>
      <c r="GS28" s="107" t="n"/>
      <c r="GT28" s="587" t="n"/>
      <c r="GU28" s="108" t="n"/>
      <c r="GV28" s="266" t="n"/>
      <c r="GW28" s="525" t="n"/>
      <c r="GX28" s="265" t="n"/>
      <c r="GY28" s="266" t="n"/>
      <c r="GZ28" s="525" t="n"/>
      <c r="HA28" s="525" t="n"/>
      <c r="HB28" s="265" t="n"/>
      <c r="HC28" s="31" t="n"/>
      <c r="HD28" s="45" t="n"/>
      <c r="HE28" s="45" t="n"/>
      <c r="HF28" s="45" t="n"/>
      <c r="HG28" s="45" t="n"/>
      <c r="HH28" s="45" t="n"/>
      <c r="HI28" s="45" t="n"/>
      <c r="HJ28" s="45" t="n"/>
      <c r="HK28" s="45" t="n"/>
      <c r="HL28" s="45" t="n"/>
      <c r="HM28" s="45" t="n"/>
      <c r="HN28" s="351" t="n"/>
      <c r="HO28" s="606" t="n"/>
      <c r="HP28" s="65">
        <f>AVERAGE(G28,L28,N28)</f>
        <v/>
      </c>
      <c r="HQ28" s="66">
        <f>AVERAGE(E28,H28,O28,Q28,S28,V28,Z28)</f>
        <v/>
      </c>
      <c r="HR28" s="66">
        <f>AVERAGE(T28)</f>
        <v/>
      </c>
      <c r="HS28" s="66">
        <f>AVERAGE(P28)</f>
        <v/>
      </c>
      <c r="HT28" s="66">
        <f>AVERAGE(W28,R28,F28)</f>
        <v/>
      </c>
      <c r="HU28" s="66" t="n"/>
      <c r="HV28" s="66">
        <f>AVERAGE(X28)</f>
        <v/>
      </c>
      <c r="HW28" s="66" t="n"/>
      <c r="HX28" s="66" t="n"/>
      <c r="HY28" s="66">
        <f>AVERAGE(Y28)</f>
        <v/>
      </c>
    </row>
    <row r="29" ht="15.75" customHeight="1" s="590">
      <c r="B29" s="12" t="n">
        <v>23</v>
      </c>
      <c r="C29" s="13" t="inlineStr">
        <is>
          <t>052-25-126164</t>
        </is>
      </c>
      <c r="D29" s="14" t="inlineStr">
        <is>
          <t>Abdal Khan</t>
        </is>
      </c>
      <c r="E29" s="274" t="n">
        <v>60</v>
      </c>
      <c r="F29" s="241" t="n">
        <v>63.33</v>
      </c>
      <c r="G29" s="526" t="n">
        <v>58.89</v>
      </c>
      <c r="H29" s="273" t="n">
        <v>78.70999999999999</v>
      </c>
      <c r="I29" s="274" t="n">
        <v>51.17</v>
      </c>
      <c r="J29" s="683" t="n"/>
      <c r="K29" s="665" t="n"/>
      <c r="L29" s="273" t="n">
        <v>31.41</v>
      </c>
      <c r="M29" s="663" t="n"/>
      <c r="N29" s="523" t="n">
        <v>34</v>
      </c>
      <c r="O29" s="524" t="n">
        <v>40</v>
      </c>
      <c r="P29" s="525" t="n">
        <v>25</v>
      </c>
      <c r="Q29" s="241" t="n">
        <v>54.85</v>
      </c>
      <c r="R29" s="273" t="n">
        <v>51.52</v>
      </c>
      <c r="S29" s="270" t="n">
        <v>92.5</v>
      </c>
      <c r="T29" s="262" t="n">
        <v>81</v>
      </c>
      <c r="U29" s="663" t="n"/>
      <c r="V29" s="274" t="n">
        <v>65.70999999999999</v>
      </c>
      <c r="W29" s="241" t="n">
        <v>73.33</v>
      </c>
      <c r="X29" s="273" t="n">
        <v>90</v>
      </c>
      <c r="Y29" s="273" t="n">
        <v>61.11</v>
      </c>
      <c r="Z29" s="273" t="n">
        <v>76</v>
      </c>
      <c r="AA29" s="269" t="n">
        <v>72.08</v>
      </c>
      <c r="AB29" s="269" t="n">
        <v>70</v>
      </c>
      <c r="AC29" s="269" t="n">
        <v>60</v>
      </c>
      <c r="AD29" s="264" t="n">
        <v>0</v>
      </c>
      <c r="AE29" s="241" t="n">
        <v>0</v>
      </c>
      <c r="AF29" s="241" t="n">
        <v>0</v>
      </c>
      <c r="AG29" s="241" t="n">
        <v>0</v>
      </c>
      <c r="AH29" s="526" t="n">
        <v>0</v>
      </c>
      <c r="AI29" s="526" t="n">
        <v>0</v>
      </c>
      <c r="AJ29" s="526" t="n">
        <v>0</v>
      </c>
      <c r="AK29" s="528" t="n">
        <v>0</v>
      </c>
      <c r="AL29" s="528" t="n">
        <v>85</v>
      </c>
      <c r="AM29" s="528" t="n">
        <v>16</v>
      </c>
      <c r="AN29" s="225" t="n">
        <v>0</v>
      </c>
      <c r="AO29" s="225" t="n">
        <v>0</v>
      </c>
      <c r="AP29" s="225" t="n">
        <v>0</v>
      </c>
      <c r="AQ29" s="263" t="n"/>
      <c r="AR29" s="528" t="n"/>
      <c r="AS29" s="528" t="n"/>
      <c r="AT29" s="262" t="n"/>
      <c r="AU29" s="261" t="n">
        <v>56.11</v>
      </c>
      <c r="AV29" s="263" t="n">
        <v>42.5</v>
      </c>
      <c r="AW29" s="263" t="n">
        <v>75</v>
      </c>
      <c r="AX29" s="263" t="n">
        <v>75</v>
      </c>
      <c r="AY29" s="262" t="n"/>
      <c r="AZ29" s="262" t="n"/>
      <c r="BA29" s="262" t="n"/>
      <c r="BB29" s="274" t="n"/>
      <c r="BC29" s="525" t="n"/>
      <c r="BD29" s="527" t="n"/>
      <c r="BE29" s="274" t="n"/>
      <c r="BF29" s="525" t="n"/>
      <c r="BG29" s="527" t="n"/>
      <c r="BH29" s="274" t="n"/>
      <c r="BI29" s="525" t="n"/>
      <c r="BJ29" s="525" t="n"/>
      <c r="BK29" s="525" t="n"/>
      <c r="BL29" s="525" t="n"/>
      <c r="BM29" s="525" t="n"/>
      <c r="BN29" s="527" t="n"/>
      <c r="BO29" s="525" t="n"/>
      <c r="BP29" s="525" t="n"/>
      <c r="BQ29" s="525" t="n"/>
      <c r="BR29" s="525" t="n"/>
      <c r="BS29" s="525" t="n"/>
      <c r="BT29" s="525" t="n"/>
      <c r="BU29" s="525" t="n"/>
      <c r="BV29" s="266" t="n"/>
      <c r="BW29" s="525" t="n"/>
      <c r="BX29" s="525" t="n"/>
      <c r="BY29" s="525" t="n"/>
      <c r="BZ29" s="525" t="n"/>
      <c r="CA29" s="525" t="n"/>
      <c r="CB29" s="266" t="n"/>
      <c r="CC29" s="525" t="n"/>
      <c r="CD29" s="525" t="n"/>
      <c r="CE29" s="265" t="n"/>
      <c r="CF29" s="525" t="n"/>
      <c r="CG29" s="525" t="n"/>
      <c r="CH29" s="525" t="n"/>
      <c r="CI29" s="525" t="n"/>
      <c r="CJ29" s="524" t="n"/>
      <c r="CK29" s="266" t="n"/>
      <c r="CL29" s="266" t="n"/>
      <c r="CM29" s="266" t="n"/>
      <c r="CN29" s="266" t="n"/>
      <c r="CO29" s="525" t="n"/>
      <c r="CP29" s="265" t="n"/>
      <c r="CQ29" s="74" t="n"/>
      <c r="CR29" s="75" t="n"/>
      <c r="CS29" s="76" t="n"/>
      <c r="CT29" s="76" t="n"/>
      <c r="CU29" s="91" t="n"/>
      <c r="CV29" s="141" t="n"/>
      <c r="CW29" s="162" t="n"/>
      <c r="CX29" s="162" t="n"/>
      <c r="CY29" s="162" t="n"/>
      <c r="CZ29" s="163" t="n"/>
      <c r="DA29" s="141" t="n"/>
      <c r="DB29" s="162" t="n"/>
      <c r="DC29" s="162" t="n"/>
      <c r="DD29" s="662" t="n"/>
      <c r="DE29" s="663" t="n"/>
      <c r="DF29" s="141" t="n"/>
      <c r="DG29" s="139" t="n"/>
      <c r="DH29" s="139" t="n"/>
      <c r="DI29" s="139" t="n"/>
      <c r="DJ29" s="147" t="n"/>
      <c r="DK29" s="664" t="n"/>
      <c r="DL29" s="162" t="n"/>
      <c r="DM29" s="162" t="n"/>
      <c r="DN29" s="162" t="n"/>
      <c r="DO29" s="162" t="n"/>
      <c r="DP29" s="201" t="n"/>
      <c r="DQ29" s="201" t="n"/>
      <c r="DR29" s="163" t="n"/>
      <c r="DS29" s="141" t="n"/>
      <c r="DT29" s="139" t="n"/>
      <c r="DU29" s="139" t="n"/>
      <c r="DV29" s="139" t="n"/>
      <c r="DW29" s="140" t="n"/>
      <c r="DX29" s="347" t="n"/>
      <c r="DY29" s="147" t="n"/>
      <c r="DZ29" s="141" t="n"/>
      <c r="EA29" s="684" t="n"/>
      <c r="EB29" s="665" t="n"/>
      <c r="EC29" s="139" t="n"/>
      <c r="ED29" s="147" t="n"/>
      <c r="EE29" s="141" t="n"/>
      <c r="EF29" s="139" t="n"/>
      <c r="EG29" s="139" t="n"/>
      <c r="EH29" s="139" t="n"/>
      <c r="EI29" s="140" t="n"/>
      <c r="EJ29" s="147" t="n"/>
      <c r="EK29" s="141" t="n"/>
      <c r="EL29" s="140" t="n"/>
      <c r="EM29" s="140" t="n"/>
      <c r="EN29" s="140" t="n"/>
      <c r="EO29" s="147" t="n"/>
      <c r="EP29" s="664" t="n"/>
      <c r="EQ29" s="141" t="n"/>
      <c r="ER29" s="140" t="n"/>
      <c r="ES29" s="147" t="n"/>
      <c r="ET29" s="107" t="n"/>
      <c r="EU29" s="587" t="n"/>
      <c r="EV29" s="587" t="n"/>
      <c r="EW29" s="141" t="n"/>
      <c r="EX29" s="140" t="n"/>
      <c r="EY29" s="140" t="n"/>
      <c r="EZ29" s="140" t="n"/>
      <c r="FA29" s="140" t="n"/>
      <c r="FB29" s="147" t="n"/>
      <c r="FC29" s="74" t="n"/>
      <c r="FD29" s="148" t="n"/>
      <c r="FE29" s="148" t="n"/>
      <c r="FF29" s="148" t="n"/>
      <c r="FG29" s="150" t="n"/>
      <c r="FH29" s="92" t="n"/>
      <c r="FI29" s="91" t="n"/>
      <c r="FJ29" s="74" t="n"/>
      <c r="FK29" s="92" t="n"/>
      <c r="FL29" s="148" t="n"/>
      <c r="FM29" s="149" t="n"/>
      <c r="FN29" s="150" t="n"/>
      <c r="FO29" s="99" t="n"/>
      <c r="FP29" s="100" t="n"/>
      <c r="FQ29" s="100" t="n"/>
      <c r="FR29" s="100" t="n"/>
      <c r="FS29" s="100" t="n"/>
      <c r="FT29" s="100" t="n"/>
      <c r="FU29" s="100" t="n"/>
      <c r="FV29" s="100" t="n"/>
      <c r="FW29" s="100" t="n"/>
      <c r="FX29" s="100" t="n"/>
      <c r="FY29" s="100" t="n"/>
      <c r="FZ29" s="102" t="n"/>
      <c r="GA29" s="266" t="n"/>
      <c r="GB29" s="525" t="n"/>
      <c r="GC29" s="525" t="n"/>
      <c r="GD29" s="265" t="n"/>
      <c r="GE29" s="266" t="n"/>
      <c r="GF29" s="525" t="n"/>
      <c r="GG29" s="525" t="n"/>
      <c r="GH29" s="265" t="n"/>
      <c r="GI29" s="31" t="n"/>
      <c r="GJ29" s="45" t="n"/>
      <c r="GK29" s="665" t="n"/>
      <c r="GL29" s="45" t="n"/>
      <c r="GM29" s="351" t="n"/>
      <c r="GN29" s="31" t="n"/>
      <c r="GO29" s="45" t="n"/>
      <c r="GP29" s="45" t="n"/>
      <c r="GQ29" s="667" t="n"/>
      <c r="GR29" s="668" t="n"/>
      <c r="GS29" s="107" t="n"/>
      <c r="GT29" s="587" t="n"/>
      <c r="GU29" s="108" t="n"/>
      <c r="GV29" s="266" t="n"/>
      <c r="GW29" s="525" t="n"/>
      <c r="GX29" s="265" t="n"/>
      <c r="GY29" s="266" t="n"/>
      <c r="GZ29" s="525" t="n"/>
      <c r="HA29" s="525" t="n"/>
      <c r="HB29" s="265" t="n"/>
      <c r="HC29" s="31" t="n"/>
      <c r="HD29" s="45" t="n"/>
      <c r="HE29" s="45" t="n"/>
      <c r="HF29" s="45" t="n"/>
      <c r="HG29" s="45" t="n"/>
      <c r="HH29" s="45" t="n"/>
      <c r="HI29" s="45" t="n"/>
      <c r="HJ29" s="45" t="n"/>
      <c r="HK29" s="45" t="n"/>
      <c r="HL29" s="45" t="n"/>
      <c r="HM29" s="45" t="n"/>
      <c r="HN29" s="351" t="n"/>
      <c r="HO29" s="606" t="n"/>
      <c r="HP29" s="65">
        <f>AVERAGE(G29,L29,N29)</f>
        <v/>
      </c>
      <c r="HQ29" s="66">
        <f>AVERAGE(E29,H29,O29,Q29,S29,V29,Z29)</f>
        <v/>
      </c>
      <c r="HR29" s="66">
        <f>AVERAGE(T29)</f>
        <v/>
      </c>
      <c r="HS29" s="66">
        <f>AVERAGE(P29)</f>
        <v/>
      </c>
      <c r="HT29" s="66">
        <f>AVERAGE(W29,R29,F29)</f>
        <v/>
      </c>
      <c r="HU29" s="66" t="n"/>
      <c r="HV29" s="66">
        <f>AVERAGE(X29)</f>
        <v/>
      </c>
      <c r="HW29" s="66" t="n"/>
      <c r="HX29" s="66" t="n"/>
      <c r="HY29" s="66">
        <f>AVERAGE(Y29)</f>
        <v/>
      </c>
    </row>
    <row r="30" ht="15.75" customHeight="1" s="590">
      <c r="B30" s="12" t="n">
        <v>24</v>
      </c>
      <c r="C30" s="13" t="inlineStr">
        <is>
          <t>052-25-126166</t>
        </is>
      </c>
      <c r="D30" s="14" t="inlineStr">
        <is>
          <t>Mohsin Muzafar</t>
        </is>
      </c>
      <c r="E30" s="274" t="n">
        <v>58.33</v>
      </c>
      <c r="F30" s="241" t="n">
        <v>62.22</v>
      </c>
      <c r="G30" s="526" t="n">
        <v>60.37</v>
      </c>
      <c r="H30" s="273" t="n">
        <v>77.5</v>
      </c>
      <c r="I30" s="274" t="n">
        <v>30.58</v>
      </c>
      <c r="J30" s="683" t="n"/>
      <c r="K30" s="665" t="n"/>
      <c r="L30" s="273" t="n">
        <v>28.93</v>
      </c>
      <c r="M30" s="663" t="n"/>
      <c r="N30" s="523" t="n">
        <v>66</v>
      </c>
      <c r="O30" s="524" t="n">
        <v>65.56</v>
      </c>
      <c r="P30" s="525" t="n">
        <v>52</v>
      </c>
      <c r="Q30" s="241" t="n">
        <v>81.20999999999999</v>
      </c>
      <c r="R30" s="273" t="n">
        <v>77.42</v>
      </c>
      <c r="S30" s="270" t="n">
        <v>85</v>
      </c>
      <c r="T30" s="262" t="n">
        <v>76.08</v>
      </c>
      <c r="U30" s="663" t="n"/>
      <c r="V30" s="274" t="n">
        <v>69.29000000000001</v>
      </c>
      <c r="W30" s="241" t="n">
        <v>73.47</v>
      </c>
      <c r="X30" s="273" t="n">
        <v>90</v>
      </c>
      <c r="Y30" s="273" t="n">
        <v>62.22</v>
      </c>
      <c r="Z30" s="273" t="n">
        <v>76</v>
      </c>
      <c r="AA30" s="269" t="n">
        <v>66.40000000000001</v>
      </c>
      <c r="AB30" s="269" t="n">
        <v>66.5</v>
      </c>
      <c r="AC30" s="269" t="n">
        <v>66.67</v>
      </c>
      <c r="AD30" s="264" t="n">
        <v>0</v>
      </c>
      <c r="AE30" s="241" t="n">
        <v>0</v>
      </c>
      <c r="AF30" s="241" t="n">
        <v>0</v>
      </c>
      <c r="AG30" s="241" t="n">
        <v>0</v>
      </c>
      <c r="AH30" s="526" t="n">
        <v>60.71</v>
      </c>
      <c r="AI30" s="526" t="n">
        <v>60</v>
      </c>
      <c r="AJ30" s="526" t="n">
        <v>39.33</v>
      </c>
      <c r="AK30" s="528" t="n">
        <v>58.39</v>
      </c>
      <c r="AL30" s="528" t="n">
        <v>97.5</v>
      </c>
      <c r="AM30" s="528" t="n">
        <v>16</v>
      </c>
      <c r="AN30" s="225" t="n">
        <v>23.33</v>
      </c>
      <c r="AO30" s="225" t="n">
        <v>28.19</v>
      </c>
      <c r="AP30" s="225" t="n">
        <v>62.83</v>
      </c>
      <c r="AQ30" s="263" t="n">
        <v>54.67</v>
      </c>
      <c r="AR30" s="528" t="n">
        <v>57.38</v>
      </c>
      <c r="AS30" s="528" t="n">
        <v>52.67</v>
      </c>
      <c r="AT30" s="262" t="n">
        <v>68</v>
      </c>
      <c r="AU30" s="261" t="n">
        <v>23.33</v>
      </c>
      <c r="AV30" s="263" t="n">
        <v>26.25</v>
      </c>
      <c r="AW30" s="263" t="n">
        <v>8.33</v>
      </c>
      <c r="AX30" s="263" t="n">
        <v>62.5</v>
      </c>
      <c r="AY30" s="262" t="n"/>
      <c r="AZ30" s="262" t="n"/>
      <c r="BA30" s="262" t="n"/>
      <c r="BB30" s="274" t="n"/>
      <c r="BC30" s="525" t="n"/>
      <c r="BD30" s="527" t="n"/>
      <c r="BE30" s="274" t="n"/>
      <c r="BF30" s="525" t="n"/>
      <c r="BG30" s="527" t="n"/>
      <c r="BH30" s="274" t="n"/>
      <c r="BI30" s="525" t="n"/>
      <c r="BJ30" s="525" t="n"/>
      <c r="BK30" s="525" t="n"/>
      <c r="BL30" s="525" t="n"/>
      <c r="BM30" s="525" t="n"/>
      <c r="BN30" s="527" t="n"/>
      <c r="BO30" s="525" t="n"/>
      <c r="BP30" s="525" t="n"/>
      <c r="BQ30" s="525" t="n"/>
      <c r="BR30" s="525" t="n"/>
      <c r="BS30" s="525" t="n"/>
      <c r="BT30" s="525" t="n"/>
      <c r="BU30" s="525" t="n"/>
      <c r="BV30" s="266" t="n"/>
      <c r="BW30" s="525" t="n"/>
      <c r="BX30" s="525" t="n"/>
      <c r="BY30" s="525" t="n"/>
      <c r="BZ30" s="525" t="n"/>
      <c r="CA30" s="525" t="n"/>
      <c r="CB30" s="266" t="n"/>
      <c r="CC30" s="525" t="n"/>
      <c r="CD30" s="525" t="n"/>
      <c r="CE30" s="265" t="n"/>
      <c r="CF30" s="525" t="n"/>
      <c r="CG30" s="525" t="n"/>
      <c r="CH30" s="525" t="n"/>
      <c r="CI30" s="525" t="n"/>
      <c r="CJ30" s="524" t="n"/>
      <c r="CK30" s="266" t="n"/>
      <c r="CL30" s="266" t="n"/>
      <c r="CM30" s="266" t="n"/>
      <c r="CN30" s="266" t="n"/>
      <c r="CO30" s="525" t="n"/>
      <c r="CP30" s="265" t="n"/>
      <c r="CQ30" s="74" t="n"/>
      <c r="CR30" s="75" t="n"/>
      <c r="CS30" s="76" t="n"/>
      <c r="CT30" s="76" t="n"/>
      <c r="CU30" s="91" t="n"/>
      <c r="CV30" s="141" t="n"/>
      <c r="CW30" s="162" t="n"/>
      <c r="CX30" s="162" t="n"/>
      <c r="CY30" s="162" t="n"/>
      <c r="CZ30" s="163" t="n"/>
      <c r="DA30" s="141" t="n"/>
      <c r="DB30" s="162" t="n"/>
      <c r="DC30" s="162" t="n"/>
      <c r="DD30" s="512" t="n"/>
      <c r="DE30" s="491" t="n"/>
      <c r="DF30" s="141" t="n"/>
      <c r="DG30" s="139" t="n"/>
      <c r="DH30" s="139" t="n"/>
      <c r="DI30" s="139" t="n"/>
      <c r="DJ30" s="347" t="n"/>
      <c r="DK30" s="348" t="n"/>
      <c r="DL30" s="162" t="n"/>
      <c r="DM30" s="162" t="n"/>
      <c r="DN30" s="162" t="n"/>
      <c r="DO30" s="162" t="n"/>
      <c r="DP30" s="201" t="n"/>
      <c r="DQ30" s="201" t="n"/>
      <c r="DR30" s="163" t="n"/>
      <c r="DS30" s="141" t="n"/>
      <c r="DT30" s="139" t="n"/>
      <c r="DU30" s="139" t="n"/>
      <c r="DV30" s="139" t="n"/>
      <c r="DW30" s="140" t="n"/>
      <c r="DX30" s="347" t="n"/>
      <c r="DY30" s="147" t="n"/>
      <c r="DZ30" s="141" t="n"/>
      <c r="EA30" s="349" t="n"/>
      <c r="EB30" s="349" t="n"/>
      <c r="EC30" s="139" t="n"/>
      <c r="ED30" s="147" t="n"/>
      <c r="EE30" s="141" t="n"/>
      <c r="EF30" s="139" t="n"/>
      <c r="EG30" s="139" t="n"/>
      <c r="EH30" s="139" t="n"/>
      <c r="EI30" s="140" t="n"/>
      <c r="EJ30" s="147" t="n"/>
      <c r="EK30" s="141" t="n"/>
      <c r="EL30" s="140" t="n"/>
      <c r="EM30" s="140" t="n"/>
      <c r="EN30" s="140" t="n"/>
      <c r="EO30" s="347" t="n"/>
      <c r="EP30" s="348" t="n"/>
      <c r="EQ30" s="141" t="n"/>
      <c r="ER30" s="140" t="n"/>
      <c r="ES30" s="147" t="n"/>
      <c r="ET30" s="107" t="n"/>
      <c r="EU30" s="587" t="n"/>
      <c r="EV30" s="587" t="n"/>
      <c r="EW30" s="141" t="n"/>
      <c r="EX30" s="140" t="n"/>
      <c r="EY30" s="140" t="n"/>
      <c r="EZ30" s="140" t="n"/>
      <c r="FA30" s="140" t="n"/>
      <c r="FB30" s="147" t="n"/>
      <c r="FC30" s="74" t="n"/>
      <c r="FD30" s="148" t="n"/>
      <c r="FE30" s="148" t="n"/>
      <c r="FF30" s="148" t="n"/>
      <c r="FG30" s="150" t="n"/>
      <c r="FH30" s="92" t="n"/>
      <c r="FI30" s="91" t="n"/>
      <c r="FJ30" s="74" t="n"/>
      <c r="FK30" s="92" t="n"/>
      <c r="FL30" s="148" t="n"/>
      <c r="FM30" s="149" t="n"/>
      <c r="FN30" s="150" t="n"/>
      <c r="FO30" s="99" t="n"/>
      <c r="FP30" s="100" t="n"/>
      <c r="FQ30" s="100" t="n"/>
      <c r="FR30" s="100" t="n"/>
      <c r="FS30" s="100" t="n"/>
      <c r="FT30" s="100" t="n"/>
      <c r="FU30" s="100" t="n"/>
      <c r="FV30" s="100" t="n"/>
      <c r="FW30" s="100" t="n"/>
      <c r="FX30" s="100" t="n"/>
      <c r="FY30" s="100" t="n"/>
      <c r="FZ30" s="102" t="n"/>
      <c r="GA30" s="266" t="n"/>
      <c r="GB30" s="525" t="n"/>
      <c r="GC30" s="525" t="n"/>
      <c r="GD30" s="265" t="n"/>
      <c r="GE30" s="266" t="n"/>
      <c r="GF30" s="525" t="n"/>
      <c r="GG30" s="525" t="n"/>
      <c r="GH30" s="265" t="n"/>
      <c r="GI30" s="31" t="n"/>
      <c r="GJ30" s="349" t="n"/>
      <c r="GK30" s="349" t="n"/>
      <c r="GL30" s="45" t="n"/>
      <c r="GM30" s="351" t="n"/>
      <c r="GN30" s="31" t="n"/>
      <c r="GO30" s="45" t="n"/>
      <c r="GP30" s="45" t="n"/>
      <c r="GQ30" s="350" t="n"/>
      <c r="GR30" s="351" t="n"/>
      <c r="GS30" s="107" t="n"/>
      <c r="GT30" s="587" t="n"/>
      <c r="GU30" s="108" t="n"/>
      <c r="GV30" s="266" t="n"/>
      <c r="GW30" s="525" t="n"/>
      <c r="GX30" s="265" t="n"/>
      <c r="GY30" s="266" t="n"/>
      <c r="GZ30" s="525" t="n"/>
      <c r="HA30" s="525" t="n"/>
      <c r="HB30" s="265" t="n"/>
      <c r="HC30" s="31" t="n"/>
      <c r="HD30" s="45" t="n"/>
      <c r="HE30" s="45" t="n"/>
      <c r="HF30" s="45" t="n"/>
      <c r="HG30" s="45" t="n"/>
      <c r="HH30" s="45" t="n"/>
      <c r="HI30" s="45" t="n"/>
      <c r="HJ30" s="45" t="n"/>
      <c r="HK30" s="45" t="n"/>
      <c r="HL30" s="45" t="n"/>
      <c r="HM30" s="45" t="n"/>
      <c r="HN30" s="351" t="n"/>
      <c r="HO30" s="606" t="n"/>
      <c r="HP30" s="65">
        <f>AVERAGE(G30,L30,N30)</f>
        <v/>
      </c>
      <c r="HQ30" s="66">
        <f>AVERAGE(E30,H30,O30,Q30,S30,V30,Z30)</f>
        <v/>
      </c>
      <c r="HR30" s="66">
        <f>AVERAGE(T30)</f>
        <v/>
      </c>
      <c r="HS30" s="66">
        <f>AVERAGE(P30)</f>
        <v/>
      </c>
      <c r="HT30" s="66">
        <f>AVERAGE(W30,R30,F30)</f>
        <v/>
      </c>
      <c r="HU30" s="66" t="n"/>
      <c r="HV30" s="66">
        <f>AVERAGE(X30)</f>
        <v/>
      </c>
      <c r="HW30" s="66" t="n"/>
      <c r="HX30" s="66" t="n"/>
      <c r="HY30" s="66">
        <f>AVERAGE(Y30)</f>
        <v/>
      </c>
    </row>
    <row r="31" ht="14.25" customHeight="1" s="590">
      <c r="B31" s="685" t="inlineStr">
        <is>
          <t>Class Average</t>
        </is>
      </c>
      <c r="C31" s="674" t="n"/>
      <c r="D31" s="686" t="n"/>
      <c r="E31" s="118">
        <f>AVERAGE(E7:E25)</f>
        <v/>
      </c>
      <c r="F31" s="118">
        <f>AVERAGE(F7:F25)</f>
        <v/>
      </c>
      <c r="G31" s="118">
        <f>AVERAGE(G7:G25)</f>
        <v/>
      </c>
      <c r="H31" s="118">
        <f>AVERAGE(H7:H25)</f>
        <v/>
      </c>
      <c r="I31" s="687">
        <f>AVERAGE(I7:I25)</f>
        <v/>
      </c>
      <c r="J31" s="603" t="n"/>
      <c r="K31" s="688" t="n"/>
      <c r="L31" s="687">
        <f>AVERAGE(L7:L25)</f>
        <v/>
      </c>
      <c r="M31" s="688" t="n"/>
      <c r="N31" s="118">
        <f>AVERAGE(N7:N25)</f>
        <v/>
      </c>
      <c r="O31" s="118">
        <f>AVERAGE(O7:O25)</f>
        <v/>
      </c>
      <c r="P31" s="118">
        <f>AVERAGE(P7:P25)</f>
        <v/>
      </c>
      <c r="Q31" s="118">
        <f>AVERAGE(Q7:Q25)</f>
        <v/>
      </c>
      <c r="R31" s="118">
        <f>AVERAGE(R7:R25)</f>
        <v/>
      </c>
      <c r="S31" s="514">
        <f>AVERAGE(S7:S25)</f>
        <v/>
      </c>
      <c r="T31" s="687">
        <f>AVERAGE(T7:T25)</f>
        <v/>
      </c>
      <c r="U31" s="688" t="n"/>
      <c r="V31" s="118">
        <f>AVERAGE(V7:V25)</f>
        <v/>
      </c>
      <c r="W31" s="118">
        <f>AVERAGE(W7:W25)</f>
        <v/>
      </c>
      <c r="X31" s="118">
        <f>AVERAGE(X7:X25)</f>
        <v/>
      </c>
      <c r="Y31" s="118">
        <f>AVERAGE(Y7:Y25)</f>
        <v/>
      </c>
      <c r="Z31" s="118">
        <f>AVERAGE(Z7:Z25)</f>
        <v/>
      </c>
      <c r="AA31" s="118">
        <f>AVERAGE(AA7:AA25)</f>
        <v/>
      </c>
      <c r="AB31" s="118">
        <f>AVERAGE(AB7:AB25)</f>
        <v/>
      </c>
      <c r="AC31" s="118">
        <f>AVERAGE(AC7:AC25)</f>
        <v/>
      </c>
      <c r="AD31" s="18">
        <f>AVERAGE(AD7:AD25)</f>
        <v/>
      </c>
      <c r="AE31" s="18">
        <f>AVERAGE(AE7:AE25)</f>
        <v/>
      </c>
      <c r="AF31" s="18">
        <f>AVERAGE(AF7:AF25)</f>
        <v/>
      </c>
      <c r="AG31" s="18">
        <f>AVERAGE(AG7:AG25)</f>
        <v/>
      </c>
      <c r="AH31" s="18">
        <f>AVERAGE(AH7:AH25)</f>
        <v/>
      </c>
      <c r="AI31" s="18">
        <f>AVERAGE(AI7:AI25)</f>
        <v/>
      </c>
      <c r="AJ31" s="18">
        <f>AVERAGE(AJ7:AJ25)</f>
        <v/>
      </c>
      <c r="AK31" s="118">
        <f>AVERAGE(AK7:AK25)</f>
        <v/>
      </c>
      <c r="AL31" s="18">
        <f>AVERAGE(AL7:AL25)</f>
        <v/>
      </c>
      <c r="AM31" s="199">
        <f>AVERAGE(AM7:AM25)</f>
        <v/>
      </c>
      <c r="AN31" s="18">
        <f>AVERAGE(AN7:AN25)</f>
        <v/>
      </c>
      <c r="AO31" s="18">
        <f>AVERAGE(AO7:AO25)</f>
        <v/>
      </c>
      <c r="AP31" s="18">
        <f>AVERAGE(AP7:AP25)</f>
        <v/>
      </c>
      <c r="AQ31" s="18">
        <f>AVERAGE(AQ7:AQ25)</f>
        <v/>
      </c>
      <c r="AR31" s="18">
        <f>AVERAGE(AR7:AR25)</f>
        <v/>
      </c>
      <c r="AS31" s="18">
        <f>AVERAGE(AS7:AS25)</f>
        <v/>
      </c>
      <c r="AT31" s="18">
        <f>AVERAGE(AT7:AT25)</f>
        <v/>
      </c>
      <c r="AU31" s="18">
        <f>AVERAGE(AU7:AU25)</f>
        <v/>
      </c>
      <c r="AV31" s="18">
        <f>AVERAGE(AV7:AV25)</f>
        <v/>
      </c>
      <c r="AW31" s="18">
        <f>AVERAGE(AW7:AW25)</f>
        <v/>
      </c>
      <c r="AX31" s="18">
        <f>AVERAGE(AX7:AX25)</f>
        <v/>
      </c>
      <c r="AY31" s="18">
        <f>AVERAGE(AY7:AY25)</f>
        <v/>
      </c>
      <c r="AZ31" s="18">
        <f>AVERAGE(AZ7:AZ25)</f>
        <v/>
      </c>
      <c r="BA31" s="18">
        <f>AVERAGE(BA7:BA25)</f>
        <v/>
      </c>
      <c r="BB31" s="18">
        <f>AVERAGE(BB7:BB25)</f>
        <v/>
      </c>
      <c r="BC31" s="18">
        <f>AVERAGE(BC7:BC25)</f>
        <v/>
      </c>
      <c r="BD31" s="18">
        <f>AVERAGE(BD7:BD25)</f>
        <v/>
      </c>
      <c r="BE31" s="18">
        <f>AVERAGE(BE7:BE25)</f>
        <v/>
      </c>
      <c r="BF31" s="18">
        <f>AVERAGE(BF7:BF25)</f>
        <v/>
      </c>
      <c r="BG31" s="18">
        <f>AVERAGE(BG7:BG25)</f>
        <v/>
      </c>
      <c r="BH31" s="18">
        <f>AVERAGE(BH7:BH25)</f>
        <v/>
      </c>
      <c r="BI31" s="18">
        <f>AVERAGE(BI7:BI25)</f>
        <v/>
      </c>
      <c r="BJ31" s="18">
        <f>AVERAGE(BJ7:BJ25)</f>
        <v/>
      </c>
      <c r="BK31" s="18">
        <f>AVERAGE(BK7:BK25)</f>
        <v/>
      </c>
      <c r="BL31" s="18">
        <f>AVERAGE(BL7:BL25)</f>
        <v/>
      </c>
      <c r="BM31" s="18">
        <f>AVERAGE(BM7:BM25)</f>
        <v/>
      </c>
      <c r="BN31" s="18">
        <f>AVERAGE(BN7:BN25)</f>
        <v/>
      </c>
      <c r="BO31" s="18">
        <f>AVERAGE(BO7:BO25)</f>
        <v/>
      </c>
      <c r="BP31" s="18">
        <f>AVERAGE(BP7:BP25)</f>
        <v/>
      </c>
      <c r="BQ31" s="18">
        <f>AVERAGE(BQ7:BQ25)</f>
        <v/>
      </c>
      <c r="BR31" s="18">
        <f>AVERAGE(BR7:BR25)</f>
        <v/>
      </c>
      <c r="BS31" s="18">
        <f>AVERAGE(BS7:BS25)</f>
        <v/>
      </c>
      <c r="BT31" s="18">
        <f>AVERAGE(BT7:BT25)</f>
        <v/>
      </c>
      <c r="BU31" s="18">
        <f>AVERAGE(BU7:BU25)</f>
        <v/>
      </c>
      <c r="BV31" s="18">
        <f>AVERAGE(BV7:BV25)</f>
        <v/>
      </c>
      <c r="BW31" s="18">
        <f>AVERAGE(BW7:BW25)</f>
        <v/>
      </c>
      <c r="BX31" s="18">
        <f>AVERAGE(BX7:BX25)</f>
        <v/>
      </c>
      <c r="BY31" s="18">
        <f>AVERAGE(BY7:BY25)</f>
        <v/>
      </c>
      <c r="BZ31" s="18">
        <f>AVERAGE(BZ7:BZ25)</f>
        <v/>
      </c>
      <c r="CA31" s="18">
        <f>AVERAGE(CA7:CA25)</f>
        <v/>
      </c>
      <c r="CB31" s="18">
        <f>AVERAGE(CB7:CB25)</f>
        <v/>
      </c>
      <c r="CC31" s="18">
        <f>AVERAGE(CC7:CC25)</f>
        <v/>
      </c>
      <c r="CD31" s="18">
        <f>AVERAGE(CD7:CD25)</f>
        <v/>
      </c>
      <c r="CE31" s="18">
        <f>AVERAGE(CE7:CE25)</f>
        <v/>
      </c>
      <c r="CF31" s="18">
        <f>AVERAGE(CF7:CF25)</f>
        <v/>
      </c>
      <c r="CG31" s="18">
        <f>AVERAGE(CG7:CG25)</f>
        <v/>
      </c>
      <c r="CH31" s="18">
        <f>AVERAGE(CH7:CH25)</f>
        <v/>
      </c>
      <c r="CI31" s="18">
        <f>AVERAGE(CI7:CI25)</f>
        <v/>
      </c>
      <c r="CJ31" s="503">
        <f>AVERAGE(CJ7:CJ25)</f>
        <v/>
      </c>
      <c r="CK31" s="18">
        <f>AVERAGE(CK7:CK25)</f>
        <v/>
      </c>
      <c r="CL31" s="18">
        <f>AVERAGE(CL7:CL25)</f>
        <v/>
      </c>
      <c r="CM31" s="18">
        <f>AVERAGE(CM7:CM25)</f>
        <v/>
      </c>
      <c r="CN31" s="18">
        <f>AVERAGE(CN7:CN25)</f>
        <v/>
      </c>
      <c r="CO31" s="18">
        <f>AVERAGE(CO7:CO25)</f>
        <v/>
      </c>
      <c r="CP31" s="18">
        <f>AVERAGE(CP7:CP25)</f>
        <v/>
      </c>
      <c r="CQ31" s="77">
        <f>AVERAGE(CQ7:CQ25)</f>
        <v/>
      </c>
      <c r="CR31" s="77">
        <f>AVERAGE(CR7:CR25)</f>
        <v/>
      </c>
      <c r="CS31" s="77">
        <f>AVERAGE(CS7:CS25)</f>
        <v/>
      </c>
      <c r="CT31" s="77">
        <f>AVERAGE(CT7:CT25)</f>
        <v/>
      </c>
      <c r="CU31" s="77">
        <f>AVERAGE(CU7:CU25)</f>
        <v/>
      </c>
      <c r="CV31" s="77">
        <f>AVERAGE(CV7:CV25)</f>
        <v/>
      </c>
      <c r="CW31" s="77">
        <f>AVERAGE(CW7:CW25)</f>
        <v/>
      </c>
      <c r="CX31" s="77">
        <f>AVERAGE(CX7:CX25)</f>
        <v/>
      </c>
      <c r="CY31" s="77">
        <f>AVERAGE(CY7:CY25)</f>
        <v/>
      </c>
      <c r="CZ31" s="77">
        <f>AVERAGE(CZ7:CZ25)</f>
        <v/>
      </c>
      <c r="DA31" s="77">
        <f>AVERAGE(DA7:DA25)</f>
        <v/>
      </c>
      <c r="DB31" s="77">
        <f>AVERAGE(DB7:DB25)</f>
        <v/>
      </c>
      <c r="DC31" s="77">
        <f>AVERAGE(DC7:DC25)</f>
        <v/>
      </c>
      <c r="DD31" s="77">
        <f>AVERAGE(DD7:DD25)</f>
        <v/>
      </c>
      <c r="DE31" s="77">
        <f>AVERAGE(DE7:DE25)</f>
        <v/>
      </c>
      <c r="DF31" s="77">
        <f>AVERAGE(DF7:DF25)</f>
        <v/>
      </c>
      <c r="DG31" s="77">
        <f>AVERAGE(DG7:DG25)</f>
        <v/>
      </c>
      <c r="DH31" s="77">
        <f>AVERAGE(DH7:DH25)</f>
        <v/>
      </c>
      <c r="DI31" s="77">
        <f>AVERAGE(DI7:DI25)</f>
        <v/>
      </c>
      <c r="DJ31" s="77">
        <f>AVERAGE(DJ7:DJ25)</f>
        <v/>
      </c>
      <c r="DK31" s="77">
        <f>AVERAGE(DK7:DK25)</f>
        <v/>
      </c>
      <c r="DL31" s="77">
        <f>AVERAGE(DL7:DL25)</f>
        <v/>
      </c>
      <c r="DM31" s="77">
        <f>AVERAGE(DM7:DM25)</f>
        <v/>
      </c>
      <c r="DN31" s="77">
        <f>AVERAGE(DN7:DN25)</f>
        <v/>
      </c>
      <c r="DO31" s="77">
        <f>AVERAGE(DO7:DO25)</f>
        <v/>
      </c>
      <c r="DP31" s="77">
        <f>AVERAGE(DP7:DP25)</f>
        <v/>
      </c>
      <c r="DQ31" s="77">
        <f>AVERAGE(DQ7:DQ25)</f>
        <v/>
      </c>
      <c r="DR31" s="77">
        <f>AVERAGE(DR7:DR25)</f>
        <v/>
      </c>
      <c r="DS31" s="77">
        <f>AVERAGE(DS7:DS25)</f>
        <v/>
      </c>
      <c r="DT31" s="77">
        <f>AVERAGE(DT7:DT25)</f>
        <v/>
      </c>
      <c r="DU31" s="77">
        <f>AVERAGE(DU7:DU25)</f>
        <v/>
      </c>
      <c r="DV31" s="77">
        <f>AVERAGE(DV7:DV25)</f>
        <v/>
      </c>
      <c r="DW31" s="77">
        <f>AVERAGE(DW7:DW25)</f>
        <v/>
      </c>
      <c r="DX31" s="77">
        <f>AVERAGE(DX7:DX25)</f>
        <v/>
      </c>
      <c r="DY31" s="77">
        <f>AVERAGE(DY7:DY25)</f>
        <v/>
      </c>
      <c r="DZ31" s="35">
        <f>AVERAGE(DZ7:DZ25)</f>
        <v/>
      </c>
      <c r="EA31" s="35">
        <f>AVERAGE(EA7:EA25)</f>
        <v/>
      </c>
      <c r="EB31" s="35">
        <f>AVERAGE(EB7:EB25)</f>
        <v/>
      </c>
      <c r="EC31" s="35">
        <f>AVERAGE(EC7:EC25)</f>
        <v/>
      </c>
      <c r="ED31" s="35">
        <f>AVERAGE(ED7:ED25)</f>
        <v/>
      </c>
      <c r="EE31" s="77">
        <f>AVERAGE(EE7:EE25)</f>
        <v/>
      </c>
      <c r="EF31" s="77">
        <f>AVERAGE(EF7:EF25)</f>
        <v/>
      </c>
      <c r="EG31" s="77">
        <f>AVERAGE(EG7:EG25)</f>
        <v/>
      </c>
      <c r="EH31" s="77">
        <f>AVERAGE(EH7:EH25)</f>
        <v/>
      </c>
      <c r="EI31" s="77">
        <f>AVERAGE(EI7:EI25)</f>
        <v/>
      </c>
      <c r="EJ31" s="77">
        <f>AVERAGE(EJ7:EJ25)</f>
        <v/>
      </c>
      <c r="EK31" s="77">
        <f>AVERAGE(EK7:EK25)</f>
        <v/>
      </c>
      <c r="EL31" s="77">
        <f>AVERAGE(EL7:EL25)</f>
        <v/>
      </c>
      <c r="EM31" s="77">
        <f>AVERAGE(EM7:EM25)</f>
        <v/>
      </c>
      <c r="EN31" s="77">
        <f>AVERAGE(EN7:EN25)</f>
        <v/>
      </c>
      <c r="EO31" s="669">
        <f>AVERAGE(EO7:EO25)</f>
        <v/>
      </c>
      <c r="EP31" s="670" t="n"/>
      <c r="EQ31" s="77">
        <f>AVERAGE(EQ7:EQ25)</f>
        <v/>
      </c>
      <c r="ER31" s="77">
        <f>AVERAGE(ER7:ER25)</f>
        <v/>
      </c>
      <c r="ES31" s="77">
        <f>AVERAGE(ES7:ES25)</f>
        <v/>
      </c>
      <c r="ET31" s="77">
        <f>AVERAGE(ET7:ET25)</f>
        <v/>
      </c>
      <c r="EU31" s="77">
        <f>AVERAGE(EU7:EU25)</f>
        <v/>
      </c>
      <c r="EV31" s="77">
        <f>AVERAGE(EV7:EV25)</f>
        <v/>
      </c>
      <c r="EW31" s="669">
        <f>AVERAGE(EW7:EW25)</f>
        <v/>
      </c>
      <c r="EX31" s="670" t="n"/>
      <c r="EY31" s="77">
        <f>AVERAGE(EY7:EY25)</f>
        <v/>
      </c>
      <c r="EZ31" s="77">
        <f>AVERAGE(EZ7:EZ25)</f>
        <v/>
      </c>
      <c r="FA31" s="77">
        <f>AVERAGE(FA7:FA25)</f>
        <v/>
      </c>
      <c r="FB31" s="77">
        <f>AVERAGE(FB7:FB25)</f>
        <v/>
      </c>
      <c r="FC31" s="77">
        <f>AVERAGE(FC7:FC25)</f>
        <v/>
      </c>
      <c r="FD31" s="78">
        <f>AVERAGE(FD7:FD25)</f>
        <v/>
      </c>
      <c r="FE31" s="79">
        <f>AVERAGE(FE7:FE25)</f>
        <v/>
      </c>
      <c r="FF31" s="79">
        <f>AVERAGE(FF7:FF25)</f>
        <v/>
      </c>
      <c r="FG31" s="79">
        <f>AVERAGE(FG7:FG25)</f>
        <v/>
      </c>
      <c r="FH31" s="94">
        <f>AVERAGE(FH7:FH25)</f>
        <v/>
      </c>
      <c r="FI31" s="35">
        <f>AVERAGE(FI7:FI25)</f>
        <v/>
      </c>
      <c r="FJ31" s="35">
        <f>AVERAGE(FJ7:FJ25)</f>
        <v/>
      </c>
      <c r="FK31" s="35">
        <f>AVERAGE(FK7:FK25)</f>
        <v/>
      </c>
      <c r="FL31" s="35">
        <f>AVERAGE(FL7:FL25)</f>
        <v/>
      </c>
      <c r="FM31" s="35">
        <f>AVERAGE(FM7:FM25)</f>
        <v/>
      </c>
      <c r="FN31" s="35">
        <f>AVERAGE(FN7:FN25)</f>
        <v/>
      </c>
      <c r="FO31" s="35">
        <f>AVERAGE(FO7:FO25)</f>
        <v/>
      </c>
      <c r="FP31" s="35">
        <f>AVERAGE(FP7:FP25)</f>
        <v/>
      </c>
      <c r="FQ31" s="35">
        <f>AVERAGE(FQ7:FQ25)</f>
        <v/>
      </c>
      <c r="FR31" s="35">
        <f>AVERAGE(FR7:FR25)</f>
        <v/>
      </c>
      <c r="FS31" s="35">
        <f>AVERAGE(FS7:FS25)</f>
        <v/>
      </c>
      <c r="FT31" s="35">
        <f>AVERAGE(FT7:FT25)</f>
        <v/>
      </c>
      <c r="FU31" s="35">
        <f>AVERAGE(FU7:FU25)</f>
        <v/>
      </c>
      <c r="FV31" s="35">
        <f>AVERAGE(FV7:FV25)</f>
        <v/>
      </c>
      <c r="FW31" s="35">
        <f>AVERAGE(FW7:FW25)</f>
        <v/>
      </c>
      <c r="FX31" s="35">
        <f>AVERAGE(FX7:FX25)</f>
        <v/>
      </c>
      <c r="FY31" s="35">
        <f>AVERAGE(FY7:FY25)</f>
        <v/>
      </c>
      <c r="FZ31" s="35">
        <f>AVERAGE(FZ7:FZ25)</f>
        <v/>
      </c>
      <c r="GA31" s="18">
        <f>AVERAGE(GA7:GA25)</f>
        <v/>
      </c>
      <c r="GB31" s="18">
        <f>AVERAGE(GB7:GB25)</f>
        <v/>
      </c>
      <c r="GC31" s="18">
        <f>AVERAGE(GC7:GC25)</f>
        <v/>
      </c>
      <c r="GD31" s="18">
        <f>AVERAGE(GD7:GD25)</f>
        <v/>
      </c>
      <c r="GE31" s="18">
        <f>AVERAGE(GE7:GE25)</f>
        <v/>
      </c>
      <c r="GF31" s="18">
        <f>AVERAGE(GF7:GF25)</f>
        <v/>
      </c>
      <c r="GG31" s="18">
        <f>AVERAGE(GG7:GG25)</f>
        <v/>
      </c>
      <c r="GH31" s="18">
        <f>AVERAGE(GH7:GH25)</f>
        <v/>
      </c>
      <c r="GI31" s="35">
        <f>AVERAGE(GI7:GI25)</f>
        <v/>
      </c>
      <c r="GJ31" s="35">
        <f>AVERAGE(GJ7:GJ25)</f>
        <v/>
      </c>
      <c r="GK31" s="35">
        <f>AVERAGE(GK7:GK25)</f>
        <v/>
      </c>
      <c r="GL31" s="35">
        <f>AVERAGE(GL7:GL25)</f>
        <v/>
      </c>
      <c r="GM31" s="35">
        <f>AVERAGE(GM7:GM25)</f>
        <v/>
      </c>
      <c r="GN31" s="35">
        <f>AVERAGE(GN7:GN25)</f>
        <v/>
      </c>
      <c r="GO31" s="35">
        <f>AVERAGE(GO7:GO25)</f>
        <v/>
      </c>
      <c r="GP31" s="35">
        <f>AVERAGE(GP7:GP25)</f>
        <v/>
      </c>
      <c r="GQ31" s="35">
        <f>AVERAGE(GQ7:GQ25)</f>
        <v/>
      </c>
      <c r="GR31" s="35">
        <f>AVERAGE(GR7:GR25)</f>
        <v/>
      </c>
      <c r="GS31" s="77">
        <f>AVERAGE(GS7:GS25)</f>
        <v/>
      </c>
      <c r="GT31" s="77">
        <f>AVERAGE(GT7:GT25)</f>
        <v/>
      </c>
      <c r="GU31" s="77">
        <f>AVERAGE(GU7:GU25)</f>
        <v/>
      </c>
      <c r="GV31" s="35">
        <f>AVERAGE(GV7:GV25)</f>
        <v/>
      </c>
      <c r="GW31" s="35">
        <f>AVERAGE(GW7:GW25)</f>
        <v/>
      </c>
      <c r="GX31" s="59">
        <f>AVERAGE(GX7:GX25)</f>
        <v/>
      </c>
      <c r="GY31" s="18">
        <f>AVERAGE(GY7:GY25)</f>
        <v/>
      </c>
      <c r="GZ31" s="18">
        <f>AVERAGE(GZ7:GZ25)</f>
        <v/>
      </c>
      <c r="HA31" s="18">
        <f>AVERAGE(HA7:HA25)</f>
        <v/>
      </c>
      <c r="HB31" s="18">
        <f>AVERAGE(HB7:HB25)</f>
        <v/>
      </c>
      <c r="HC31" s="59">
        <f>AVERAGE(HC7:HC25)</f>
        <v/>
      </c>
      <c r="HD31" s="59">
        <f>AVERAGE(HD7:HD25)</f>
        <v/>
      </c>
      <c r="HE31" s="59">
        <f>AVERAGE(HE7:HE25)</f>
        <v/>
      </c>
      <c r="HF31" s="59">
        <f>AVERAGE(HF7:HF25)</f>
        <v/>
      </c>
      <c r="HG31" s="59">
        <f>AVERAGE(HG7:HG25)</f>
        <v/>
      </c>
      <c r="HH31" s="59">
        <f>AVERAGE(HH7:HH25)</f>
        <v/>
      </c>
      <c r="HI31" s="59">
        <f>AVERAGE(HI7:HI25)</f>
        <v/>
      </c>
      <c r="HJ31" s="59">
        <f>AVERAGE(HJ7:HJ25)</f>
        <v/>
      </c>
      <c r="HK31" s="59">
        <f>AVERAGE(HK7:HK25)</f>
        <v/>
      </c>
      <c r="HL31" s="59">
        <f>AVERAGE(HL7:HL25)</f>
        <v/>
      </c>
      <c r="HM31" s="59">
        <f>AVERAGE(HM7:HM25)</f>
        <v/>
      </c>
      <c r="HN31" s="59">
        <f>AVERAGE(HN7:HN25)</f>
        <v/>
      </c>
      <c r="HO31" s="606" t="n"/>
      <c r="HP31" s="67">
        <f>AVERAGE(HP7:HP30)</f>
        <v/>
      </c>
      <c r="HQ31" s="67">
        <f>AVERAGE(HQ7:HQ30)</f>
        <v/>
      </c>
      <c r="HR31" s="67">
        <f>AVERAGE(HR7:HR30)</f>
        <v/>
      </c>
      <c r="HS31" s="67">
        <f>AVERAGE(HS7:HS30)</f>
        <v/>
      </c>
      <c r="HT31" s="67">
        <f>AVERAGE(HT7:HT30)</f>
        <v/>
      </c>
      <c r="HU31" s="67" t="n"/>
      <c r="HV31" s="67">
        <f>AVERAGE(HV7:HV30)</f>
        <v/>
      </c>
      <c r="HW31" s="67" t="inlineStr">
        <is>
          <t xml:space="preserve"> </t>
        </is>
      </c>
      <c r="HX31" s="67" t="inlineStr">
        <is>
          <t xml:space="preserve"> </t>
        </is>
      </c>
      <c r="HY31" s="67">
        <f>AVERAGE(HY7:HY30)</f>
        <v/>
      </c>
    </row>
  </sheetData>
  <mergeCells count="255">
    <mergeCell ref="L17:M17"/>
    <mergeCell ref="EO18:EP18"/>
    <mergeCell ref="GJ23:GK23"/>
    <mergeCell ref="AA5:AC5"/>
    <mergeCell ref="GQ18:GR18"/>
    <mergeCell ref="EO5:EP5"/>
    <mergeCell ref="GQ5:GR5"/>
    <mergeCell ref="HX4:HX6"/>
    <mergeCell ref="L19:M19"/>
    <mergeCell ref="CQ5:CS5"/>
    <mergeCell ref="CD5:CE5"/>
    <mergeCell ref="L28:M28"/>
    <mergeCell ref="DS6:DT6"/>
    <mergeCell ref="HP1:HY2"/>
    <mergeCell ref="I24:K24"/>
    <mergeCell ref="GI3:GM3"/>
    <mergeCell ref="L12:M12"/>
    <mergeCell ref="HC3:HN3"/>
    <mergeCell ref="FM5:FN5"/>
    <mergeCell ref="DJ18:DK18"/>
    <mergeCell ref="CQ3:CU3"/>
    <mergeCell ref="BV2:CP2"/>
    <mergeCell ref="I8:K8"/>
    <mergeCell ref="CQ1:HN1"/>
    <mergeCell ref="I17:K17"/>
    <mergeCell ref="L5:M5"/>
    <mergeCell ref="L14:M14"/>
    <mergeCell ref="DD29:DE29"/>
    <mergeCell ref="EA29:EB29"/>
    <mergeCell ref="EW31:EX31"/>
    <mergeCell ref="T12:U12"/>
    <mergeCell ref="I10:K10"/>
    <mergeCell ref="L29:M29"/>
    <mergeCell ref="GA3:GD3"/>
    <mergeCell ref="HY4:HY6"/>
    <mergeCell ref="BB6:BC6"/>
    <mergeCell ref="BT5:BU5"/>
    <mergeCell ref="DJ29:DK29"/>
    <mergeCell ref="EO7:EP7"/>
    <mergeCell ref="EA23:EB23"/>
    <mergeCell ref="L31:M31"/>
    <mergeCell ref="GQ13:GR13"/>
    <mergeCell ref="DD6:DE6"/>
    <mergeCell ref="CB3:CE3"/>
    <mergeCell ref="GJ24:GK24"/>
    <mergeCell ref="GJ18:GK18"/>
    <mergeCell ref="DZ5:EB5"/>
    <mergeCell ref="T7:U7"/>
    <mergeCell ref="L21:M21"/>
    <mergeCell ref="BP5:BS5"/>
    <mergeCell ref="HQ4:HQ6"/>
    <mergeCell ref="AH5:AJ5"/>
    <mergeCell ref="DJ6:DK6"/>
    <mergeCell ref="S3:U3"/>
    <mergeCell ref="GQ7:GR7"/>
    <mergeCell ref="T27:U27"/>
    <mergeCell ref="DZ3:ED3"/>
    <mergeCell ref="CI5:CJ5"/>
    <mergeCell ref="E2:Z2"/>
    <mergeCell ref="L7:M7"/>
    <mergeCell ref="I22:K22"/>
    <mergeCell ref="T24:U24"/>
    <mergeCell ref="GN3:GR3"/>
    <mergeCell ref="L16:M16"/>
    <mergeCell ref="I28:K28"/>
    <mergeCell ref="GJ6:GK6"/>
    <mergeCell ref="E5:F5"/>
    <mergeCell ref="CV3:CZ3"/>
    <mergeCell ref="EO24:EP24"/>
    <mergeCell ref="I12:K12"/>
    <mergeCell ref="GQ24:GR24"/>
    <mergeCell ref="DJ7:DK7"/>
    <mergeCell ref="I21:K21"/>
    <mergeCell ref="AU3:AX3"/>
    <mergeCell ref="DL3:DR3"/>
    <mergeCell ref="DD24:DE24"/>
    <mergeCell ref="DD18:DE18"/>
    <mergeCell ref="FA5:FB5"/>
    <mergeCell ref="HP4:HP6"/>
    <mergeCell ref="T10:U10"/>
    <mergeCell ref="HR4:HR6"/>
    <mergeCell ref="E3:H3"/>
    <mergeCell ref="I14:K14"/>
    <mergeCell ref="EA25:EB25"/>
    <mergeCell ref="T25:U25"/>
    <mergeCell ref="I23:K23"/>
    <mergeCell ref="EK5:EN5"/>
    <mergeCell ref="EO25:EP25"/>
    <mergeCell ref="T9:U9"/>
    <mergeCell ref="EW5:EZ5"/>
    <mergeCell ref="EA18:EB18"/>
    <mergeCell ref="GQ25:GR25"/>
    <mergeCell ref="L30:M30"/>
    <mergeCell ref="FC2:FZ2"/>
    <mergeCell ref="AL3:AM3"/>
    <mergeCell ref="EQ3:ES3"/>
    <mergeCell ref="GQ9:GR9"/>
    <mergeCell ref="EE3:EJ3"/>
    <mergeCell ref="T11:U11"/>
    <mergeCell ref="L20:M20"/>
    <mergeCell ref="EW3:FB3"/>
    <mergeCell ref="EA13:EB13"/>
    <mergeCell ref="V3:X3"/>
    <mergeCell ref="T22:U22"/>
    <mergeCell ref="AL5:AM5"/>
    <mergeCell ref="L22:M22"/>
    <mergeCell ref="T31:U31"/>
    <mergeCell ref="EA6:EB6"/>
    <mergeCell ref="BB3:BD3"/>
    <mergeCell ref="AD5:AF5"/>
    <mergeCell ref="L6:M6"/>
    <mergeCell ref="DJ9:DK9"/>
    <mergeCell ref="EO13:EP13"/>
    <mergeCell ref="DZ2:EV2"/>
    <mergeCell ref="I27:K27"/>
    <mergeCell ref="AN5:AP5"/>
    <mergeCell ref="B31:D31"/>
    <mergeCell ref="CF5:CH5"/>
    <mergeCell ref="BP6:BQ6"/>
    <mergeCell ref="BR6:BS6"/>
    <mergeCell ref="FH3:FI3"/>
    <mergeCell ref="BO3:BU3"/>
    <mergeCell ref="FC3:FG3"/>
    <mergeCell ref="I25:K25"/>
    <mergeCell ref="DS3:DY3"/>
    <mergeCell ref="DD23:DE23"/>
    <mergeCell ref="GN5:GP5"/>
    <mergeCell ref="EK3:EP3"/>
    <mergeCell ref="T15:U15"/>
    <mergeCell ref="Y3:Z3"/>
    <mergeCell ref="HU4:HU6"/>
    <mergeCell ref="T29:U29"/>
    <mergeCell ref="DD13:DE13"/>
    <mergeCell ref="FF5:FG5"/>
    <mergeCell ref="GA6:GD6"/>
    <mergeCell ref="CV5:CX5"/>
    <mergeCell ref="DL6:DN6"/>
    <mergeCell ref="FJ5:FL5"/>
    <mergeCell ref="GQ29:GR29"/>
    <mergeCell ref="ET3:EV3"/>
    <mergeCell ref="I5:K5"/>
    <mergeCell ref="Q5:R5"/>
    <mergeCell ref="L24:M24"/>
    <mergeCell ref="AN3:AT3"/>
    <mergeCell ref="L18:M18"/>
    <mergeCell ref="GV3:GX3"/>
    <mergeCell ref="EO9:EP9"/>
    <mergeCell ref="FJ3:FN3"/>
    <mergeCell ref="DF5:DI5"/>
    <mergeCell ref="I20:K20"/>
    <mergeCell ref="L8:M8"/>
    <mergeCell ref="AA3:AC3"/>
    <mergeCell ref="I29:K29"/>
    <mergeCell ref="CK3:CM3"/>
    <mergeCell ref="GJ13:GK13"/>
    <mergeCell ref="AU5:AX5"/>
    <mergeCell ref="L26:M26"/>
    <mergeCell ref="GJ7:GK7"/>
    <mergeCell ref="I3:M3"/>
    <mergeCell ref="BV3:CA3"/>
    <mergeCell ref="ET5:EV5"/>
    <mergeCell ref="CY5:CZ5"/>
    <mergeCell ref="DF3:DK3"/>
    <mergeCell ref="I13:K13"/>
    <mergeCell ref="L10:M10"/>
    <mergeCell ref="I31:K31"/>
    <mergeCell ref="AA2:AX2"/>
    <mergeCell ref="DD7:DE7"/>
    <mergeCell ref="L25:M25"/>
    <mergeCell ref="BH3:BN3"/>
    <mergeCell ref="GS3:GU3"/>
    <mergeCell ref="T8:U8"/>
    <mergeCell ref="AY3:BA3"/>
    <mergeCell ref="DJ23:DK23"/>
    <mergeCell ref="T17:U17"/>
    <mergeCell ref="I15:K15"/>
    <mergeCell ref="L9:M9"/>
    <mergeCell ref="AY2:BU2"/>
    <mergeCell ref="A1:A31"/>
    <mergeCell ref="T19:U19"/>
    <mergeCell ref="FO3:FZ3"/>
    <mergeCell ref="L11:M11"/>
    <mergeCell ref="I26:K26"/>
    <mergeCell ref="T28:U28"/>
    <mergeCell ref="DA5:DC5"/>
    <mergeCell ref="FC5:FE5"/>
    <mergeCell ref="GJ29:GK29"/>
    <mergeCell ref="I7:K7"/>
    <mergeCell ref="GI2:HN2"/>
    <mergeCell ref="I16:K16"/>
    <mergeCell ref="GQ6:GR6"/>
    <mergeCell ref="T30:U30"/>
    <mergeCell ref="GI5:GK5"/>
    <mergeCell ref="DA3:DE3"/>
    <mergeCell ref="GE3:GH3"/>
    <mergeCell ref="T20:U20"/>
    <mergeCell ref="N5:P5"/>
    <mergeCell ref="V5:W5"/>
    <mergeCell ref="GJ9:GK9"/>
    <mergeCell ref="CQ2:DY2"/>
    <mergeCell ref="T14:U14"/>
    <mergeCell ref="I18:K18"/>
    <mergeCell ref="GS6:GU6"/>
    <mergeCell ref="EA7:EB7"/>
    <mergeCell ref="DD25:DE25"/>
    <mergeCell ref="CN6:CO6"/>
    <mergeCell ref="L13:M13"/>
    <mergeCell ref="CN3:CP3"/>
    <mergeCell ref="DD9:DE9"/>
    <mergeCell ref="CT5:CU5"/>
    <mergeCell ref="DD5:DE5"/>
    <mergeCell ref="N3:R3"/>
    <mergeCell ref="EO29:EP29"/>
    <mergeCell ref="DJ25:DK25"/>
    <mergeCell ref="HS4:HS6"/>
    <mergeCell ref="GL5:GM5"/>
    <mergeCell ref="AD3:AJ3"/>
    <mergeCell ref="Y5:Z5"/>
    <mergeCell ref="L15:M15"/>
    <mergeCell ref="GY3:HB3"/>
    <mergeCell ref="L23:M23"/>
    <mergeCell ref="EO31:EP31"/>
    <mergeCell ref="T21:U21"/>
    <mergeCell ref="DJ5:DK5"/>
    <mergeCell ref="I19:K19"/>
    <mergeCell ref="GJ25:GK25"/>
    <mergeCell ref="T26:U26"/>
    <mergeCell ref="CF3:CJ3"/>
    <mergeCell ref="I9:K9"/>
    <mergeCell ref="G5:H5"/>
    <mergeCell ref="DJ13:DK13"/>
    <mergeCell ref="T23:U23"/>
    <mergeCell ref="BE3:BG3"/>
    <mergeCell ref="I30:K30"/>
    <mergeCell ref="HW4:HW6"/>
    <mergeCell ref="T13:U13"/>
    <mergeCell ref="B2:B6"/>
    <mergeCell ref="EO23:EP23"/>
    <mergeCell ref="I6:K6"/>
    <mergeCell ref="D2:D6"/>
    <mergeCell ref="I11:K11"/>
    <mergeCell ref="T16:U16"/>
    <mergeCell ref="GQ23:GR23"/>
    <mergeCell ref="HT4:HT6"/>
    <mergeCell ref="EA9:EB9"/>
    <mergeCell ref="HV4:HV6"/>
    <mergeCell ref="AY6:AZ6"/>
    <mergeCell ref="BH6:BL6"/>
    <mergeCell ref="EA24:EB24"/>
    <mergeCell ref="DJ24:DK24"/>
    <mergeCell ref="L27:M27"/>
    <mergeCell ref="HO1:HO31"/>
    <mergeCell ref="T18:U18"/>
    <mergeCell ref="AQ5:AT5"/>
    <mergeCell ref="EC5:ED5"/>
  </mergeCells>
  <conditionalFormatting sqref="S7 V31:DK31 AD7:AK30 AN19:AV19 AN26:AV26 AQ7:AV18 AQ20:AV25 AQ27:AV30 AW7:BT30">
    <cfRule type="cellIs" priority="101" operator="lessThan" dxfId="0">
      <formula>5</formula>
    </cfRule>
  </conditionalFormatting>
  <conditionalFormatting sqref="I8">
    <cfRule type="cellIs" priority="25" operator="lessThan" dxfId="0">
      <formula>5</formula>
    </cfRule>
  </conditionalFormatting>
  <conditionalFormatting sqref="S8">
    <cfRule type="cellIs" priority="109" operator="lessThan" dxfId="0">
      <formula>5</formula>
    </cfRule>
  </conditionalFormatting>
  <conditionalFormatting sqref="I9">
    <cfRule type="cellIs" priority="24" operator="lessThan" dxfId="0">
      <formula>5</formula>
    </cfRule>
  </conditionalFormatting>
  <conditionalFormatting sqref="S9">
    <cfRule type="cellIs" priority="104" operator="lessThan" dxfId="0">
      <formula>5</formula>
    </cfRule>
  </conditionalFormatting>
  <conditionalFormatting sqref="I10">
    <cfRule type="cellIs" priority="23" operator="lessThan" dxfId="0">
      <formula>5</formula>
    </cfRule>
  </conditionalFormatting>
  <conditionalFormatting sqref="S10">
    <cfRule type="cellIs" priority="103" operator="lessThan" dxfId="0">
      <formula>5</formula>
    </cfRule>
  </conditionalFormatting>
  <conditionalFormatting sqref="I11">
    <cfRule type="cellIs" priority="22" operator="lessThan" dxfId="0">
      <formula>5</formula>
    </cfRule>
  </conditionalFormatting>
  <conditionalFormatting sqref="S11">
    <cfRule type="cellIs" priority="102" operator="lessThan" dxfId="0">
      <formula>5</formula>
    </cfRule>
  </conditionalFormatting>
  <conditionalFormatting sqref="I12">
    <cfRule type="cellIs" priority="21" operator="lessThan" dxfId="0">
      <formula>5</formula>
    </cfRule>
  </conditionalFormatting>
  <conditionalFormatting sqref="I13">
    <cfRule type="cellIs" priority="20" operator="lessThan" dxfId="0">
      <formula>5</formula>
    </cfRule>
  </conditionalFormatting>
  <conditionalFormatting sqref="S13">
    <cfRule type="cellIs" priority="108" operator="lessThan" dxfId="0">
      <formula>5</formula>
    </cfRule>
  </conditionalFormatting>
  <conditionalFormatting sqref="I14">
    <cfRule type="cellIs" priority="19" operator="lessThan" dxfId="0">
      <formula>5</formula>
    </cfRule>
  </conditionalFormatting>
  <conditionalFormatting sqref="S14">
    <cfRule type="cellIs" priority="107" operator="lessThan" dxfId="0">
      <formula>5</formula>
    </cfRule>
  </conditionalFormatting>
  <conditionalFormatting sqref="I15">
    <cfRule type="cellIs" priority="18" operator="lessThan" dxfId="0">
      <formula>5</formula>
    </cfRule>
  </conditionalFormatting>
  <conditionalFormatting sqref="S15">
    <cfRule type="cellIs" priority="106" operator="lessThan" dxfId="0">
      <formula>5</formula>
    </cfRule>
  </conditionalFormatting>
  <conditionalFormatting sqref="I16">
    <cfRule type="cellIs" priority="17" operator="lessThan" dxfId="0">
      <formula>5</formula>
    </cfRule>
  </conditionalFormatting>
  <conditionalFormatting sqref="S16">
    <cfRule type="cellIs" priority="105" operator="lessThan" dxfId="0">
      <formula>5</formula>
    </cfRule>
  </conditionalFormatting>
  <conditionalFormatting sqref="I17">
    <cfRule type="cellIs" priority="16" operator="lessThan" dxfId="0">
      <formula>5</formula>
    </cfRule>
  </conditionalFormatting>
  <conditionalFormatting sqref="S17">
    <cfRule type="cellIs" priority="124" operator="lessThan" dxfId="0">
      <formula>5</formula>
    </cfRule>
  </conditionalFormatting>
  <conditionalFormatting sqref="I18">
    <cfRule type="cellIs" priority="15" operator="lessThan" dxfId="0">
      <formula>5</formula>
    </cfRule>
  </conditionalFormatting>
  <conditionalFormatting sqref="S18">
    <cfRule type="cellIs" priority="87" operator="lessThan" dxfId="0">
      <formula>5</formula>
    </cfRule>
  </conditionalFormatting>
  <conditionalFormatting sqref="I19">
    <cfRule type="cellIs" priority="14" operator="lessThan" dxfId="0">
      <formula>5</formula>
    </cfRule>
  </conditionalFormatting>
  <conditionalFormatting sqref="S19">
    <cfRule type="cellIs" priority="86" operator="lessThan" dxfId="0">
      <formula>5</formula>
    </cfRule>
  </conditionalFormatting>
  <conditionalFormatting sqref="I20">
    <cfRule type="cellIs" priority="13" operator="lessThan" dxfId="0">
      <formula>5</formula>
    </cfRule>
  </conditionalFormatting>
  <conditionalFormatting sqref="S20">
    <cfRule type="cellIs" priority="88" operator="lessThan" dxfId="0">
      <formula>5</formula>
    </cfRule>
  </conditionalFormatting>
  <conditionalFormatting sqref="I21">
    <cfRule type="cellIs" priority="12" operator="lessThan" dxfId="0">
      <formula>5</formula>
    </cfRule>
  </conditionalFormatting>
  <conditionalFormatting sqref="S21">
    <cfRule type="cellIs" priority="89" operator="lessThan" dxfId="0">
      <formula>5</formula>
    </cfRule>
  </conditionalFormatting>
  <conditionalFormatting sqref="I22">
    <cfRule type="cellIs" priority="11" operator="lessThan" dxfId="0">
      <formula>5</formula>
    </cfRule>
  </conditionalFormatting>
  <conditionalFormatting sqref="S22">
    <cfRule type="cellIs" priority="123" operator="lessThan" dxfId="0">
      <formula>5</formula>
    </cfRule>
  </conditionalFormatting>
  <conditionalFormatting sqref="I23">
    <cfRule type="cellIs" priority="10" operator="lessThan" dxfId="0">
      <formula>5</formula>
    </cfRule>
  </conditionalFormatting>
  <conditionalFormatting sqref="S23">
    <cfRule type="cellIs" priority="122" operator="lessThan" dxfId="0">
      <formula>5</formula>
    </cfRule>
  </conditionalFormatting>
  <conditionalFormatting sqref="DD23">
    <cfRule type="cellIs" priority="235" operator="lessThan" dxfId="0">
      <formula>5</formula>
    </cfRule>
  </conditionalFormatting>
  <conditionalFormatting sqref="DJ23">
    <cfRule type="cellIs" priority="241" operator="lessThan" dxfId="0">
      <formula>5</formula>
    </cfRule>
  </conditionalFormatting>
  <conditionalFormatting sqref="EK23:EO23">
    <cfRule type="cellIs" priority="222" operator="lessThan" dxfId="0">
      <formula>5</formula>
    </cfRule>
  </conditionalFormatting>
  <conditionalFormatting sqref="EW23">
    <cfRule type="cellIs" priority="184" operator="lessThan" dxfId="0">
      <formula>5</formula>
    </cfRule>
  </conditionalFormatting>
  <conditionalFormatting sqref="EX23">
    <cfRule type="cellIs" priority="183" operator="lessThan" dxfId="0">
      <formula>5</formula>
    </cfRule>
  </conditionalFormatting>
  <conditionalFormatting sqref="EY23">
    <cfRule type="cellIs" priority="182" operator="lessThan" dxfId="0">
      <formula>5</formula>
    </cfRule>
  </conditionalFormatting>
  <conditionalFormatting sqref="EZ23">
    <cfRule type="cellIs" priority="181" operator="lessThan" dxfId="0">
      <formula>5</formula>
    </cfRule>
  </conditionalFormatting>
  <conditionalFormatting sqref="FA23">
    <cfRule type="cellIs" priority="180" operator="lessThan" dxfId="0">
      <formula>5</formula>
    </cfRule>
  </conditionalFormatting>
  <conditionalFormatting sqref="FB23">
    <cfRule type="cellIs" priority="179" operator="lessThan" dxfId="0">
      <formula>5</formula>
    </cfRule>
  </conditionalFormatting>
  <conditionalFormatting sqref="I24">
    <cfRule type="cellIs" priority="9" operator="lessThan" dxfId="0">
      <formula>5</formula>
    </cfRule>
  </conditionalFormatting>
  <conditionalFormatting sqref="S24">
    <cfRule type="cellIs" priority="121" operator="lessThan" dxfId="0">
      <formula>5</formula>
    </cfRule>
  </conditionalFormatting>
  <conditionalFormatting sqref="DD24">
    <cfRule type="cellIs" priority="234" operator="lessThan" dxfId="0">
      <formula>5</formula>
    </cfRule>
  </conditionalFormatting>
  <conditionalFormatting sqref="DJ24">
    <cfRule type="cellIs" priority="240" operator="lessThan" dxfId="0">
      <formula>5</formula>
    </cfRule>
  </conditionalFormatting>
  <conditionalFormatting sqref="EK24:EO24">
    <cfRule type="cellIs" priority="221" operator="lessThan" dxfId="0">
      <formula>5</formula>
    </cfRule>
  </conditionalFormatting>
  <conditionalFormatting sqref="EW24">
    <cfRule type="cellIs" priority="178" operator="lessThan" dxfId="0">
      <formula>5</formula>
    </cfRule>
  </conditionalFormatting>
  <conditionalFormatting sqref="EX24">
    <cfRule type="cellIs" priority="177" operator="lessThan" dxfId="0">
      <formula>5</formula>
    </cfRule>
  </conditionalFormatting>
  <conditionalFormatting sqref="EY24">
    <cfRule type="cellIs" priority="176" operator="lessThan" dxfId="0">
      <formula>5</formula>
    </cfRule>
  </conditionalFormatting>
  <conditionalFormatting sqref="EZ24">
    <cfRule type="cellIs" priority="175" operator="lessThan" dxfId="0">
      <formula>5</formula>
    </cfRule>
  </conditionalFormatting>
  <conditionalFormatting sqref="FA24">
    <cfRule type="cellIs" priority="174" operator="lessThan" dxfId="0">
      <formula>5</formula>
    </cfRule>
  </conditionalFormatting>
  <conditionalFormatting sqref="FB24">
    <cfRule type="cellIs" priority="173" operator="lessThan" dxfId="0">
      <formula>5</formula>
    </cfRule>
  </conditionalFormatting>
  <conditionalFormatting sqref="I25">
    <cfRule type="cellIs" priority="8" operator="lessThan" dxfId="0">
      <formula>5</formula>
    </cfRule>
  </conditionalFormatting>
  <conditionalFormatting sqref="S25">
    <cfRule type="cellIs" priority="92" operator="lessThan" dxfId="0">
      <formula>5</formula>
    </cfRule>
  </conditionalFormatting>
  <conditionalFormatting sqref="I26">
    <cfRule type="cellIs" priority="7" operator="lessThan" dxfId="0">
      <formula>5</formula>
    </cfRule>
  </conditionalFormatting>
  <conditionalFormatting sqref="S26">
    <cfRule type="cellIs" priority="91" operator="lessThan" dxfId="0">
      <formula>5</formula>
    </cfRule>
  </conditionalFormatting>
  <conditionalFormatting sqref="I27">
    <cfRule type="cellIs" priority="6" operator="lessThan" dxfId="0">
      <formula>5</formula>
    </cfRule>
  </conditionalFormatting>
  <conditionalFormatting sqref="S27">
    <cfRule type="cellIs" priority="90" operator="lessThan" dxfId="0">
      <formula>5</formula>
    </cfRule>
  </conditionalFormatting>
  <conditionalFormatting sqref="I28">
    <cfRule type="cellIs" priority="5" operator="lessThan" dxfId="0">
      <formula>5</formula>
    </cfRule>
  </conditionalFormatting>
  <conditionalFormatting sqref="S28">
    <cfRule type="cellIs" priority="120" operator="lessThan" dxfId="0">
      <formula>5</formula>
    </cfRule>
  </conditionalFormatting>
  <conditionalFormatting sqref="I29">
    <cfRule type="cellIs" priority="4" operator="lessThan" dxfId="0">
      <formula>5</formula>
    </cfRule>
  </conditionalFormatting>
  <conditionalFormatting sqref="S29">
    <cfRule type="cellIs" priority="85" operator="lessThan" dxfId="0">
      <formula>5</formula>
    </cfRule>
  </conditionalFormatting>
  <conditionalFormatting sqref="I30">
    <cfRule type="cellIs" priority="3" operator="lessThan" dxfId="0">
      <formula>5</formula>
    </cfRule>
  </conditionalFormatting>
  <conditionalFormatting sqref="S30">
    <cfRule type="cellIs" priority="84" operator="lessThan" dxfId="0">
      <formula>5</formula>
    </cfRule>
  </conditionalFormatting>
  <conditionalFormatting sqref="V30:Z30">
    <cfRule type="cellIs" priority="129" operator="lessThan" dxfId="0">
      <formula>5</formula>
    </cfRule>
  </conditionalFormatting>
  <conditionalFormatting sqref="GY31">
    <cfRule type="cellIs" priority="292" operator="lessThan" dxfId="0">
      <formula>5</formula>
    </cfRule>
  </conditionalFormatting>
  <conditionalFormatting sqref="GZ31">
    <cfRule type="cellIs" priority="291" operator="lessThan" dxfId="0">
      <formula>5</formula>
    </cfRule>
  </conditionalFormatting>
  <conditionalFormatting sqref="HA31">
    <cfRule type="cellIs" priority="290" operator="lessThan" dxfId="0">
      <formula>5</formula>
    </cfRule>
  </conditionalFormatting>
  <conditionalFormatting sqref="HB31">
    <cfRule type="cellIs" priority="289" operator="lessThan" dxfId="0">
      <formula>5</formula>
    </cfRule>
  </conditionalFormatting>
  <conditionalFormatting sqref="L7:L30">
    <cfRule type="cellIs" priority="137" operator="lessThan" dxfId="0">
      <formula>5</formula>
    </cfRule>
  </conditionalFormatting>
  <conditionalFormatting sqref="T7:T30">
    <cfRule type="cellIs" priority="26" operator="lessThan" dxfId="0">
      <formula>5</formula>
    </cfRule>
  </conditionalFormatting>
  <conditionalFormatting sqref="CM7:CM28">
    <cfRule type="cellIs" priority="165" operator="lessThan" dxfId="0">
      <formula>5</formula>
    </cfRule>
  </conditionalFormatting>
  <conditionalFormatting sqref="CM29:CM30">
    <cfRule type="cellIs" priority="164" operator="lessThan" dxfId="0">
      <formula>5</formula>
    </cfRule>
  </conditionalFormatting>
  <conditionalFormatting sqref="CV29:CV30">
    <cfRule type="cellIs" priority="246" operator="lessThan" dxfId="0">
      <formula>5</formula>
    </cfRule>
  </conditionalFormatting>
  <conditionalFormatting sqref="DA25:DA30">
    <cfRule type="cellIs" priority="248" operator="lessThan" dxfId="0">
      <formula>5</formula>
    </cfRule>
  </conditionalFormatting>
  <conditionalFormatting sqref="DD9:DD12">
    <cfRule type="cellIs" priority="238" operator="lessThan" dxfId="0">
      <formula>5</formula>
    </cfRule>
  </conditionalFormatting>
  <conditionalFormatting sqref="DD13:DD17">
    <cfRule type="cellIs" priority="237" operator="lessThan" dxfId="0">
      <formula>5</formula>
    </cfRule>
  </conditionalFormatting>
  <conditionalFormatting sqref="DD18:DD22">
    <cfRule type="cellIs" priority="236" operator="lessThan" dxfId="0">
      <formula>5</formula>
    </cfRule>
  </conditionalFormatting>
  <conditionalFormatting sqref="DD25:DD28">
    <cfRule type="cellIs" priority="233" operator="lessThan" dxfId="0">
      <formula>5</formula>
    </cfRule>
  </conditionalFormatting>
  <conditionalFormatting sqref="DD29:DD30">
    <cfRule type="cellIs" priority="232" operator="lessThan" dxfId="0">
      <formula>5</formula>
    </cfRule>
  </conditionalFormatting>
  <conditionalFormatting sqref="DJ9:DJ12">
    <cfRule type="cellIs" priority="244" operator="lessThan" dxfId="0">
      <formula>5</formula>
    </cfRule>
  </conditionalFormatting>
  <conditionalFormatting sqref="DJ13:DJ17">
    <cfRule type="cellIs" priority="243" operator="lessThan" dxfId="0">
      <formula>5</formula>
    </cfRule>
  </conditionalFormatting>
  <conditionalFormatting sqref="DJ18:DJ22">
    <cfRule type="cellIs" priority="242" operator="lessThan" dxfId="0">
      <formula>5</formula>
    </cfRule>
  </conditionalFormatting>
  <conditionalFormatting sqref="DJ25:DJ28">
    <cfRule type="cellIs" priority="239" operator="lessThan" dxfId="0">
      <formula>5</formula>
    </cfRule>
  </conditionalFormatting>
  <conditionalFormatting sqref="DZ29:DZ30">
    <cfRule type="cellIs" priority="305" operator="lessThan" dxfId="0">
      <formula>5</formula>
    </cfRule>
  </conditionalFormatting>
  <conditionalFormatting sqref="EA29:EA30">
    <cfRule type="cellIs" priority="309" operator="lessThan" dxfId="0">
      <formula>5</formula>
    </cfRule>
  </conditionalFormatting>
  <conditionalFormatting sqref="EC29:EC30">
    <cfRule type="cellIs" priority="300" operator="lessThan" dxfId="0">
      <formula>5</formula>
    </cfRule>
  </conditionalFormatting>
  <conditionalFormatting sqref="ED29:ED30">
    <cfRule type="cellIs" priority="301" operator="lessThan" dxfId="0">
      <formula>5</formula>
    </cfRule>
  </conditionalFormatting>
  <conditionalFormatting sqref="ER29:ER30">
    <cfRule type="cellIs" priority="293" operator="lessThan" dxfId="0">
      <formula>5</formula>
    </cfRule>
  </conditionalFormatting>
  <conditionalFormatting sqref="EW7:EW8">
    <cfRule type="cellIs" priority="208" operator="lessThan" dxfId="0">
      <formula>5</formula>
    </cfRule>
  </conditionalFormatting>
  <conditionalFormatting sqref="EW9:EW12">
    <cfRule type="cellIs" priority="202" operator="lessThan" dxfId="0">
      <formula>5</formula>
    </cfRule>
  </conditionalFormatting>
  <conditionalFormatting sqref="EW13:EW17">
    <cfRule type="cellIs" priority="196" operator="lessThan" dxfId="0">
      <formula>5</formula>
    </cfRule>
  </conditionalFormatting>
  <conditionalFormatting sqref="EW18:EW22">
    <cfRule type="cellIs" priority="190" operator="lessThan" dxfId="0">
      <formula>5</formula>
    </cfRule>
  </conditionalFormatting>
  <conditionalFormatting sqref="EW25:EW28">
    <cfRule type="cellIs" priority="172" operator="lessThan" dxfId="0">
      <formula>5</formula>
    </cfRule>
  </conditionalFormatting>
  <conditionalFormatting sqref="EW29:EW30">
    <cfRule type="cellIs" priority="283" operator="lessThan" dxfId="0">
      <formula>5</formula>
    </cfRule>
  </conditionalFormatting>
  <conditionalFormatting sqref="EX7:EX8">
    <cfRule type="cellIs" priority="207" operator="lessThan" dxfId="0">
      <formula>5</formula>
    </cfRule>
  </conditionalFormatting>
  <conditionalFormatting sqref="EX9:EX12">
    <cfRule type="cellIs" priority="201" operator="lessThan" dxfId="0">
      <formula>5</formula>
    </cfRule>
  </conditionalFormatting>
  <conditionalFormatting sqref="EX13:EX17">
    <cfRule type="cellIs" priority="195" operator="lessThan" dxfId="0">
      <formula>5</formula>
    </cfRule>
  </conditionalFormatting>
  <conditionalFormatting sqref="EX18:EX22">
    <cfRule type="cellIs" priority="189" operator="lessThan" dxfId="0">
      <formula>5</formula>
    </cfRule>
  </conditionalFormatting>
  <conditionalFormatting sqref="EX25:EX28">
    <cfRule type="cellIs" priority="171" operator="lessThan" dxfId="0">
      <formula>5</formula>
    </cfRule>
  </conditionalFormatting>
  <conditionalFormatting sqref="EX29:EX30">
    <cfRule type="cellIs" priority="277" operator="lessThan" dxfId="0">
      <formula>5</formula>
    </cfRule>
  </conditionalFormatting>
  <conditionalFormatting sqref="EY7:EY8">
    <cfRule type="cellIs" priority="206" operator="lessThan" dxfId="0">
      <formula>5</formula>
    </cfRule>
  </conditionalFormatting>
  <conditionalFormatting sqref="EY9:EY12">
    <cfRule type="cellIs" priority="200" operator="lessThan" dxfId="0">
      <formula>5</formula>
    </cfRule>
  </conditionalFormatting>
  <conditionalFormatting sqref="EY13:EY17">
    <cfRule type="cellIs" priority="194" operator="lessThan" dxfId="0">
      <formula>5</formula>
    </cfRule>
  </conditionalFormatting>
  <conditionalFormatting sqref="EY18:EY22">
    <cfRule type="cellIs" priority="188" operator="lessThan" dxfId="0">
      <formula>5</formula>
    </cfRule>
  </conditionalFormatting>
  <conditionalFormatting sqref="EY25:EY28">
    <cfRule type="cellIs" priority="170" operator="lessThan" dxfId="0">
      <formula>5</formula>
    </cfRule>
  </conditionalFormatting>
  <conditionalFormatting sqref="EY29:EY30">
    <cfRule type="cellIs" priority="271" operator="lessThan" dxfId="0">
      <formula>5</formula>
    </cfRule>
  </conditionalFormatting>
  <conditionalFormatting sqref="EZ7:EZ8">
    <cfRule type="cellIs" priority="205" operator="lessThan" dxfId="0">
      <formula>5</formula>
    </cfRule>
  </conditionalFormatting>
  <conditionalFormatting sqref="EZ9:EZ12">
    <cfRule type="cellIs" priority="199" operator="lessThan" dxfId="0">
      <formula>5</formula>
    </cfRule>
  </conditionalFormatting>
  <conditionalFormatting sqref="EZ13:EZ17">
    <cfRule type="cellIs" priority="193" operator="lessThan" dxfId="0">
      <formula>5</formula>
    </cfRule>
  </conditionalFormatting>
  <conditionalFormatting sqref="EZ18:EZ22">
    <cfRule type="cellIs" priority="187" operator="lessThan" dxfId="0">
      <formula>5</formula>
    </cfRule>
  </conditionalFormatting>
  <conditionalFormatting sqref="EZ25:EZ28">
    <cfRule type="cellIs" priority="169" operator="lessThan" dxfId="0">
      <formula>5</formula>
    </cfRule>
  </conditionalFormatting>
  <conditionalFormatting sqref="EZ29:EZ30">
    <cfRule type="cellIs" priority="265" operator="lessThan" dxfId="0">
      <formula>5</formula>
    </cfRule>
  </conditionalFormatting>
  <conditionalFormatting sqref="FA7:FA8">
    <cfRule type="cellIs" priority="204" operator="lessThan" dxfId="0">
      <formula>5</formula>
    </cfRule>
  </conditionalFormatting>
  <conditionalFormatting sqref="FA9:FA12">
    <cfRule type="cellIs" priority="198" operator="lessThan" dxfId="0">
      <formula>5</formula>
    </cfRule>
  </conditionalFormatting>
  <conditionalFormatting sqref="FA13:FA17">
    <cfRule type="cellIs" priority="192" operator="lessThan" dxfId="0">
      <formula>5</formula>
    </cfRule>
  </conditionalFormatting>
  <conditionalFormatting sqref="FA18:FA22">
    <cfRule type="cellIs" priority="186" operator="lessThan" dxfId="0">
      <formula>5</formula>
    </cfRule>
  </conditionalFormatting>
  <conditionalFormatting sqref="FA25:FA28">
    <cfRule type="cellIs" priority="168" operator="lessThan" dxfId="0">
      <formula>5</formula>
    </cfRule>
  </conditionalFormatting>
  <conditionalFormatting sqref="FA29:FA30">
    <cfRule type="cellIs" priority="259" operator="lessThan" dxfId="0">
      <formula>5</formula>
    </cfRule>
  </conditionalFormatting>
  <conditionalFormatting sqref="FB7:FB8">
    <cfRule type="cellIs" priority="203" operator="lessThan" dxfId="0">
      <formula>5</formula>
    </cfRule>
  </conditionalFormatting>
  <conditionalFormatting sqref="FB9:FB12">
    <cfRule type="cellIs" priority="197" operator="lessThan" dxfId="0">
      <formula>5</formula>
    </cfRule>
  </conditionalFormatting>
  <conditionalFormatting sqref="FB13:FB17">
    <cfRule type="cellIs" priority="191" operator="lessThan" dxfId="0">
      <formula>5</formula>
    </cfRule>
  </conditionalFormatting>
  <conditionalFormatting sqref="FB18:FB22">
    <cfRule type="cellIs" priority="185" operator="lessThan" dxfId="0">
      <formula>5</formula>
    </cfRule>
  </conditionalFormatting>
  <conditionalFormatting sqref="FB25:FB28">
    <cfRule type="cellIs" priority="167" operator="lessThan" dxfId="0">
      <formula>5</formula>
    </cfRule>
  </conditionalFormatting>
  <conditionalFormatting sqref="FB29:FB30">
    <cfRule type="cellIs" priority="253" operator="lessThan" dxfId="0">
      <formula>5</formula>
    </cfRule>
  </conditionalFormatting>
  <conditionalFormatting sqref="GI29:GI30">
    <cfRule type="cellIs" priority="324" operator="lessThan" dxfId="0">
      <formula>5</formula>
    </cfRule>
  </conditionalFormatting>
  <conditionalFormatting sqref="GJ29:GJ30">
    <cfRule type="cellIs" priority="322" operator="lessThan" dxfId="0">
      <formula>5</formula>
    </cfRule>
  </conditionalFormatting>
  <conditionalFormatting sqref="GM29:GM30">
    <cfRule type="cellIs" priority="325" operator="lessThan" dxfId="0">
      <formula>5</formula>
    </cfRule>
  </conditionalFormatting>
  <conditionalFormatting sqref="GN29:GN30">
    <cfRule type="cellIs" priority="327" operator="lessThan" dxfId="0">
      <formula>5</formula>
    </cfRule>
  </conditionalFormatting>
  <conditionalFormatting sqref="GQ29:GQ30">
    <cfRule type="cellIs" priority="315" operator="lessThan" dxfId="0">
      <formula>5</formula>
    </cfRule>
  </conditionalFormatting>
  <conditionalFormatting sqref="GX7:GX30">
    <cfRule type="cellIs" priority="329" operator="lessThan" dxfId="0">
      <formula>5</formula>
    </cfRule>
  </conditionalFormatting>
  <conditionalFormatting sqref="E7:I7 E8:H27 N7:O27 P7:R11 P12:S12 P13:R27">
    <cfRule type="cellIs" priority="128" operator="lessThan" dxfId="0">
      <formula>5</formula>
    </cfRule>
  </conditionalFormatting>
  <conditionalFormatting sqref="E31:I31 L31 N31:T31 BW7:CL28 CN7:CP28 DA7:DD8 DA9:DC24 DB25:DC28 DF7:DJ8 DF9:DI28 GI7:GJ28 GI31:GR31 GL7:GQ28 GL29:GL30">
    <cfRule type="cellIs" priority="337" operator="lessThan" dxfId="0">
      <formula>5</formula>
    </cfRule>
  </conditionalFormatting>
  <conditionalFormatting sqref="V7:Z26">
    <cfRule type="cellIs" priority="131" operator="lessThan" dxfId="0">
      <formula>5</formula>
    </cfRule>
  </conditionalFormatting>
  <conditionalFormatting sqref="BU7:BV30">
    <cfRule type="cellIs" priority="166" operator="lessThan" dxfId="0">
      <formula>5</formula>
    </cfRule>
  </conditionalFormatting>
  <conditionalFormatting sqref="CQ7:CU30">
    <cfRule type="cellIs" priority="250" operator="lessThan" dxfId="0">
      <formula>5</formula>
    </cfRule>
  </conditionalFormatting>
  <conditionalFormatting sqref="CV7:CZ28">
    <cfRule type="cellIs" priority="249" operator="lessThan" dxfId="0">
      <formula>5</formula>
    </cfRule>
  </conditionalFormatting>
  <conditionalFormatting sqref="DL7:DY31 EE7:EJ30 EE31:EO31 EQ7:EV28 EQ29:EQ30 EQ31:EV31 ES29:EV30">
    <cfRule type="cellIs" priority="336" operator="lessThan" dxfId="0">
      <formula>5</formula>
    </cfRule>
  </conditionalFormatting>
  <conditionalFormatting sqref="DZ7:EA28 DZ31:ED31 EC7:ED28">
    <cfRule type="cellIs" priority="332" operator="lessThan" dxfId="0">
      <formula>5</formula>
    </cfRule>
  </conditionalFormatting>
  <conditionalFormatting sqref="EK7:EO8">
    <cfRule type="cellIs" priority="226" operator="lessThan" dxfId="0">
      <formula>5</formula>
    </cfRule>
  </conditionalFormatting>
  <conditionalFormatting sqref="FC7:GH31">
    <cfRule type="cellIs" priority="334" operator="lessThan" dxfId="0">
      <formula>5</formula>
    </cfRule>
  </conditionalFormatting>
  <conditionalFormatting sqref="GS7:GU30 GS31:GX31 HC7:HN31">
    <cfRule type="cellIs" priority="333" operator="lessThan" dxfId="0">
      <formula>5</formula>
    </cfRule>
  </conditionalFormatting>
  <conditionalFormatting sqref="GV7:GW30">
    <cfRule type="cellIs" priority="330" operator="lessThan" dxfId="0">
      <formula>5</formula>
    </cfRule>
  </conditionalFormatting>
  <conditionalFormatting sqref="GY7:HB30">
    <cfRule type="cellIs" priority="331" operator="lessThan" dxfId="0">
      <formula>5</formula>
    </cfRule>
  </conditionalFormatting>
  <conditionalFormatting sqref="EK9:EO12">
    <cfRule type="cellIs" priority="225" operator="lessThan" dxfId="0">
      <formula>5</formula>
    </cfRule>
  </conditionalFormatting>
  <conditionalFormatting sqref="EK13:EO17">
    <cfRule type="cellIs" priority="224" operator="lessThan" dxfId="0">
      <formula>5</formula>
    </cfRule>
  </conditionalFormatting>
  <conditionalFormatting sqref="EK18:EO22">
    <cfRule type="cellIs" priority="223" operator="lessThan" dxfId="0">
      <formula>5</formula>
    </cfRule>
  </conditionalFormatting>
  <conditionalFormatting sqref="EK25:EO28">
    <cfRule type="cellIs" priority="220" operator="lessThan" dxfId="0">
      <formula>5</formula>
    </cfRule>
  </conditionalFormatting>
  <conditionalFormatting sqref="V27:Z29">
    <cfRule type="cellIs" priority="130" operator="lessThan" dxfId="0">
      <formula>5</formula>
    </cfRule>
  </conditionalFormatting>
  <conditionalFormatting sqref="E28:H30 N28:R30">
    <cfRule type="cellIs" priority="127" operator="lessThan" dxfId="0">
      <formula>5</formula>
    </cfRule>
  </conditionalFormatting>
  <conditionalFormatting sqref="BW29:CL30 CN29:CP30">
    <cfRule type="cellIs" priority="287" operator="lessThan" dxfId="0">
      <formula>5</formula>
    </cfRule>
  </conditionalFormatting>
  <conditionalFormatting sqref="CW29:CZ30">
    <cfRule type="cellIs" priority="245" operator="lessThan" dxfId="0">
      <formula>5</formula>
    </cfRule>
  </conditionalFormatting>
  <conditionalFormatting sqref="DB29:DC30">
    <cfRule type="cellIs" priority="247" operator="lessThan" dxfId="0">
      <formula>5</formula>
    </cfRule>
  </conditionalFormatting>
  <conditionalFormatting sqref="DF29:DJ30">
    <cfRule type="cellIs" priority="288" operator="lessThan" dxfId="0">
      <formula>5</formula>
    </cfRule>
  </conditionalFormatting>
  <conditionalFormatting sqref="EK29:EO30">
    <cfRule type="cellIs" priority="296" operator="lessThan" dxfId="0">
      <formula>5</formula>
    </cfRule>
  </conditionalFormatting>
  <conditionalFormatting sqref="GO29:GP30">
    <cfRule type="cellIs" priority="328" operator="lessThan" dxfId="0">
      <formula>5</formula>
    </cfRule>
  </conditionalFormatting>
  <conditionalFormatting sqref="EW31 EY31:FB31">
    <cfRule type="cellIs" priority="335" operator="lessThan" dxfId="0">
      <formula>5</formula>
    </cfRule>
  </conditionalFormatting>
  <conditionalFormatting sqref="AA7:AC30">
    <cfRule type="cellIs" priority="2" operator="lessThan" dxfId="0">
      <formula>5</formula>
    </cfRule>
  </conditionalFormatting>
  <conditionalFormatting sqref="AL7:AM30">
    <cfRule type="cellIs" priority="1" operator="lessThan" dxfId="0">
      <formula>5</formula>
    </cfRule>
  </conditionalFormatting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E46"/>
  <sheetViews>
    <sheetView zoomScale="40" zoomScaleNormal="40" workbookViewId="0">
      <pane xSplit="4" topLeftCell="BD1" activePane="topRight" state="frozen"/>
      <selection pane="topRight" activeCell="AJ8" sqref="AJ8:AK8"/>
    </sheetView>
  </sheetViews>
  <sheetFormatPr baseColWidth="8" defaultColWidth="9.125" defaultRowHeight="13.5" customHeight="1"/>
  <cols>
    <col width="21" customWidth="1" style="590" min="3" max="3"/>
    <col width="26.875" customWidth="1" style="590" min="4" max="4"/>
    <col width="9.125" customWidth="1" style="590" min="5" max="25"/>
    <col width="12.5" customWidth="1" style="590" min="26" max="27"/>
    <col width="11.625" customWidth="1" style="590" min="28" max="28"/>
    <col width="9.125" customWidth="1" style="590" min="29" max="46"/>
    <col hidden="1" width="9.125" customWidth="1" style="590" min="57" max="228"/>
  </cols>
  <sheetData>
    <row r="1" ht="25.5" customHeight="1" s="590">
      <c r="A1" s="337" t="inlineStr">
        <is>
          <t>Batch  Fall 2025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386" t="inlineStr">
        <is>
          <t>Assessment of GA's</t>
        </is>
      </c>
      <c r="HT1" s="591" t="n"/>
      <c r="HU1" s="592" t="inlineStr">
        <is>
          <t>Attainment of GAs</t>
        </is>
      </c>
      <c r="HV1" s="336" t="inlineStr">
        <is>
          <t>Attainment of Graduate Attribute</t>
        </is>
      </c>
    </row>
    <row r="2" ht="24" customHeight="1" s="590">
      <c r="B2" s="671" t="inlineStr">
        <is>
          <t>Sr. No.</t>
        </is>
      </c>
      <c r="C2" s="341" t="n"/>
      <c r="D2" s="593" t="inlineStr">
        <is>
          <t>Student Name</t>
        </is>
      </c>
      <c r="E2" s="594" t="inlineStr">
        <is>
          <t>Semester 3</t>
        </is>
      </c>
      <c r="F2" s="595" t="n"/>
      <c r="G2" s="595" t="n"/>
      <c r="H2" s="595" t="n"/>
      <c r="I2" s="595" t="n"/>
      <c r="J2" s="595" t="n"/>
      <c r="K2" s="595" t="n"/>
      <c r="L2" s="595" t="n"/>
      <c r="M2" s="595" t="n"/>
      <c r="N2" s="595" t="n"/>
      <c r="O2" s="595" t="n"/>
      <c r="P2" s="595" t="n"/>
      <c r="Q2" s="595" t="n"/>
      <c r="R2" s="595" t="n"/>
      <c r="S2" s="595" t="n"/>
      <c r="T2" s="595" t="n"/>
      <c r="U2" s="595" t="n"/>
      <c r="V2" s="595" t="n"/>
      <c r="W2" s="595" t="n"/>
      <c r="X2" s="595" t="n"/>
      <c r="Y2" s="595" t="n"/>
      <c r="Z2" s="595" t="n"/>
      <c r="AA2" s="595" t="n"/>
      <c r="AB2" s="595" t="n"/>
      <c r="AC2" s="595" t="n"/>
      <c r="AD2" s="596" t="n"/>
      <c r="AE2" s="597" t="inlineStr">
        <is>
          <t>Semester 2</t>
        </is>
      </c>
      <c r="AF2" s="598" t="n"/>
      <c r="AG2" s="598" t="n"/>
      <c r="AH2" s="598" t="n"/>
      <c r="AI2" s="598" t="n"/>
      <c r="AJ2" s="598" t="n"/>
      <c r="AK2" s="598" t="n"/>
      <c r="AL2" s="598" t="n"/>
      <c r="AM2" s="598" t="n"/>
      <c r="AN2" s="598" t="n"/>
      <c r="AO2" s="598" t="n"/>
      <c r="AP2" s="598" t="n"/>
      <c r="AQ2" s="598" t="n"/>
      <c r="AR2" s="598" t="n"/>
      <c r="AS2" s="598" t="n"/>
      <c r="AT2" s="598" t="n"/>
      <c r="AU2" s="598" t="n"/>
      <c r="AV2" s="598" t="n"/>
      <c r="AW2" s="598" t="n"/>
      <c r="AX2" s="598" t="n"/>
      <c r="AY2" s="598" t="n"/>
      <c r="AZ2" s="598" t="n"/>
      <c r="BA2" s="598" t="n"/>
      <c r="BB2" s="598" t="n"/>
      <c r="BC2" s="598" t="n"/>
      <c r="BD2" s="599" t="n"/>
      <c r="BE2" s="427" t="inlineStr">
        <is>
          <t>Semester 3</t>
        </is>
      </c>
      <c r="BF2" s="600" t="n"/>
      <c r="BG2" s="600" t="n"/>
      <c r="BH2" s="600" t="n"/>
      <c r="BI2" s="600" t="n"/>
      <c r="BJ2" s="600" t="n"/>
      <c r="BK2" s="600" t="n"/>
      <c r="BL2" s="600" t="n"/>
      <c r="BM2" s="600" t="n"/>
      <c r="BN2" s="600" t="n"/>
      <c r="BO2" s="600" t="n"/>
      <c r="BP2" s="600" t="n"/>
      <c r="BQ2" s="600" t="n"/>
      <c r="BR2" s="600" t="n"/>
      <c r="BS2" s="600" t="n"/>
      <c r="BT2" s="600" t="n"/>
      <c r="BU2" s="600" t="n"/>
      <c r="BV2" s="600" t="n"/>
      <c r="BW2" s="600" t="n"/>
      <c r="BX2" s="600" t="n"/>
      <c r="BY2" s="600" t="n"/>
      <c r="BZ2" s="600" t="n"/>
      <c r="CA2" s="601" t="n"/>
      <c r="CB2" s="602" t="inlineStr">
        <is>
          <t>Semester 4</t>
        </is>
      </c>
      <c r="CC2" s="603" t="n"/>
      <c r="CD2" s="603" t="n"/>
      <c r="CE2" s="603" t="n"/>
      <c r="CF2" s="603" t="n"/>
      <c r="CG2" s="603" t="n"/>
      <c r="CH2" s="603" t="n"/>
      <c r="CI2" s="603" t="n"/>
      <c r="CJ2" s="603" t="n"/>
      <c r="CK2" s="603" t="n"/>
      <c r="CL2" s="603" t="n"/>
      <c r="CM2" s="603" t="n"/>
      <c r="CN2" s="603" t="n"/>
      <c r="CO2" s="603" t="n"/>
      <c r="CP2" s="603" t="n"/>
      <c r="CQ2" s="603" t="n"/>
      <c r="CR2" s="603" t="n"/>
      <c r="CS2" s="603" t="n"/>
      <c r="CT2" s="603" t="n"/>
      <c r="CU2" s="603" t="n"/>
      <c r="CV2" s="604" t="n"/>
      <c r="CW2" s="387" t="inlineStr">
        <is>
          <t>Semester 5</t>
        </is>
      </c>
      <c r="EF2" s="388" t="inlineStr">
        <is>
          <t>Semester 6</t>
        </is>
      </c>
      <c r="FC2" s="388" t="n"/>
      <c r="FD2" s="388" t="n"/>
      <c r="FE2" s="388" t="n"/>
      <c r="FF2" s="388" t="n"/>
      <c r="FG2" s="388" t="n"/>
      <c r="FH2" s="388" t="n"/>
      <c r="FI2" s="389" t="inlineStr">
        <is>
          <t>Semester 7</t>
        </is>
      </c>
      <c r="FJ2" s="605" t="n"/>
      <c r="FK2" s="605" t="n"/>
      <c r="FL2" s="605" t="n"/>
      <c r="FM2" s="605" t="n"/>
      <c r="FN2" s="605" t="n"/>
      <c r="FO2" s="605" t="n"/>
      <c r="FP2" s="605" t="n"/>
      <c r="FQ2" s="605" t="n"/>
      <c r="FR2" s="605" t="n"/>
      <c r="FS2" s="605" t="n"/>
      <c r="FT2" s="605" t="n"/>
      <c r="FU2" s="605" t="n"/>
      <c r="FV2" s="605" t="n"/>
      <c r="FW2" s="605" t="n"/>
      <c r="FX2" s="605" t="n"/>
      <c r="FY2" s="605" t="n"/>
      <c r="FZ2" s="605" t="n"/>
      <c r="GA2" s="605" t="n"/>
      <c r="GB2" s="605" t="n"/>
      <c r="GC2" s="605" t="n"/>
      <c r="GD2" s="605" t="n"/>
      <c r="GE2" s="605" t="n"/>
      <c r="GF2" s="605" t="n"/>
      <c r="GG2" s="3" t="n"/>
      <c r="GH2" s="3" t="n"/>
      <c r="GI2" s="3" t="n"/>
      <c r="GJ2" s="3" t="n"/>
      <c r="GK2" s="3" t="n"/>
      <c r="GL2" s="3" t="n"/>
      <c r="GM2" s="3" t="n"/>
      <c r="GN2" s="3" t="n"/>
      <c r="GO2" s="390" t="inlineStr">
        <is>
          <t>Semester - 8</t>
        </is>
      </c>
      <c r="HU2" s="606" t="n"/>
      <c r="HV2" s="607" t="n"/>
      <c r="HW2" s="607" t="n"/>
      <c r="HX2" s="607" t="n"/>
      <c r="HY2" s="607" t="n"/>
      <c r="HZ2" s="607" t="n"/>
      <c r="IA2" s="607" t="n"/>
      <c r="IB2" s="607" t="n"/>
      <c r="IC2" s="607" t="n"/>
      <c r="ID2" s="607" t="n"/>
      <c r="IE2" s="607" t="n"/>
    </row>
    <row r="3" ht="47.1" customHeight="1" s="590">
      <c r="B3" s="606" t="n"/>
      <c r="C3" s="342" t="n"/>
      <c r="D3" s="608" t="n"/>
      <c r="E3" s="689" t="inlineStr">
        <is>
          <t xml:space="preserve">Computer Organization &amp; Assembly Language </t>
        </is>
      </c>
      <c r="F3" s="683" t="n"/>
      <c r="G3" s="683" t="n"/>
      <c r="H3" s="683" t="n"/>
      <c r="I3" s="663" t="n"/>
      <c r="J3" s="689" t="inlineStr">
        <is>
          <t>Computer Networks</t>
        </is>
      </c>
      <c r="K3" s="683" t="n"/>
      <c r="L3" s="683" t="n"/>
      <c r="M3" s="683" t="n"/>
      <c r="N3" s="663" t="n"/>
      <c r="O3" s="610" t="inlineStr">
        <is>
          <t>DATA STRUCTURES</t>
        </is>
      </c>
      <c r="P3" s="609" t="n"/>
      <c r="Q3" s="609" t="n"/>
      <c r="R3" s="609" t="n"/>
      <c r="S3" s="609" t="n"/>
      <c r="T3" s="611" t="n"/>
      <c r="U3" s="612" t="inlineStr">
        <is>
          <t>ARTIFICIAL INTELLIGENCE</t>
        </is>
      </c>
      <c r="V3" s="609" t="n"/>
      <c r="W3" s="609" t="n"/>
      <c r="X3" s="609" t="n"/>
      <c r="Y3" s="611" t="n"/>
      <c r="Z3" s="441" t="inlineStr">
        <is>
          <t>PROBABILITY &amp; STATISTICS</t>
        </is>
      </c>
      <c r="AA3" s="609" t="n"/>
      <c r="AB3" s="609" t="n"/>
      <c r="AC3" s="613" t="inlineStr">
        <is>
          <t>Understanding of the Holy Quran-II</t>
        </is>
      </c>
      <c r="AD3" s="599" t="n"/>
      <c r="AE3" s="446" t="inlineStr">
        <is>
          <t>Expository Writing</t>
        </is>
      </c>
      <c r="AF3" s="607" t="n"/>
      <c r="AG3" s="614" t="n"/>
      <c r="AH3" s="447" t="inlineStr">
        <is>
          <t>Object Oriented Programming</t>
        </is>
      </c>
      <c r="AI3" s="607" t="n"/>
      <c r="AJ3" s="607" t="n"/>
      <c r="AK3" s="607" t="n"/>
      <c r="AL3" s="607" t="n"/>
      <c r="AM3" s="607" t="n"/>
      <c r="AN3" s="615" t="inlineStr">
        <is>
          <t>Discrete Structures</t>
        </is>
      </c>
      <c r="AO3" s="607" t="n"/>
      <c r="AP3" s="614" t="n"/>
      <c r="AQ3" s="465" t="inlineStr">
        <is>
          <t xml:space="preserve">Ideology and Constitution of Pakistan </t>
        </is>
      </c>
      <c r="AR3" s="607" t="n"/>
      <c r="AS3" s="607" t="n"/>
      <c r="AT3" s="607" t="n"/>
      <c r="AU3" s="616" t="inlineStr">
        <is>
          <t>Digital Logic Design</t>
        </is>
      </c>
      <c r="AV3" s="607" t="n"/>
      <c r="AW3" s="607" t="n"/>
      <c r="AX3" s="607" t="n"/>
      <c r="AY3" s="607" t="n"/>
      <c r="AZ3" s="607" t="n"/>
      <c r="BA3" s="614" t="n"/>
      <c r="BB3" s="617" t="inlineStr">
        <is>
          <t>Multi Variable Calculus</t>
        </is>
      </c>
      <c r="BC3" s="607" t="n"/>
      <c r="BD3" s="614" t="n"/>
      <c r="BE3" s="618" t="inlineStr">
        <is>
          <t>Data Structures</t>
        </is>
      </c>
      <c r="BF3" s="609" t="n"/>
      <c r="BG3" s="611" t="n"/>
      <c r="BH3" s="619" t="inlineStr">
        <is>
          <t>Computer Organization &amp; Assembly Language</t>
        </is>
      </c>
      <c r="BI3" s="609" t="n"/>
      <c r="BJ3" s="611" t="n"/>
      <c r="BK3" s="620" t="inlineStr">
        <is>
          <t>Introduction to Artificial Intelligence</t>
        </is>
      </c>
      <c r="BL3" s="609" t="n"/>
      <c r="BM3" s="611" t="n"/>
      <c r="BN3" s="621" t="inlineStr">
        <is>
          <t>Computer Network</t>
        </is>
      </c>
      <c r="BO3" s="609" t="n"/>
      <c r="BP3" s="609" t="n"/>
      <c r="BQ3" s="609" t="n"/>
      <c r="BR3" s="609" t="n"/>
      <c r="BS3" s="609" t="n"/>
      <c r="BT3" s="611" t="n"/>
      <c r="BU3" s="451" t="inlineStr">
        <is>
          <t>Probability &amp; Statistics</t>
        </is>
      </c>
      <c r="BV3" s="609" t="n"/>
      <c r="BW3" s="609" t="n"/>
      <c r="BX3" s="609" t="n"/>
      <c r="BY3" s="609" t="n"/>
      <c r="BZ3" s="609" t="n"/>
      <c r="CA3" s="609" t="n"/>
      <c r="CB3" s="622" t="inlineStr">
        <is>
          <t>Design Analysis of Algorithms</t>
        </is>
      </c>
      <c r="CC3" s="623" t="n"/>
      <c r="CD3" s="623" t="n"/>
      <c r="CE3" s="623" t="n"/>
      <c r="CF3" s="623" t="n"/>
      <c r="CG3" s="624" t="n"/>
      <c r="CH3" s="625" t="inlineStr">
        <is>
          <t>Data Structures and Algorithms</t>
        </is>
      </c>
      <c r="CI3" s="623" t="n"/>
      <c r="CJ3" s="623" t="n"/>
      <c r="CK3" s="624" t="n"/>
      <c r="CL3" s="460" t="inlineStr">
        <is>
          <t>Applied Statistics</t>
        </is>
      </c>
      <c r="CM3" s="623" t="n"/>
      <c r="CN3" s="623" t="n"/>
      <c r="CO3" s="623" t="n"/>
      <c r="CP3" s="623" t="n"/>
      <c r="CQ3" s="626" t="inlineStr">
        <is>
          <t xml:space="preserve">Software Engineering </t>
        </is>
      </c>
      <c r="CR3" s="623" t="n"/>
      <c r="CS3" s="624" t="n"/>
      <c r="CT3" s="627" t="inlineStr">
        <is>
          <t>World History</t>
        </is>
      </c>
      <c r="CU3" s="623" t="n"/>
      <c r="CV3" s="624" t="n"/>
      <c r="CW3" s="628" t="inlineStr">
        <is>
          <t>Artificial Intelligence</t>
        </is>
      </c>
      <c r="CX3" s="598" t="n"/>
      <c r="CY3" s="598" t="n"/>
      <c r="CZ3" s="598" t="n"/>
      <c r="DA3" s="629" t="n"/>
      <c r="DB3" s="630" t="inlineStr">
        <is>
          <t>Data Communication &amp; Computer Networks</t>
        </is>
      </c>
      <c r="DC3" s="598" t="n"/>
      <c r="DD3" s="598" t="n"/>
      <c r="DE3" s="598" t="n"/>
      <c r="DF3" s="599" t="n"/>
      <c r="DG3" s="326" t="inlineStr">
        <is>
          <t>Continuous Discreate Optimization</t>
        </is>
      </c>
      <c r="DH3" s="598" t="n"/>
      <c r="DI3" s="598" t="n"/>
      <c r="DJ3" s="598" t="n"/>
      <c r="DK3" s="631" t="n"/>
      <c r="DL3" s="632" t="inlineStr">
        <is>
          <t>Data Base Management Systems</t>
        </is>
      </c>
      <c r="DM3" s="598" t="n"/>
      <c r="DN3" s="598" t="n"/>
      <c r="DO3" s="598" t="n"/>
      <c r="DP3" s="598" t="n"/>
      <c r="DQ3" s="599" t="n"/>
      <c r="DR3" s="326" t="inlineStr">
        <is>
          <t>Introduction to Python Lab</t>
        </is>
      </c>
      <c r="DS3" s="598" t="n"/>
      <c r="DT3" s="598" t="n"/>
      <c r="DU3" s="598" t="n"/>
      <c r="DV3" s="598" t="n"/>
      <c r="DW3" s="598" t="n"/>
      <c r="DX3" s="631" t="n"/>
      <c r="DY3" s="632" t="inlineStr">
        <is>
          <t>World Literature</t>
        </is>
      </c>
      <c r="DZ3" s="598" t="n"/>
      <c r="EA3" s="598" t="n"/>
      <c r="EB3" s="598" t="n"/>
      <c r="EC3" s="598" t="n"/>
      <c r="ED3" s="598" t="n"/>
      <c r="EE3" s="599" t="n"/>
      <c r="EF3" s="627" t="inlineStr">
        <is>
          <t>Machine Learning</t>
        </is>
      </c>
      <c r="EG3" s="623" t="n"/>
      <c r="EH3" s="623" t="n"/>
      <c r="EI3" s="623" t="n"/>
      <c r="EJ3" s="624" t="n"/>
      <c r="EK3" s="633" t="inlineStr">
        <is>
          <t>Computer Vision</t>
        </is>
      </c>
      <c r="EL3" s="623" t="n"/>
      <c r="EM3" s="623" t="n"/>
      <c r="EN3" s="623" t="n"/>
      <c r="EO3" s="623" t="n"/>
      <c r="EP3" s="624" t="n"/>
      <c r="EQ3" s="634" t="inlineStr">
        <is>
          <t>Parallel and Distributed Computing</t>
        </is>
      </c>
      <c r="ER3" s="623" t="n"/>
      <c r="ES3" s="623" t="n"/>
      <c r="ET3" s="623" t="n"/>
      <c r="EU3" s="623" t="n"/>
      <c r="EV3" s="624" t="n"/>
      <c r="EW3" s="635" t="inlineStr">
        <is>
          <t>Academic &amp; Professional Writing</t>
        </is>
      </c>
      <c r="EX3" s="623" t="n"/>
      <c r="EY3" s="624" t="n"/>
      <c r="EZ3" s="397" t="inlineStr">
        <is>
          <t>Logical And Automated Reasoning</t>
        </is>
      </c>
      <c r="FA3" s="623" t="n"/>
      <c r="FB3" s="623" t="n"/>
      <c r="FC3" s="399" t="inlineStr">
        <is>
          <t>Data Visualization</t>
        </is>
      </c>
      <c r="FD3" s="623" t="n"/>
      <c r="FE3" s="623" t="n"/>
      <c r="FF3" s="623" t="n"/>
      <c r="FG3" s="623" t="n"/>
      <c r="FH3" s="623" t="n"/>
      <c r="FI3" s="636" t="inlineStr">
        <is>
          <t>Artificial Intelligence</t>
        </is>
      </c>
      <c r="FJ3" s="609" t="n"/>
      <c r="FK3" s="609" t="n"/>
      <c r="FL3" s="609" t="n"/>
      <c r="FM3" s="611" t="n"/>
      <c r="FN3" s="405" t="inlineStr">
        <is>
          <t>Philosophy and Critical Thinking</t>
        </is>
      </c>
      <c r="FO3" s="611" t="n"/>
      <c r="FP3" s="637" t="inlineStr">
        <is>
          <t>Natural Language Processing</t>
        </is>
      </c>
      <c r="FQ3" s="609" t="n"/>
      <c r="FR3" s="609" t="n"/>
      <c r="FS3" s="609" t="n"/>
      <c r="FT3" s="611" t="n"/>
      <c r="FU3" s="638" t="inlineStr">
        <is>
          <t>Final Year Project - I</t>
        </is>
      </c>
      <c r="FV3" s="609" t="n"/>
      <c r="FW3" s="609" t="n"/>
      <c r="FX3" s="609" t="n"/>
      <c r="FY3" s="609" t="n"/>
      <c r="FZ3" s="609" t="n"/>
      <c r="GA3" s="609" t="n"/>
      <c r="GB3" s="609" t="n"/>
      <c r="GC3" s="609" t="n"/>
      <c r="GD3" s="609" t="n"/>
      <c r="GE3" s="609" t="n"/>
      <c r="GF3" s="611" t="n"/>
      <c r="GG3" s="639" t="inlineStr">
        <is>
          <t>Logical And Automated Reasoning</t>
        </is>
      </c>
      <c r="GH3" s="623" t="n"/>
      <c r="GI3" s="623" t="n"/>
      <c r="GJ3" s="624" t="n"/>
      <c r="GK3" s="639" t="inlineStr">
        <is>
          <t>Philosophy and Critical Thinking</t>
        </is>
      </c>
      <c r="GL3" s="623" t="n"/>
      <c r="GM3" s="623" t="n"/>
      <c r="GN3" s="624" t="n"/>
      <c r="GO3" s="640" t="inlineStr">
        <is>
          <t>Deep Learning</t>
        </is>
      </c>
      <c r="GP3" s="609" t="n"/>
      <c r="GQ3" s="609" t="n"/>
      <c r="GR3" s="609" t="n"/>
      <c r="GS3" s="611" t="n"/>
      <c r="GT3" s="641" t="inlineStr">
        <is>
          <t>Artificial Intelligence for Robotics</t>
        </is>
      </c>
      <c r="GU3" s="609" t="n"/>
      <c r="GV3" s="609" t="n"/>
      <c r="GW3" s="609" t="n"/>
      <c r="GX3" s="611" t="n"/>
      <c r="GY3" s="634" t="inlineStr">
        <is>
          <t>Sociology</t>
        </is>
      </c>
      <c r="GZ3" s="623" t="n"/>
      <c r="HA3" s="624" t="n"/>
      <c r="HB3" s="642" t="inlineStr">
        <is>
          <t>Ethics and Social Responsibility</t>
        </is>
      </c>
      <c r="HC3" s="609" t="n"/>
      <c r="HD3" s="611" t="n"/>
      <c r="HE3" s="639" t="inlineStr">
        <is>
          <t>Philosophy and Critical Thinking</t>
        </is>
      </c>
      <c r="HF3" s="623" t="n"/>
      <c r="HG3" s="623" t="n"/>
      <c r="HH3" s="624" t="n"/>
      <c r="HI3" s="643" t="inlineStr">
        <is>
          <t>Final Year Project - II</t>
        </is>
      </c>
      <c r="HJ3" s="609" t="n"/>
      <c r="HK3" s="609" t="n"/>
      <c r="HL3" s="609" t="n"/>
      <c r="HM3" s="609" t="n"/>
      <c r="HN3" s="609" t="n"/>
      <c r="HO3" s="609" t="n"/>
      <c r="HP3" s="609" t="n"/>
      <c r="HQ3" s="609" t="n"/>
      <c r="HR3" s="609" t="n"/>
      <c r="HS3" s="609" t="n"/>
      <c r="HT3" s="611" t="n"/>
      <c r="HU3" s="606" t="n"/>
      <c r="HV3" s="109" t="n"/>
      <c r="HW3" s="109" t="n"/>
      <c r="HX3" s="109" t="n"/>
      <c r="HY3" s="109" t="n"/>
      <c r="HZ3" s="109" t="n"/>
      <c r="IA3" s="109" t="n"/>
      <c r="IB3" s="109" t="n"/>
      <c r="IC3" s="109" t="n"/>
      <c r="ID3" s="109" t="n"/>
      <c r="IE3" s="109" t="n"/>
    </row>
    <row r="4" ht="24" customHeight="1" s="590">
      <c r="B4" s="606" t="n"/>
      <c r="C4" s="342" t="n"/>
      <c r="D4" s="608" t="n"/>
      <c r="E4" s="110" t="inlineStr">
        <is>
          <t>CLO 1</t>
        </is>
      </c>
      <c r="F4" s="111" t="inlineStr">
        <is>
          <t>CLO 2</t>
        </is>
      </c>
      <c r="G4" s="111" t="inlineStr">
        <is>
          <t>CLO 3</t>
        </is>
      </c>
      <c r="H4" s="112" t="inlineStr">
        <is>
          <t>CLO 1</t>
        </is>
      </c>
      <c r="I4" s="113" t="inlineStr">
        <is>
          <t>CLO 2</t>
        </is>
      </c>
      <c r="J4" s="110" t="inlineStr">
        <is>
          <t>CLO 1</t>
        </is>
      </c>
      <c r="K4" s="112" t="inlineStr">
        <is>
          <t>CLO 2</t>
        </is>
      </c>
      <c r="L4" s="112" t="inlineStr">
        <is>
          <t>CLO 3</t>
        </is>
      </c>
      <c r="M4" s="110" t="inlineStr">
        <is>
          <t>CLO 1</t>
        </is>
      </c>
      <c r="N4" s="113" t="inlineStr">
        <is>
          <t>CLO 2</t>
        </is>
      </c>
      <c r="O4" s="110" t="inlineStr">
        <is>
          <t>CLO 1</t>
        </is>
      </c>
      <c r="P4" s="111" t="inlineStr">
        <is>
          <t>CLO 2</t>
        </is>
      </c>
      <c r="Q4" s="111" t="inlineStr">
        <is>
          <t>CLO 3</t>
        </is>
      </c>
      <c r="R4" s="111" t="inlineStr">
        <is>
          <t>CLO1</t>
        </is>
      </c>
      <c r="S4" s="113" t="inlineStr">
        <is>
          <t>CLO2</t>
        </is>
      </c>
      <c r="T4" s="113" t="inlineStr">
        <is>
          <t>CLO3</t>
        </is>
      </c>
      <c r="U4" s="110" t="inlineStr">
        <is>
          <t>CLO 1</t>
        </is>
      </c>
      <c r="V4" s="111" t="inlineStr">
        <is>
          <t>CLO 2</t>
        </is>
      </c>
      <c r="W4" s="111" t="inlineStr">
        <is>
          <t>CLO3</t>
        </is>
      </c>
      <c r="X4" s="111" t="inlineStr">
        <is>
          <t>CLO1</t>
        </is>
      </c>
      <c r="Y4" s="111" t="inlineStr">
        <is>
          <t>CLO2</t>
        </is>
      </c>
      <c r="Z4" s="110" t="inlineStr">
        <is>
          <t>CLO 2</t>
        </is>
      </c>
      <c r="AA4" s="111" t="inlineStr">
        <is>
          <t>CLO2</t>
        </is>
      </c>
      <c r="AB4" s="111" t="inlineStr">
        <is>
          <t>CLO 3</t>
        </is>
      </c>
      <c r="AC4" s="122" t="inlineStr">
        <is>
          <t>CLO 1</t>
        </is>
      </c>
      <c r="AD4" s="122" t="inlineStr">
        <is>
          <t>CLO 3</t>
        </is>
      </c>
      <c r="AE4" s="110" t="inlineStr">
        <is>
          <t>CLO 1</t>
        </is>
      </c>
      <c r="AF4" s="112" t="inlineStr">
        <is>
          <t>CLO 2</t>
        </is>
      </c>
      <c r="AG4" s="113" t="inlineStr">
        <is>
          <t>CLO 2</t>
        </is>
      </c>
      <c r="AH4" s="111" t="inlineStr">
        <is>
          <t>CLO 1</t>
        </is>
      </c>
      <c r="AI4" s="111" t="inlineStr">
        <is>
          <t>CLO 2</t>
        </is>
      </c>
      <c r="AJ4" s="111" t="inlineStr">
        <is>
          <t>CLO 3</t>
        </is>
      </c>
      <c r="AK4" s="111" t="inlineStr">
        <is>
          <t>CLO 4</t>
        </is>
      </c>
      <c r="AL4" s="112" t="inlineStr">
        <is>
          <t>CLO 1</t>
        </is>
      </c>
      <c r="AM4" s="112" t="inlineStr">
        <is>
          <t>CLO 2</t>
        </is>
      </c>
      <c r="AN4" s="110" t="inlineStr">
        <is>
          <t>CLO 1</t>
        </is>
      </c>
      <c r="AO4" s="111" t="inlineStr">
        <is>
          <t>CLO 2</t>
        </is>
      </c>
      <c r="AP4" s="113" t="inlineStr">
        <is>
          <t>CLO 3</t>
        </is>
      </c>
      <c r="AQ4" s="111" t="inlineStr">
        <is>
          <t>CLO 1</t>
        </is>
      </c>
      <c r="AR4" s="111" t="inlineStr">
        <is>
          <t>CLO 2</t>
        </is>
      </c>
      <c r="AS4" s="112" t="inlineStr">
        <is>
          <t>CLO 3</t>
        </is>
      </c>
      <c r="AT4" s="112" t="inlineStr">
        <is>
          <t>CLO5</t>
        </is>
      </c>
      <c r="AU4" s="110" t="inlineStr">
        <is>
          <t>CLO 1</t>
        </is>
      </c>
      <c r="AV4" s="111" t="inlineStr">
        <is>
          <t>CLO 2</t>
        </is>
      </c>
      <c r="AW4" s="111" t="inlineStr">
        <is>
          <t>CLO 3</t>
        </is>
      </c>
      <c r="AX4" s="111" t="inlineStr">
        <is>
          <t>CLO 1</t>
        </is>
      </c>
      <c r="AY4" s="112" t="inlineStr">
        <is>
          <t>CLO 2</t>
        </is>
      </c>
      <c r="AZ4" s="112" t="inlineStr">
        <is>
          <t>CLO 3</t>
        </is>
      </c>
      <c r="BA4" s="113" t="inlineStr">
        <is>
          <t>CLO 4</t>
        </is>
      </c>
      <c r="BB4" s="110" t="inlineStr">
        <is>
          <t>CLO 1</t>
        </is>
      </c>
      <c r="BC4" s="111" t="inlineStr">
        <is>
          <t>CLO 2</t>
        </is>
      </c>
      <c r="BD4" s="113" t="inlineStr">
        <is>
          <t>CLO 4</t>
        </is>
      </c>
      <c r="BE4" s="110" t="inlineStr">
        <is>
          <t>CLO 1</t>
        </is>
      </c>
      <c r="BF4" s="111" t="inlineStr">
        <is>
          <t>CLO 2</t>
        </is>
      </c>
      <c r="BG4" s="113" t="inlineStr">
        <is>
          <t>CLO 3</t>
        </is>
      </c>
      <c r="BH4" s="110" t="inlineStr">
        <is>
          <t>CLO 1</t>
        </is>
      </c>
      <c r="BI4" s="111" t="inlineStr">
        <is>
          <t>CLO 2</t>
        </is>
      </c>
      <c r="BJ4" s="113" t="inlineStr">
        <is>
          <t>CLO 3</t>
        </is>
      </c>
      <c r="BK4" s="110" t="inlineStr">
        <is>
          <t>CLO 1</t>
        </is>
      </c>
      <c r="BL4" s="111" t="inlineStr">
        <is>
          <t>CLO 2</t>
        </is>
      </c>
      <c r="BM4" s="113" t="inlineStr">
        <is>
          <t>CLO 3</t>
        </is>
      </c>
      <c r="BN4" s="110" t="inlineStr">
        <is>
          <t>CLO 1</t>
        </is>
      </c>
      <c r="BO4" s="111" t="inlineStr">
        <is>
          <t>CLO 2</t>
        </is>
      </c>
      <c r="BP4" s="111" t="inlineStr">
        <is>
          <t>CLO 3</t>
        </is>
      </c>
      <c r="BQ4" s="111" t="inlineStr">
        <is>
          <t>CLO 4</t>
        </is>
      </c>
      <c r="BR4" s="111" t="inlineStr">
        <is>
          <t>CLO 5</t>
        </is>
      </c>
      <c r="BS4" s="111" t="inlineStr">
        <is>
          <t>CLO 6</t>
        </is>
      </c>
      <c r="BT4" s="113" t="inlineStr">
        <is>
          <t>CLO 7</t>
        </is>
      </c>
      <c r="BU4" s="110" t="inlineStr">
        <is>
          <t>CLO 1</t>
        </is>
      </c>
      <c r="BV4" s="111" t="inlineStr">
        <is>
          <t>CLO 2</t>
        </is>
      </c>
      <c r="BW4" s="110" t="inlineStr">
        <is>
          <t>CLO 3</t>
        </is>
      </c>
      <c r="BX4" s="111" t="inlineStr">
        <is>
          <t>CLO 4</t>
        </is>
      </c>
      <c r="BY4" s="111" t="inlineStr">
        <is>
          <t>CLO 5</t>
        </is>
      </c>
      <c r="BZ4" s="111" t="inlineStr">
        <is>
          <t>CLO 1</t>
        </is>
      </c>
      <c r="CA4" s="7" t="inlineStr">
        <is>
          <t>CLO 2</t>
        </is>
      </c>
      <c r="CB4" s="132" t="inlineStr">
        <is>
          <t>CLO 1</t>
        </is>
      </c>
      <c r="CC4" s="110" t="inlineStr">
        <is>
          <t>CLO 2</t>
        </is>
      </c>
      <c r="CD4" s="110" t="inlineStr">
        <is>
          <t>CLO 3</t>
        </is>
      </c>
      <c r="CE4" s="110" t="inlineStr">
        <is>
          <t>CLO 4</t>
        </is>
      </c>
      <c r="CF4" s="110" t="inlineStr">
        <is>
          <t>CLO 5</t>
        </is>
      </c>
      <c r="CG4" s="6" t="inlineStr">
        <is>
          <t>CLO 6</t>
        </is>
      </c>
      <c r="CH4" s="5" t="inlineStr">
        <is>
          <t>CLO 1</t>
        </is>
      </c>
      <c r="CI4" s="6" t="inlineStr">
        <is>
          <t>CLO 2</t>
        </is>
      </c>
      <c r="CJ4" s="6" t="inlineStr">
        <is>
          <t>CLO 3</t>
        </is>
      </c>
      <c r="CK4" s="6" t="inlineStr">
        <is>
          <t>CLO 4</t>
        </is>
      </c>
      <c r="CL4" s="5" t="inlineStr">
        <is>
          <t>CLO 1</t>
        </is>
      </c>
      <c r="CM4" s="6" t="inlineStr">
        <is>
          <t>CLO 2</t>
        </is>
      </c>
      <c r="CN4" s="6" t="inlineStr">
        <is>
          <t>CLO 3</t>
        </is>
      </c>
      <c r="CO4" s="6" t="inlineStr">
        <is>
          <t>CLO 1</t>
        </is>
      </c>
      <c r="CP4" s="7" t="inlineStr">
        <is>
          <t>CLO 2</t>
        </is>
      </c>
      <c r="CQ4" s="5" t="inlineStr">
        <is>
          <t>CLO 1</t>
        </is>
      </c>
      <c r="CR4" s="6" t="inlineStr">
        <is>
          <t>CLO 2</t>
        </is>
      </c>
      <c r="CS4" s="6" t="inlineStr">
        <is>
          <t>CLO 3</t>
        </is>
      </c>
      <c r="CT4" s="5" t="inlineStr">
        <is>
          <t>CLO 1</t>
        </is>
      </c>
      <c r="CU4" s="6" t="inlineStr">
        <is>
          <t>CLO 2</t>
        </is>
      </c>
      <c r="CV4" s="6" t="inlineStr">
        <is>
          <t>CLO 3</t>
        </is>
      </c>
      <c r="CW4" s="151" t="inlineStr">
        <is>
          <t>CLO1</t>
        </is>
      </c>
      <c r="CX4" s="152" t="inlineStr">
        <is>
          <t>CLO2</t>
        </is>
      </c>
      <c r="CY4" s="153" t="inlineStr">
        <is>
          <t>CLO 3</t>
        </is>
      </c>
      <c r="CZ4" s="153" t="inlineStr">
        <is>
          <t>CLO 1</t>
        </is>
      </c>
      <c r="DA4" s="156" t="inlineStr">
        <is>
          <t>CLO 2</t>
        </is>
      </c>
      <c r="DB4" s="157" t="inlineStr">
        <is>
          <t>CLO 1</t>
        </is>
      </c>
      <c r="DC4" s="158" t="inlineStr">
        <is>
          <t>CLO 2</t>
        </is>
      </c>
      <c r="DD4" s="158" t="inlineStr">
        <is>
          <t>CLO 3</t>
        </is>
      </c>
      <c r="DE4" s="158" t="inlineStr">
        <is>
          <t>CLO 1</t>
        </is>
      </c>
      <c r="DF4" s="159" t="inlineStr">
        <is>
          <t>CLO 2</t>
        </is>
      </c>
      <c r="DG4" s="151" t="inlineStr">
        <is>
          <t>CLO1</t>
        </is>
      </c>
      <c r="DH4" s="160" t="inlineStr">
        <is>
          <t>CLO2</t>
        </is>
      </c>
      <c r="DI4" s="160" t="inlineStr">
        <is>
          <t>CLO3</t>
        </is>
      </c>
      <c r="DJ4" s="160" t="inlineStr">
        <is>
          <t>CLO1</t>
        </is>
      </c>
      <c r="DK4" s="160" t="inlineStr">
        <is>
          <t>CLO2</t>
        </is>
      </c>
      <c r="DL4" s="164" t="inlineStr">
        <is>
          <t>CLO1</t>
        </is>
      </c>
      <c r="DM4" s="164" t="inlineStr">
        <is>
          <t>CLO2</t>
        </is>
      </c>
      <c r="DN4" s="164" t="inlineStr">
        <is>
          <t>CLO3</t>
        </is>
      </c>
      <c r="DO4" s="164" t="inlineStr">
        <is>
          <t>CLO4</t>
        </is>
      </c>
      <c r="DP4" s="165" t="inlineStr">
        <is>
          <t>CLO1</t>
        </is>
      </c>
      <c r="DQ4" s="165" t="inlineStr">
        <is>
          <t>CLO2</t>
        </is>
      </c>
      <c r="DR4" s="160" t="inlineStr">
        <is>
          <t>CLO1</t>
        </is>
      </c>
      <c r="DS4" s="160" t="inlineStr">
        <is>
          <t>CLO2</t>
        </is>
      </c>
      <c r="DT4" s="160" t="inlineStr">
        <is>
          <t>CLO3</t>
        </is>
      </c>
      <c r="DU4" s="160" t="inlineStr">
        <is>
          <t>CLO4</t>
        </is>
      </c>
      <c r="DV4" s="160" t="inlineStr">
        <is>
          <t>CLO5</t>
        </is>
      </c>
      <c r="DW4" s="160" t="inlineStr">
        <is>
          <t>CLO6</t>
        </is>
      </c>
      <c r="DX4" s="160" t="inlineStr">
        <is>
          <t>CLO7</t>
        </is>
      </c>
      <c r="DY4" s="164" t="inlineStr">
        <is>
          <t>CLO1</t>
        </is>
      </c>
      <c r="DZ4" s="164" t="inlineStr">
        <is>
          <t>CLO2</t>
        </is>
      </c>
      <c r="EA4" s="164" t="inlineStr">
        <is>
          <t>CLO3</t>
        </is>
      </c>
      <c r="EB4" s="164" t="inlineStr">
        <is>
          <t>CLO4</t>
        </is>
      </c>
      <c r="EC4" s="164" t="inlineStr">
        <is>
          <t>CLO5</t>
        </is>
      </c>
      <c r="ED4" s="165" t="inlineStr">
        <is>
          <t>CLO6</t>
        </is>
      </c>
      <c r="EE4" s="165" t="inlineStr">
        <is>
          <t>CLO7</t>
        </is>
      </c>
      <c r="EF4" s="138" t="inlineStr">
        <is>
          <t>CLO1</t>
        </is>
      </c>
      <c r="EG4" s="138" t="inlineStr">
        <is>
          <t>CLO2</t>
        </is>
      </c>
      <c r="EH4" s="138" t="inlineStr">
        <is>
          <t>CLO3</t>
        </is>
      </c>
      <c r="EI4" s="138" t="inlineStr">
        <is>
          <t>CLO1</t>
        </is>
      </c>
      <c r="EJ4" s="138" t="inlineStr">
        <is>
          <t>CLO2</t>
        </is>
      </c>
      <c r="EK4" s="132" t="inlineStr">
        <is>
          <t>CLO1</t>
        </is>
      </c>
      <c r="EL4" s="132" t="inlineStr">
        <is>
          <t>CLO2</t>
        </is>
      </c>
      <c r="EM4" s="132" t="inlineStr">
        <is>
          <t>CLO3</t>
        </is>
      </c>
      <c r="EN4" s="132" t="inlineStr">
        <is>
          <t>CLO4</t>
        </is>
      </c>
      <c r="EO4" s="132" t="inlineStr">
        <is>
          <t>CLO5</t>
        </is>
      </c>
      <c r="EP4" s="132" t="inlineStr">
        <is>
          <t>CLO6</t>
        </is>
      </c>
      <c r="EQ4" s="40" t="inlineStr">
        <is>
          <t>CLO1</t>
        </is>
      </c>
      <c r="ER4" s="40" t="inlineStr">
        <is>
          <t>CLO 2</t>
        </is>
      </c>
      <c r="ES4" s="40" t="inlineStr">
        <is>
          <t>CLO 3</t>
        </is>
      </c>
      <c r="ET4" s="40" t="inlineStr">
        <is>
          <t>CLO 4</t>
        </is>
      </c>
      <c r="EU4" s="40" t="n"/>
      <c r="EV4" s="40" t="inlineStr">
        <is>
          <t>CLO3</t>
        </is>
      </c>
      <c r="EW4" s="37" t="inlineStr">
        <is>
          <t>CLO1</t>
        </is>
      </c>
      <c r="EX4" s="37" t="inlineStr">
        <is>
          <t>CLO2</t>
        </is>
      </c>
      <c r="EY4" s="37" t="inlineStr">
        <is>
          <t>CLO7</t>
        </is>
      </c>
      <c r="EZ4" s="132" t="inlineStr">
        <is>
          <t>CLO1</t>
        </is>
      </c>
      <c r="FA4" s="132" t="inlineStr">
        <is>
          <t>CLO2</t>
        </is>
      </c>
      <c r="FB4" s="132" t="inlineStr">
        <is>
          <t>CLO3</t>
        </is>
      </c>
      <c r="FC4" s="132" t="inlineStr">
        <is>
          <t>CLO1</t>
        </is>
      </c>
      <c r="FD4" s="132" t="inlineStr">
        <is>
          <t>CLO2</t>
        </is>
      </c>
      <c r="FE4" s="132" t="inlineStr">
        <is>
          <t>CLO3</t>
        </is>
      </c>
      <c r="FF4" s="132" t="inlineStr">
        <is>
          <t>CLO4</t>
        </is>
      </c>
      <c r="FG4" s="146" t="inlineStr">
        <is>
          <t>CLO 1</t>
        </is>
      </c>
      <c r="FH4" s="146" t="inlineStr">
        <is>
          <t>CLO 2</t>
        </is>
      </c>
      <c r="FI4" s="69" t="inlineStr">
        <is>
          <t>CLO1</t>
        </is>
      </c>
      <c r="FJ4" s="70" t="inlineStr">
        <is>
          <t>CLO2</t>
        </is>
      </c>
      <c r="FK4" s="71" t="inlineStr">
        <is>
          <t>CLO 3</t>
        </is>
      </c>
      <c r="FL4" s="71" t="inlineStr">
        <is>
          <t>CLO 1</t>
        </is>
      </c>
      <c r="FM4" s="80" t="inlineStr">
        <is>
          <t>CLO 2</t>
        </is>
      </c>
      <c r="FN4" s="81" t="inlineStr">
        <is>
          <t>CLO1</t>
        </is>
      </c>
      <c r="FO4" s="83" t="inlineStr">
        <is>
          <t>CLO2</t>
        </is>
      </c>
      <c r="FP4" s="84" t="inlineStr">
        <is>
          <t>CLO1</t>
        </is>
      </c>
      <c r="FQ4" s="85" t="inlineStr">
        <is>
          <t>CLO2</t>
        </is>
      </c>
      <c r="FR4" s="86" t="inlineStr">
        <is>
          <t>CLO3</t>
        </is>
      </c>
      <c r="FS4" s="86" t="inlineStr">
        <is>
          <t>CLO 1</t>
        </is>
      </c>
      <c r="FT4" s="86" t="inlineStr">
        <is>
          <t>CLO 2</t>
        </is>
      </c>
      <c r="FU4" s="95" t="inlineStr">
        <is>
          <t>R1</t>
        </is>
      </c>
      <c r="FV4" s="96" t="inlineStr">
        <is>
          <t>R2</t>
        </is>
      </c>
      <c r="FW4" s="96" t="inlineStr">
        <is>
          <t>R3</t>
        </is>
      </c>
      <c r="FX4" s="96" t="inlineStr">
        <is>
          <t>R4</t>
        </is>
      </c>
      <c r="FY4" s="96" t="inlineStr">
        <is>
          <t>R5</t>
        </is>
      </c>
      <c r="FZ4" s="96" t="inlineStr">
        <is>
          <t>R6</t>
        </is>
      </c>
      <c r="GA4" s="96" t="inlineStr">
        <is>
          <t>R7</t>
        </is>
      </c>
      <c r="GB4" s="96" t="inlineStr">
        <is>
          <t>R8</t>
        </is>
      </c>
      <c r="GC4" s="96" t="inlineStr">
        <is>
          <t>R9</t>
        </is>
      </c>
      <c r="GD4" s="96" t="inlineStr">
        <is>
          <t>R10</t>
        </is>
      </c>
      <c r="GE4" s="96" t="inlineStr">
        <is>
          <t>R11</t>
        </is>
      </c>
      <c r="GF4" s="101" t="inlineStr">
        <is>
          <t>R12</t>
        </is>
      </c>
      <c r="GG4" s="5" t="inlineStr">
        <is>
          <t>CLO 1</t>
        </is>
      </c>
      <c r="GH4" s="6" t="inlineStr">
        <is>
          <t>CLO 2</t>
        </is>
      </c>
      <c r="GI4" s="6" t="inlineStr">
        <is>
          <t>CLO 3</t>
        </is>
      </c>
      <c r="GJ4" s="6" t="inlineStr">
        <is>
          <t>CLO 4</t>
        </is>
      </c>
      <c r="GK4" s="7" t="n"/>
      <c r="GL4" s="7" t="n"/>
      <c r="GM4" s="7" t="n"/>
      <c r="GN4" s="7" t="n"/>
      <c r="GO4" s="19" t="inlineStr">
        <is>
          <t>CLO1</t>
        </is>
      </c>
      <c r="GP4" s="20" t="inlineStr">
        <is>
          <t>CLO 2</t>
        </is>
      </c>
      <c r="GQ4" s="20" t="inlineStr">
        <is>
          <t>CLO 3</t>
        </is>
      </c>
      <c r="GR4" s="21" t="inlineStr">
        <is>
          <t>CLO 1</t>
        </is>
      </c>
      <c r="GS4" s="22" t="inlineStr">
        <is>
          <t>CLO 2</t>
        </is>
      </c>
      <c r="GT4" s="23" t="inlineStr">
        <is>
          <t>CLO1</t>
        </is>
      </c>
      <c r="GU4" s="36" t="inlineStr">
        <is>
          <t>CLO2</t>
        </is>
      </c>
      <c r="GV4" s="37" t="inlineStr">
        <is>
          <t>CLO3</t>
        </is>
      </c>
      <c r="GW4" s="38" t="inlineStr">
        <is>
          <t>CLO 1</t>
        </is>
      </c>
      <c r="GX4" s="22" t="inlineStr">
        <is>
          <t>CLO 2</t>
        </is>
      </c>
      <c r="GY4" s="40" t="inlineStr">
        <is>
          <t>CLO1</t>
        </is>
      </c>
      <c r="GZ4" s="40" t="inlineStr">
        <is>
          <t>CLO2</t>
        </is>
      </c>
      <c r="HA4" s="40" t="inlineStr">
        <is>
          <t>CLO3</t>
        </is>
      </c>
      <c r="HB4" s="51" t="inlineStr">
        <is>
          <t>CLO1</t>
        </is>
      </c>
      <c r="HC4" s="21" t="inlineStr">
        <is>
          <t>CLO2</t>
        </is>
      </c>
      <c r="HD4" s="52" t="inlineStr">
        <is>
          <t>CLO3</t>
        </is>
      </c>
      <c r="HE4" s="7" t="n"/>
      <c r="HF4" s="7" t="n"/>
      <c r="HG4" s="7" t="n"/>
      <c r="HH4" s="7" t="n"/>
      <c r="HI4" s="23" t="inlineStr">
        <is>
          <t>R1</t>
        </is>
      </c>
      <c r="HJ4" s="36" t="inlineStr">
        <is>
          <t>R2</t>
        </is>
      </c>
      <c r="HK4" s="37" t="inlineStr">
        <is>
          <t>R3</t>
        </is>
      </c>
      <c r="HL4" s="37" t="inlineStr">
        <is>
          <t>R4</t>
        </is>
      </c>
      <c r="HM4" s="37" t="inlineStr">
        <is>
          <t>R5</t>
        </is>
      </c>
      <c r="HN4" s="37" t="inlineStr">
        <is>
          <t>R6</t>
        </is>
      </c>
      <c r="HO4" s="37" t="inlineStr">
        <is>
          <t>R7</t>
        </is>
      </c>
      <c r="HP4" s="37" t="inlineStr">
        <is>
          <t>R8</t>
        </is>
      </c>
      <c r="HQ4" s="37" t="inlineStr">
        <is>
          <t>R9</t>
        </is>
      </c>
      <c r="HR4" s="60" t="inlineStr">
        <is>
          <t>R10</t>
        </is>
      </c>
      <c r="HS4" s="62" t="inlineStr">
        <is>
          <t>R11</t>
        </is>
      </c>
      <c r="HT4" s="63" t="inlineStr">
        <is>
          <t>R12</t>
        </is>
      </c>
      <c r="HU4" s="606" t="n"/>
      <c r="HV4" s="646" t="inlineStr">
        <is>
          <t>GA1</t>
        </is>
      </c>
      <c r="HW4" s="646" t="inlineStr">
        <is>
          <t>GA2</t>
        </is>
      </c>
      <c r="HX4" s="646" t="inlineStr">
        <is>
          <t>GA3</t>
        </is>
      </c>
      <c r="HY4" s="646" t="inlineStr">
        <is>
          <t>GA4</t>
        </is>
      </c>
      <c r="HZ4" s="646" t="inlineStr">
        <is>
          <t>GA5</t>
        </is>
      </c>
      <c r="IA4" s="646" t="inlineStr">
        <is>
          <t>GA6</t>
        </is>
      </c>
      <c r="IB4" s="646" t="inlineStr">
        <is>
          <t>GA7</t>
        </is>
      </c>
      <c r="IC4" s="646" t="inlineStr">
        <is>
          <t>GA8</t>
        </is>
      </c>
      <c r="ID4" s="646" t="inlineStr">
        <is>
          <t>GA9</t>
        </is>
      </c>
      <c r="IE4" s="646" t="inlineStr">
        <is>
          <t>GA10</t>
        </is>
      </c>
    </row>
    <row r="5" ht="24" customHeight="1" s="590">
      <c r="B5" s="606" t="n"/>
      <c r="C5" s="342" t="n"/>
      <c r="D5" s="608" t="n"/>
      <c r="E5" s="383" t="inlineStr">
        <is>
          <t>Theory</t>
        </is>
      </c>
      <c r="H5" s="384" t="inlineStr">
        <is>
          <t>Lab</t>
        </is>
      </c>
      <c r="I5" s="591" t="n"/>
      <c r="J5" s="383" t="inlineStr">
        <is>
          <t>Theory</t>
        </is>
      </c>
      <c r="M5" s="384" t="inlineStr">
        <is>
          <t>Lab</t>
        </is>
      </c>
      <c r="N5" s="591" t="n"/>
      <c r="O5" s="383" t="inlineStr">
        <is>
          <t>Theory</t>
        </is>
      </c>
      <c r="R5" s="384" t="inlineStr">
        <is>
          <t>Lab</t>
        </is>
      </c>
      <c r="T5" s="591" t="n"/>
      <c r="U5" s="418" t="inlineStr">
        <is>
          <t>Theory</t>
        </is>
      </c>
      <c r="V5" s="603" t="n"/>
      <c r="W5" s="603" t="n"/>
      <c r="X5" s="489" t="inlineStr">
        <is>
          <t>Lab</t>
        </is>
      </c>
      <c r="Y5" s="648" t="n"/>
      <c r="Z5" s="418" t="inlineStr">
        <is>
          <t>Theory</t>
        </is>
      </c>
      <c r="AA5" s="603" t="n"/>
      <c r="AB5" s="603" t="n"/>
      <c r="AC5" s="363" t="n"/>
      <c r="AD5" s="384" t="n"/>
      <c r="AE5" s="690" t="inlineStr">
        <is>
          <t>Theory</t>
        </is>
      </c>
      <c r="AG5" s="591" t="n"/>
      <c r="AH5" s="363" t="inlineStr">
        <is>
          <t>Theory</t>
        </is>
      </c>
      <c r="AL5" s="363" t="inlineStr">
        <is>
          <t>Lab</t>
        </is>
      </c>
      <c r="AN5" s="383" t="n"/>
      <c r="AO5" s="363" t="n"/>
      <c r="AP5" s="384" t="n"/>
      <c r="AQ5" s="363" t="n"/>
      <c r="AR5" s="363" t="n"/>
      <c r="AS5" s="363" t="n"/>
      <c r="AT5" s="363" t="n"/>
      <c r="AU5" s="383" t="inlineStr">
        <is>
          <t>Theory</t>
        </is>
      </c>
      <c r="AX5" s="384" t="inlineStr">
        <is>
          <t>Lab</t>
        </is>
      </c>
      <c r="BA5" s="591" t="n"/>
      <c r="BB5" s="383" t="n"/>
      <c r="BC5" s="363" t="n"/>
      <c r="BD5" s="384" t="n"/>
      <c r="BE5" s="383" t="n"/>
      <c r="BF5" s="363" t="n"/>
      <c r="BG5" s="384" t="n"/>
      <c r="BH5" s="383" t="n"/>
      <c r="BI5" s="363" t="n"/>
      <c r="BJ5" s="384" t="n"/>
      <c r="BK5" s="383" t="n"/>
      <c r="BL5" s="363" t="n"/>
      <c r="BM5" s="384" t="n"/>
      <c r="BN5" s="383" t="n"/>
      <c r="BO5" s="363" t="n"/>
      <c r="BP5" s="363" t="n"/>
      <c r="BQ5" s="363" t="n"/>
      <c r="BR5" s="363" t="n"/>
      <c r="BS5" s="363" t="n"/>
      <c r="BT5" s="384" t="n"/>
      <c r="BU5" s="383" t="n"/>
      <c r="BV5" s="383" t="inlineStr">
        <is>
          <t>Theory</t>
        </is>
      </c>
      <c r="BZ5" s="363" t="inlineStr">
        <is>
          <t>Lab</t>
        </is>
      </c>
      <c r="CB5" s="362" t="n"/>
      <c r="CC5" s="362" t="n"/>
      <c r="CD5" s="362" t="n"/>
      <c r="CE5" s="362" t="n"/>
      <c r="CF5" s="362" t="n"/>
      <c r="CG5" s="133" t="n"/>
      <c r="CH5" s="362" t="n"/>
      <c r="CI5" s="363" t="n"/>
      <c r="CJ5" s="364" t="inlineStr">
        <is>
          <t>Lab</t>
        </is>
      </c>
      <c r="CK5" s="649" t="n"/>
      <c r="CL5" s="133" t="inlineStr">
        <is>
          <t>Theory</t>
        </is>
      </c>
      <c r="CN5" s="649" t="n"/>
      <c r="CO5" s="362" t="inlineStr">
        <is>
          <t>Lab</t>
        </is>
      </c>
      <c r="CQ5" s="133" t="inlineStr">
        <is>
          <t>GA 2</t>
        </is>
      </c>
      <c r="CR5" s="133" t="inlineStr">
        <is>
          <t>GA 3</t>
        </is>
      </c>
      <c r="CS5" s="133" t="inlineStr">
        <is>
          <t>GA 5</t>
        </is>
      </c>
      <c r="CT5" s="362" t="n"/>
      <c r="CU5" s="364" t="n"/>
      <c r="CV5" s="133" t="n"/>
      <c r="CW5" s="383" t="inlineStr">
        <is>
          <t>Theory</t>
        </is>
      </c>
      <c r="CZ5" s="384" t="inlineStr">
        <is>
          <t>Lab</t>
        </is>
      </c>
      <c r="DA5" s="591" t="n"/>
      <c r="DB5" s="133" t="inlineStr">
        <is>
          <t>Theory</t>
        </is>
      </c>
      <c r="DD5" s="649" t="n"/>
      <c r="DE5" s="362" t="inlineStr">
        <is>
          <t>Lab</t>
        </is>
      </c>
      <c r="DG5" s="363" t="inlineStr">
        <is>
          <t>Theory</t>
        </is>
      </c>
      <c r="DJ5" s="363" t="inlineStr">
        <is>
          <t>Lab</t>
        </is>
      </c>
      <c r="DL5" s="362" t="inlineStr">
        <is>
          <t>Theory</t>
        </is>
      </c>
      <c r="DP5" s="363" t="inlineStr">
        <is>
          <t>Lab</t>
        </is>
      </c>
      <c r="DR5" s="363" t="n"/>
      <c r="DS5" s="363" t="n"/>
      <c r="DT5" s="363" t="n"/>
      <c r="DU5" s="136" t="n"/>
      <c r="DV5" s="136" t="n"/>
      <c r="DW5" s="363" t="n"/>
      <c r="DX5" s="363" t="n"/>
      <c r="DY5" s="362" t="n"/>
      <c r="DZ5" s="363" t="n"/>
      <c r="EA5" s="383" t="n"/>
      <c r="EB5" s="383" t="n"/>
      <c r="EC5" s="383" t="n"/>
      <c r="ED5" s="363" t="n"/>
      <c r="EE5" s="363" t="n"/>
      <c r="EF5" s="356" t="inlineStr">
        <is>
          <t>Theory</t>
        </is>
      </c>
      <c r="EI5" s="53" t="inlineStr">
        <is>
          <t>Lab</t>
        </is>
      </c>
      <c r="EJ5" s="591" t="n"/>
      <c r="EK5" s="362" t="n"/>
      <c r="EL5" s="363" t="n"/>
      <c r="EM5" s="363" t="n"/>
      <c r="EN5" s="363" t="n"/>
      <c r="EO5" s="362" t="n"/>
      <c r="EP5" s="362" t="n"/>
      <c r="EQ5" s="362" t="inlineStr">
        <is>
          <t>Theory</t>
        </is>
      </c>
      <c r="EU5" s="363" t="inlineStr">
        <is>
          <t>Lab</t>
        </is>
      </c>
      <c r="EW5" s="363" t="n"/>
      <c r="EX5" s="363" t="n"/>
      <c r="EY5" s="363" t="n"/>
      <c r="EZ5" s="362" t="inlineStr">
        <is>
          <t>Theory</t>
        </is>
      </c>
      <c r="FC5" s="362" t="inlineStr">
        <is>
          <t>Theory</t>
        </is>
      </c>
      <c r="FG5" s="362" t="inlineStr">
        <is>
          <t>Lab</t>
        </is>
      </c>
      <c r="FI5" s="383" t="inlineStr">
        <is>
          <t>Theory</t>
        </is>
      </c>
      <c r="FL5" s="384" t="inlineStr">
        <is>
          <t>Lab</t>
        </is>
      </c>
      <c r="FM5" s="591" t="n"/>
      <c r="FN5" s="363" t="n"/>
      <c r="FO5" s="384" t="n"/>
      <c r="FP5" s="383" t="inlineStr">
        <is>
          <t>Theory</t>
        </is>
      </c>
      <c r="FS5" s="384" t="inlineStr">
        <is>
          <t>Lab</t>
        </is>
      </c>
      <c r="FT5" s="591" t="n"/>
      <c r="FU5" s="54" t="n"/>
      <c r="FV5" s="55" t="n"/>
      <c r="FW5" s="55" t="n"/>
      <c r="FX5" s="55" t="n"/>
      <c r="FY5" s="55" t="n"/>
      <c r="FZ5" s="55" t="n"/>
      <c r="GA5" s="55" t="n"/>
      <c r="GB5" s="55" t="n"/>
      <c r="GC5" s="55" t="n"/>
      <c r="GD5" s="55" t="n"/>
      <c r="GE5" s="55" t="n"/>
      <c r="GF5" s="53" t="n"/>
      <c r="GG5" s="362" t="n"/>
      <c r="GH5" s="363" t="n"/>
      <c r="GI5" s="363" t="n"/>
      <c r="GJ5" s="364" t="n"/>
      <c r="GK5" s="363" t="n"/>
      <c r="GL5" s="363" t="n"/>
      <c r="GM5" s="363" t="n"/>
      <c r="GN5" s="363" t="n"/>
      <c r="GO5" s="356" t="inlineStr">
        <is>
          <t>Theory</t>
        </is>
      </c>
      <c r="GR5" s="53" t="inlineStr">
        <is>
          <t>Lab</t>
        </is>
      </c>
      <c r="GS5" s="591" t="n"/>
      <c r="GT5" s="356" t="inlineStr">
        <is>
          <t>Theory</t>
        </is>
      </c>
      <c r="GW5" s="53" t="inlineStr">
        <is>
          <t>Lab</t>
        </is>
      </c>
      <c r="GX5" s="591" t="n"/>
      <c r="GY5" s="362" t="n"/>
      <c r="GZ5" s="363" t="n"/>
      <c r="HA5" s="363" t="n"/>
      <c r="HB5" s="356" t="n"/>
      <c r="HC5" s="358" t="n"/>
      <c r="HD5" s="53" t="n"/>
      <c r="HE5" s="363" t="n"/>
      <c r="HF5" s="363" t="n"/>
      <c r="HG5" s="363" t="n"/>
      <c r="HH5" s="363" t="n"/>
      <c r="HI5" s="54" t="n"/>
      <c r="HJ5" s="55" t="n"/>
      <c r="HK5" s="55" t="n"/>
      <c r="HL5" s="55" t="n"/>
      <c r="HM5" s="55" t="n"/>
      <c r="HN5" s="55" t="n"/>
      <c r="HO5" s="55" t="n"/>
      <c r="HP5" s="55" t="n"/>
      <c r="HQ5" s="55" t="n"/>
      <c r="HR5" s="55" t="n"/>
      <c r="HS5" s="358" t="n"/>
      <c r="HT5" s="359" t="n"/>
      <c r="HU5" s="606" t="n"/>
      <c r="HV5" s="606" t="n"/>
      <c r="HW5" s="606" t="n"/>
      <c r="HX5" s="606" t="n"/>
      <c r="HY5" s="606" t="n"/>
      <c r="HZ5" s="606" t="n"/>
      <c r="IA5" s="606" t="n"/>
      <c r="IB5" s="606" t="n"/>
      <c r="IC5" s="606" t="n"/>
      <c r="ID5" s="606" t="n"/>
      <c r="IE5" s="606" t="n"/>
    </row>
    <row r="6" ht="24" customHeight="1" s="590">
      <c r="B6" s="652" t="n"/>
      <c r="C6" s="343" t="n"/>
      <c r="D6" s="650" t="n"/>
      <c r="E6" s="490" t="inlineStr">
        <is>
          <t>GA2</t>
        </is>
      </c>
      <c r="F6" s="490" t="inlineStr">
        <is>
          <t>GA2</t>
        </is>
      </c>
      <c r="G6" s="490" t="inlineStr">
        <is>
          <t>GA3</t>
        </is>
      </c>
      <c r="H6" s="360" t="inlineStr">
        <is>
          <t>GA1</t>
        </is>
      </c>
      <c r="I6" s="361" t="inlineStr">
        <is>
          <t>GA4</t>
        </is>
      </c>
      <c r="J6" s="258" t="inlineStr">
        <is>
          <t>GA2</t>
        </is>
      </c>
      <c r="K6" s="258" t="inlineStr">
        <is>
          <t>GA2</t>
        </is>
      </c>
      <c r="L6" s="258" t="inlineStr">
        <is>
          <t>GA3</t>
        </is>
      </c>
      <c r="M6" s="258" t="inlineStr">
        <is>
          <t>GA5</t>
        </is>
      </c>
      <c r="N6" s="258" t="inlineStr">
        <is>
          <t>GA9</t>
        </is>
      </c>
      <c r="O6" s="490" t="inlineStr">
        <is>
          <t>GA 2</t>
        </is>
      </c>
      <c r="P6" s="360" t="inlineStr">
        <is>
          <t>GA 5</t>
        </is>
      </c>
      <c r="Q6" s="360" t="inlineStr">
        <is>
          <t>GA 3</t>
        </is>
      </c>
      <c r="R6" s="360" t="inlineStr">
        <is>
          <t>GA 2</t>
        </is>
      </c>
      <c r="S6" s="360" t="inlineStr">
        <is>
          <t>GA 5</t>
        </is>
      </c>
      <c r="T6" s="360" t="inlineStr">
        <is>
          <t>GA 10</t>
        </is>
      </c>
      <c r="U6" s="123" t="inlineStr">
        <is>
          <t>GA2</t>
        </is>
      </c>
      <c r="V6" s="123" t="inlineStr">
        <is>
          <t>GA3</t>
        </is>
      </c>
      <c r="W6" s="123" t="inlineStr">
        <is>
          <t>GA3</t>
        </is>
      </c>
      <c r="X6" s="123" t="inlineStr">
        <is>
          <t>GA3</t>
        </is>
      </c>
      <c r="Y6" s="123" t="inlineStr">
        <is>
          <t>GA3</t>
        </is>
      </c>
      <c r="Z6" s="490" t="inlineStr">
        <is>
          <t>GA2</t>
        </is>
      </c>
      <c r="AA6" s="360" t="inlineStr">
        <is>
          <t>GA2</t>
        </is>
      </c>
      <c r="AB6" s="360" t="inlineStr">
        <is>
          <t>GA3</t>
        </is>
      </c>
      <c r="AC6" s="124" t="inlineStr">
        <is>
          <t>GA10</t>
        </is>
      </c>
      <c r="AD6" s="125" t="inlineStr">
        <is>
          <t>GA2</t>
        </is>
      </c>
      <c r="AE6" s="123" t="inlineStr">
        <is>
          <t>GA 3</t>
        </is>
      </c>
      <c r="AF6" s="124" t="inlineStr">
        <is>
          <t>GA 5</t>
        </is>
      </c>
      <c r="AG6" s="125" t="inlineStr">
        <is>
          <t>GA 6</t>
        </is>
      </c>
      <c r="AH6" s="490" t="inlineStr">
        <is>
          <t>GA 2</t>
        </is>
      </c>
      <c r="AI6" s="598" t="n"/>
      <c r="AJ6" s="360" t="inlineStr">
        <is>
          <t>GA 4</t>
        </is>
      </c>
      <c r="AK6" s="598" t="n"/>
      <c r="AL6" s="360" t="inlineStr">
        <is>
          <t>GA 4</t>
        </is>
      </c>
      <c r="AM6" s="372" t="inlineStr">
        <is>
          <t xml:space="preserve">GA 5 </t>
        </is>
      </c>
      <c r="AN6" s="130" t="inlineStr">
        <is>
          <t>GA1</t>
        </is>
      </c>
      <c r="AO6" s="598" t="n"/>
      <c r="AP6" s="629" t="n"/>
      <c r="AQ6" s="124" t="inlineStr">
        <is>
          <t>GA1</t>
        </is>
      </c>
      <c r="AR6" s="124" t="inlineStr">
        <is>
          <t>GA 2</t>
        </is>
      </c>
      <c r="AS6" s="124" t="inlineStr">
        <is>
          <t>GA4</t>
        </is>
      </c>
      <c r="AT6" s="124" t="inlineStr">
        <is>
          <t>GA5</t>
        </is>
      </c>
      <c r="AU6" s="123" t="inlineStr">
        <is>
          <t>GA 1</t>
        </is>
      </c>
      <c r="AV6" s="124" t="inlineStr">
        <is>
          <t>GA 4</t>
        </is>
      </c>
      <c r="AW6" s="124" t="inlineStr">
        <is>
          <t>GA 4</t>
        </is>
      </c>
      <c r="AX6" s="373" t="inlineStr">
        <is>
          <t>GA 1</t>
        </is>
      </c>
      <c r="AY6" s="373" t="inlineStr">
        <is>
          <t>GA 6</t>
        </is>
      </c>
      <c r="AZ6" s="373" t="inlineStr">
        <is>
          <t>GA 7</t>
        </is>
      </c>
      <c r="BA6" s="89" t="inlineStr">
        <is>
          <t>GA 9</t>
        </is>
      </c>
      <c r="BB6" s="130" t="inlineStr">
        <is>
          <t>GA 2</t>
        </is>
      </c>
      <c r="BC6" s="89" t="inlineStr">
        <is>
          <t>GA 3</t>
        </is>
      </c>
      <c r="BD6" s="629" t="n"/>
      <c r="BE6" s="73" t="inlineStr">
        <is>
          <t>GA5</t>
        </is>
      </c>
      <c r="BF6" s="599" t="n"/>
      <c r="BG6" s="89" t="inlineStr">
        <is>
          <t>GA1</t>
        </is>
      </c>
      <c r="BH6" s="73" t="inlineStr">
        <is>
          <t>GA2</t>
        </is>
      </c>
      <c r="BI6" s="599" t="n"/>
      <c r="BJ6" s="89" t="inlineStr">
        <is>
          <t>GA4</t>
        </is>
      </c>
      <c r="BK6" s="130" t="inlineStr">
        <is>
          <t>GA6</t>
        </is>
      </c>
      <c r="BL6" s="89" t="inlineStr">
        <is>
          <t>GA7</t>
        </is>
      </c>
      <c r="BM6" s="89" t="inlineStr">
        <is>
          <t>GA8</t>
        </is>
      </c>
      <c r="BN6" s="73" t="inlineStr">
        <is>
          <t>GA1</t>
        </is>
      </c>
      <c r="BO6" s="598" t="n"/>
      <c r="BP6" s="598" t="n"/>
      <c r="BQ6" s="598" t="n"/>
      <c r="BR6" s="599" t="n"/>
      <c r="BS6" s="89" t="inlineStr">
        <is>
          <t>GA8</t>
        </is>
      </c>
      <c r="BT6" s="89" t="inlineStr">
        <is>
          <t>GA10</t>
        </is>
      </c>
      <c r="BU6" s="130" t="inlineStr">
        <is>
          <t>GA1</t>
        </is>
      </c>
      <c r="BV6" s="130" t="inlineStr">
        <is>
          <t>GA2</t>
        </is>
      </c>
      <c r="BW6" s="629" t="n"/>
      <c r="BX6" s="361" t="inlineStr">
        <is>
          <t>GA 5</t>
        </is>
      </c>
      <c r="BY6" s="629" t="n"/>
      <c r="BZ6" s="89" t="inlineStr">
        <is>
          <t>GA 2</t>
        </is>
      </c>
      <c r="CA6" s="372" t="inlineStr">
        <is>
          <t>GA5</t>
        </is>
      </c>
      <c r="CB6" s="89" t="inlineStr">
        <is>
          <t>GA2</t>
        </is>
      </c>
      <c r="CC6" s="89" t="inlineStr">
        <is>
          <t>GA3</t>
        </is>
      </c>
      <c r="CD6" s="89" t="inlineStr">
        <is>
          <t>GA2</t>
        </is>
      </c>
      <c r="CE6" s="89" t="inlineStr">
        <is>
          <t>GA4</t>
        </is>
      </c>
      <c r="CF6" s="89" t="inlineStr">
        <is>
          <t>GA8</t>
        </is>
      </c>
      <c r="CG6" s="134" t="inlineStr">
        <is>
          <t>GA10</t>
        </is>
      </c>
      <c r="CH6" s="135" t="inlineStr">
        <is>
          <t>GA 2</t>
        </is>
      </c>
      <c r="CI6" s="136" t="inlineStr">
        <is>
          <t>GA 5</t>
        </is>
      </c>
      <c r="CJ6" s="136" t="inlineStr">
        <is>
          <t>GA 2</t>
        </is>
      </c>
      <c r="CK6" s="104" t="inlineStr">
        <is>
          <t>GA 3</t>
        </is>
      </c>
      <c r="CL6" s="89" t="inlineStr">
        <is>
          <t>GA2</t>
        </is>
      </c>
      <c r="CM6" s="89" t="inlineStr">
        <is>
          <t>GA3</t>
        </is>
      </c>
      <c r="CN6" s="89" t="inlineStr">
        <is>
          <t>GA5</t>
        </is>
      </c>
      <c r="CO6" s="89" t="inlineStr">
        <is>
          <t>GA8</t>
        </is>
      </c>
      <c r="CP6" s="372" t="inlineStr">
        <is>
          <t>GA10</t>
        </is>
      </c>
      <c r="CQ6" s="134" t="inlineStr">
        <is>
          <t>PLO10</t>
        </is>
      </c>
      <c r="CR6" s="134" t="inlineStr">
        <is>
          <t>PLO9</t>
        </is>
      </c>
      <c r="CS6" s="134" t="inlineStr">
        <is>
          <t>PLO5</t>
        </is>
      </c>
      <c r="CT6" s="133" t="inlineStr">
        <is>
          <t>PLO1</t>
        </is>
      </c>
      <c r="CU6" s="649" t="n"/>
      <c r="CV6" s="134" t="inlineStr">
        <is>
          <t>PLO3</t>
        </is>
      </c>
      <c r="CW6" s="73" t="inlineStr">
        <is>
          <t>GA 1</t>
        </is>
      </c>
      <c r="CX6" s="372" t="inlineStr">
        <is>
          <t>GA 2</t>
        </is>
      </c>
      <c r="CY6" s="360" t="inlineStr">
        <is>
          <t>GA 3</t>
        </is>
      </c>
      <c r="CZ6" s="360" t="inlineStr">
        <is>
          <t>GA 4</t>
        </is>
      </c>
      <c r="DA6" s="361" t="inlineStr">
        <is>
          <t>GA 5</t>
        </is>
      </c>
      <c r="DB6" s="89" t="inlineStr">
        <is>
          <t>GA2</t>
        </is>
      </c>
      <c r="DC6" s="89" t="inlineStr">
        <is>
          <t>GA3</t>
        </is>
      </c>
      <c r="DD6" s="89" t="inlineStr">
        <is>
          <t>GA5</t>
        </is>
      </c>
      <c r="DE6" s="89" t="inlineStr">
        <is>
          <t>GA8</t>
        </is>
      </c>
      <c r="DF6" s="372" t="inlineStr">
        <is>
          <t>GA10</t>
        </is>
      </c>
      <c r="DG6" s="490" t="inlineStr">
        <is>
          <t>GA 1</t>
        </is>
      </c>
      <c r="DH6" s="360" t="inlineStr">
        <is>
          <t>GA 2</t>
        </is>
      </c>
      <c r="DI6" s="360" t="inlineStr">
        <is>
          <t>GA 5</t>
        </is>
      </c>
      <c r="DJ6" s="361" t="inlineStr">
        <is>
          <t>GA 5</t>
        </is>
      </c>
      <c r="DK6" s="629" t="n"/>
      <c r="DL6" s="166" t="inlineStr">
        <is>
          <t>GA 1</t>
        </is>
      </c>
      <c r="DM6" s="125" t="inlineStr">
        <is>
          <t>GA 3</t>
        </is>
      </c>
      <c r="DN6" s="73" t="inlineStr">
        <is>
          <t>GA 4</t>
        </is>
      </c>
      <c r="DO6" s="73" t="inlineStr">
        <is>
          <t>GA 5</t>
        </is>
      </c>
      <c r="DP6" s="73" t="inlineStr">
        <is>
          <t>GA 4</t>
        </is>
      </c>
      <c r="DQ6" s="599" t="n"/>
      <c r="DR6" s="490" t="inlineStr">
        <is>
          <t>PLO2</t>
        </is>
      </c>
      <c r="DS6" s="598" t="n"/>
      <c r="DT6" s="598" t="n"/>
      <c r="DU6" s="124" t="inlineStr">
        <is>
          <t>PLO3</t>
        </is>
      </c>
      <c r="DV6" s="125" t="inlineStr">
        <is>
          <t>PLO5</t>
        </is>
      </c>
      <c r="DW6" s="73" t="inlineStr">
        <is>
          <t>PLO8</t>
        </is>
      </c>
      <c r="DX6" s="73" t="inlineStr">
        <is>
          <t>PLO10</t>
        </is>
      </c>
      <c r="DY6" s="89" t="inlineStr">
        <is>
          <t>PLO2</t>
        </is>
      </c>
      <c r="DZ6" s="629" t="n"/>
      <c r="EA6" s="73" t="inlineStr">
        <is>
          <t>PLO3</t>
        </is>
      </c>
      <c r="EB6" s="73" t="inlineStr">
        <is>
          <t>PLO5</t>
        </is>
      </c>
      <c r="EC6" s="73" t="inlineStr">
        <is>
          <t>PLO1</t>
        </is>
      </c>
      <c r="ED6" s="73" t="inlineStr">
        <is>
          <t>PLO8</t>
        </is>
      </c>
      <c r="EE6" s="73" t="inlineStr">
        <is>
          <t>PLO10</t>
        </is>
      </c>
      <c r="EF6" s="27" t="inlineStr">
        <is>
          <t>GA 1</t>
        </is>
      </c>
      <c r="EG6" s="27" t="inlineStr">
        <is>
          <t>GA 3</t>
        </is>
      </c>
      <c r="EH6" s="651" t="n"/>
      <c r="EI6" s="27" t="inlineStr">
        <is>
          <t>GA 1</t>
        </is>
      </c>
      <c r="EJ6" s="27" t="inlineStr">
        <is>
          <t>GA 3</t>
        </is>
      </c>
      <c r="EK6" s="134" t="inlineStr">
        <is>
          <t>PLO1</t>
        </is>
      </c>
      <c r="EL6" s="373" t="inlineStr">
        <is>
          <t>PLO3</t>
        </is>
      </c>
      <c r="EM6" s="373" t="inlineStr">
        <is>
          <t>PLO2</t>
        </is>
      </c>
      <c r="EN6" s="373" t="inlineStr">
        <is>
          <t>PLO5</t>
        </is>
      </c>
      <c r="EO6" s="73" t="inlineStr">
        <is>
          <t>PLO8</t>
        </is>
      </c>
      <c r="EP6" s="73" t="inlineStr">
        <is>
          <t>PLO10</t>
        </is>
      </c>
      <c r="EQ6" s="372" t="inlineStr">
        <is>
          <t>GA 1</t>
        </is>
      </c>
      <c r="ER6" s="360" t="inlineStr">
        <is>
          <t>GA 2</t>
        </is>
      </c>
      <c r="ES6" s="360" t="inlineStr">
        <is>
          <t>GA 3</t>
        </is>
      </c>
      <c r="ET6" s="360" t="inlineStr">
        <is>
          <t>GA 4</t>
        </is>
      </c>
      <c r="EU6" s="360" t="n"/>
      <c r="EV6" s="373" t="n"/>
      <c r="EW6" s="134" t="inlineStr">
        <is>
          <t>GA 1</t>
        </is>
      </c>
      <c r="EX6" s="73" t="inlineStr">
        <is>
          <t>GA 7</t>
        </is>
      </c>
      <c r="EY6" s="73" t="inlineStr">
        <is>
          <t>GA 8</t>
        </is>
      </c>
      <c r="EZ6" s="134" t="inlineStr">
        <is>
          <t>GA 1</t>
        </is>
      </c>
      <c r="FA6" s="373" t="inlineStr">
        <is>
          <t>GA 2</t>
        </is>
      </c>
      <c r="FB6" s="373" t="inlineStr">
        <is>
          <t>GA 9</t>
        </is>
      </c>
      <c r="FC6" s="134" t="inlineStr">
        <is>
          <t>GA2</t>
        </is>
      </c>
      <c r="FD6" s="373" t="inlineStr">
        <is>
          <t>GA 2</t>
        </is>
      </c>
      <c r="FE6" s="373" t="inlineStr">
        <is>
          <t>GA 3</t>
        </is>
      </c>
      <c r="FF6" s="73" t="inlineStr">
        <is>
          <t>GA 5</t>
        </is>
      </c>
      <c r="FG6" s="73" t="inlineStr">
        <is>
          <t>GA 3</t>
        </is>
      </c>
      <c r="FH6" s="73" t="inlineStr">
        <is>
          <t>GA 4</t>
        </is>
      </c>
      <c r="FI6" s="73" t="inlineStr">
        <is>
          <t>GA 1</t>
        </is>
      </c>
      <c r="FJ6" s="372" t="inlineStr">
        <is>
          <t>GA 2</t>
        </is>
      </c>
      <c r="FK6" s="360" t="inlineStr">
        <is>
          <t>GA 3</t>
        </is>
      </c>
      <c r="FL6" s="360" t="inlineStr">
        <is>
          <t>GA 4</t>
        </is>
      </c>
      <c r="FM6" s="361" t="inlineStr">
        <is>
          <t>GA 5</t>
        </is>
      </c>
      <c r="FN6" s="373" t="inlineStr">
        <is>
          <t>PLO4</t>
        </is>
      </c>
      <c r="FO6" s="89" t="inlineStr">
        <is>
          <t>PLO5</t>
        </is>
      </c>
      <c r="FP6" s="490" t="inlineStr">
        <is>
          <t>GA 1</t>
        </is>
      </c>
      <c r="FQ6" s="360" t="inlineStr">
        <is>
          <t>GA 2</t>
        </is>
      </c>
      <c r="FR6" s="360" t="inlineStr">
        <is>
          <t>GA 3</t>
        </is>
      </c>
      <c r="FS6" s="360" t="inlineStr">
        <is>
          <t>GA 1</t>
        </is>
      </c>
      <c r="FT6" s="361" t="inlineStr">
        <is>
          <t>GA 3</t>
        </is>
      </c>
      <c r="FU6" s="57" t="inlineStr">
        <is>
          <t>GA1</t>
        </is>
      </c>
      <c r="FV6" s="58" t="inlineStr">
        <is>
          <t>GA2</t>
        </is>
      </c>
      <c r="FW6" s="58" t="inlineStr">
        <is>
          <t>GA3</t>
        </is>
      </c>
      <c r="FX6" s="58" t="inlineStr">
        <is>
          <t>GA4</t>
        </is>
      </c>
      <c r="FY6" s="58" t="inlineStr">
        <is>
          <t>GA5</t>
        </is>
      </c>
      <c r="FZ6" s="58" t="inlineStr">
        <is>
          <t>GA6</t>
        </is>
      </c>
      <c r="GA6" s="58" t="inlineStr">
        <is>
          <t>GA7</t>
        </is>
      </c>
      <c r="GB6" s="58" t="inlineStr">
        <is>
          <t>GA8</t>
        </is>
      </c>
      <c r="GC6" s="58" t="inlineStr">
        <is>
          <t>GA9</t>
        </is>
      </c>
      <c r="GD6" s="58" t="inlineStr">
        <is>
          <t>GA10</t>
        </is>
      </c>
      <c r="GE6" s="58" t="inlineStr">
        <is>
          <t>GA11</t>
        </is>
      </c>
      <c r="GF6" s="27" t="inlineStr">
        <is>
          <t>GA12</t>
        </is>
      </c>
      <c r="GG6" s="133" t="n"/>
      <c r="GJ6" s="649" t="n"/>
      <c r="GK6" s="364" t="n"/>
      <c r="GL6" s="364" t="n"/>
      <c r="GM6" s="364" t="n"/>
      <c r="GN6" s="364" t="n"/>
      <c r="GO6" s="27" t="inlineStr">
        <is>
          <t>GA 1</t>
        </is>
      </c>
      <c r="GP6" s="27" t="inlineStr">
        <is>
          <t>GA 3</t>
        </is>
      </c>
      <c r="GQ6" s="651" t="n"/>
      <c r="GR6" s="27" t="inlineStr">
        <is>
          <t>GA 1</t>
        </is>
      </c>
      <c r="GS6" s="27" t="inlineStr">
        <is>
          <t>GA 3</t>
        </is>
      </c>
      <c r="GT6" s="516" t="inlineStr">
        <is>
          <t>GA 1</t>
        </is>
      </c>
      <c r="GU6" s="366" t="inlineStr">
        <is>
          <t>GA 2</t>
        </is>
      </c>
      <c r="GV6" s="27" t="inlineStr">
        <is>
          <t>GA 5</t>
        </is>
      </c>
      <c r="GW6" s="27" t="inlineStr">
        <is>
          <t>GA 5</t>
        </is>
      </c>
      <c r="GX6" s="651" t="n"/>
      <c r="GY6" s="134" t="inlineStr">
        <is>
          <t>PLO1</t>
        </is>
      </c>
      <c r="GZ6" s="598" t="n"/>
      <c r="HA6" s="599" t="n"/>
      <c r="HB6" s="56" t="inlineStr">
        <is>
          <t>PLO1</t>
        </is>
      </c>
      <c r="HC6" s="27" t="inlineStr">
        <is>
          <t>PLO2</t>
        </is>
      </c>
      <c r="HD6" s="27" t="inlineStr">
        <is>
          <t>PLO5</t>
        </is>
      </c>
      <c r="HE6" s="364" t="n"/>
      <c r="HF6" s="364" t="n"/>
      <c r="HG6" s="364" t="n"/>
      <c r="HH6" s="364" t="n"/>
      <c r="HI6" s="57" t="inlineStr">
        <is>
          <t>GA1</t>
        </is>
      </c>
      <c r="HJ6" s="58" t="inlineStr">
        <is>
          <t>GA2</t>
        </is>
      </c>
      <c r="HK6" s="58" t="inlineStr">
        <is>
          <t>GA3</t>
        </is>
      </c>
      <c r="HL6" s="58" t="inlineStr">
        <is>
          <t>GA4</t>
        </is>
      </c>
      <c r="HM6" s="58" t="inlineStr">
        <is>
          <t>GA5</t>
        </is>
      </c>
      <c r="HN6" s="58" t="inlineStr">
        <is>
          <t>GA6</t>
        </is>
      </c>
      <c r="HO6" s="58" t="inlineStr">
        <is>
          <t>GA7</t>
        </is>
      </c>
      <c r="HP6" s="58" t="inlineStr">
        <is>
          <t>GA8</t>
        </is>
      </c>
      <c r="HQ6" s="58" t="inlineStr">
        <is>
          <t>GA9</t>
        </is>
      </c>
      <c r="HR6" s="58" t="inlineStr">
        <is>
          <t>GA10</t>
        </is>
      </c>
      <c r="HS6" s="365" t="inlineStr">
        <is>
          <t>GA11</t>
        </is>
      </c>
      <c r="HT6" s="56" t="inlineStr">
        <is>
          <t>GA12</t>
        </is>
      </c>
      <c r="HU6" s="606" t="n"/>
      <c r="HV6" s="652" t="n"/>
      <c r="HW6" s="652" t="n"/>
      <c r="HX6" s="652" t="n"/>
      <c r="HY6" s="652" t="n"/>
      <c r="HZ6" s="652" t="n"/>
      <c r="IA6" s="652" t="n"/>
      <c r="IB6" s="652" t="n"/>
      <c r="IC6" s="652" t="n"/>
      <c r="ID6" s="652" t="n"/>
      <c r="IE6" s="652" t="n"/>
    </row>
    <row r="7" ht="18" customHeight="1" s="590">
      <c r="B7" s="12" t="n">
        <v>1</v>
      </c>
      <c r="C7" s="13" t="inlineStr">
        <is>
          <t>052-24-125239</t>
        </is>
      </c>
      <c r="D7" s="14" t="inlineStr">
        <is>
          <t>Amir Ahmad</t>
        </is>
      </c>
      <c r="E7" s="526" t="n">
        <v>38</v>
      </c>
      <c r="F7" s="526" t="n">
        <v>43.33</v>
      </c>
      <c r="G7" s="526" t="n">
        <v>62.5</v>
      </c>
      <c r="H7" s="510" t="n">
        <v>0</v>
      </c>
      <c r="I7" s="526" t="n">
        <v>0</v>
      </c>
      <c r="J7" s="250" t="n">
        <v>65</v>
      </c>
      <c r="K7" s="251" t="n">
        <v>62</v>
      </c>
      <c r="L7" s="251" t="n">
        <v>66.67</v>
      </c>
      <c r="M7" s="251" t="n"/>
      <c r="N7" s="252" t="n"/>
      <c r="O7" s="524" t="n">
        <v>29.58</v>
      </c>
      <c r="P7" s="524" t="n">
        <v>28.33</v>
      </c>
      <c r="Q7" s="524" t="n">
        <v>65.5</v>
      </c>
      <c r="R7" s="115" t="n">
        <v>55.37</v>
      </c>
      <c r="S7" s="510" t="n">
        <v>58.33</v>
      </c>
      <c r="T7" s="117" t="n">
        <v>40</v>
      </c>
      <c r="U7" s="241" t="n">
        <v>53.33</v>
      </c>
      <c r="V7" s="241" t="n">
        <v>37.5</v>
      </c>
      <c r="W7" s="241" t="n">
        <v>23.33</v>
      </c>
      <c r="X7" s="241" t="n">
        <v>89.7</v>
      </c>
      <c r="Y7" s="241" t="n">
        <v>84.36</v>
      </c>
      <c r="Z7" s="114" t="n">
        <v>44.81</v>
      </c>
      <c r="AA7" s="546" t="n">
        <v>28.5</v>
      </c>
      <c r="AB7" s="115" t="n">
        <v>27.5</v>
      </c>
      <c r="AC7" s="117" t="n"/>
      <c r="AD7" s="117" t="n"/>
      <c r="AE7" s="114" t="n">
        <v>46.67</v>
      </c>
      <c r="AF7" s="583" t="n">
        <v>61.67</v>
      </c>
      <c r="AG7" s="117" t="n">
        <v>73.33</v>
      </c>
      <c r="AH7" s="128" t="n">
        <v>62.5</v>
      </c>
      <c r="AI7" s="665" t="n"/>
      <c r="AJ7" s="128" t="n">
        <v>70.8333333333333</v>
      </c>
      <c r="AK7" s="665" t="n"/>
      <c r="AL7" s="543" t="n">
        <v>70</v>
      </c>
      <c r="AM7" s="543" t="n">
        <v>70.3</v>
      </c>
      <c r="AN7" s="691" t="n">
        <v>74.44</v>
      </c>
      <c r="AO7" s="683" t="n"/>
      <c r="AP7" s="663" t="n"/>
      <c r="AQ7" s="127" t="n">
        <v>73.33</v>
      </c>
      <c r="AR7" s="128" t="n">
        <v>70</v>
      </c>
      <c r="AS7" s="128" t="n">
        <v>60</v>
      </c>
      <c r="AT7" s="131" t="n">
        <v>66.67</v>
      </c>
      <c r="AU7" s="127" t="n">
        <v>81.67</v>
      </c>
      <c r="AV7" s="128" t="n">
        <v>76</v>
      </c>
      <c r="AW7" s="128" t="n">
        <v>69</v>
      </c>
      <c r="AX7" s="128" t="n">
        <v>36.984126984127</v>
      </c>
      <c r="AY7" s="543" t="n">
        <v>32</v>
      </c>
      <c r="AZ7" s="543" t="n">
        <v>33.3333333333333</v>
      </c>
      <c r="BA7" s="131" t="n">
        <v>30</v>
      </c>
      <c r="BB7" s="127" t="n">
        <v>79.17</v>
      </c>
      <c r="BC7" s="131" t="n">
        <v>70.5</v>
      </c>
      <c r="BD7" s="663" t="n"/>
      <c r="BE7" s="131" t="n"/>
      <c r="BF7" s="131" t="n"/>
      <c r="BG7" s="131" t="n"/>
      <c r="BH7" s="114" t="n"/>
      <c r="BI7" s="546" t="n"/>
      <c r="BJ7" s="511" t="n"/>
      <c r="BK7" s="114" t="n"/>
      <c r="BL7" s="546" t="n"/>
      <c r="BM7" s="511" t="n"/>
      <c r="BN7" s="114" t="n"/>
      <c r="BO7" s="546" t="n"/>
      <c r="BP7" s="546" t="n"/>
      <c r="BQ7" s="546" t="n"/>
      <c r="BR7" s="546" t="n"/>
      <c r="BS7" s="546" t="n"/>
      <c r="BT7" s="511" t="n"/>
      <c r="BU7" s="546" t="n"/>
      <c r="BV7" s="546" t="n"/>
      <c r="BW7" s="546" t="n"/>
      <c r="BX7" s="546" t="n"/>
      <c r="BY7" s="546" t="n"/>
      <c r="BZ7" s="546" t="n"/>
      <c r="CA7" s="546" t="n"/>
      <c r="CB7" s="15" t="n"/>
      <c r="CC7" s="546" t="n"/>
      <c r="CD7" s="546" t="n"/>
      <c r="CE7" s="546" t="n"/>
      <c r="CF7" s="546" t="n"/>
      <c r="CG7" s="546" t="n"/>
      <c r="CH7" s="15" t="n"/>
      <c r="CI7" s="546" t="n"/>
      <c r="CJ7" s="546" t="n"/>
      <c r="CK7" s="17" t="n"/>
      <c r="CL7" s="546" t="n"/>
      <c r="CM7" s="546" t="n"/>
      <c r="CN7" s="546" t="n"/>
      <c r="CO7" s="546" t="n"/>
      <c r="CP7" s="583" t="n"/>
      <c r="CQ7" s="15" t="n"/>
      <c r="CR7" s="15" t="n"/>
      <c r="CS7" s="15" t="n"/>
      <c r="CT7" s="15" t="n"/>
      <c r="CU7" s="546" t="n"/>
      <c r="CV7" s="17" t="n"/>
      <c r="CW7" s="74" t="n"/>
      <c r="CX7" s="75" t="n"/>
      <c r="CY7" s="76" t="n"/>
      <c r="CZ7" s="76" t="n"/>
      <c r="DA7" s="91" t="n"/>
      <c r="DB7" s="546" t="n"/>
      <c r="DC7" s="546" t="n"/>
      <c r="DD7" s="546" t="n"/>
      <c r="DE7" s="546" t="n"/>
      <c r="DF7" s="583" t="n"/>
      <c r="DG7" s="141" t="n"/>
      <c r="DH7" s="512" t="n"/>
      <c r="DI7" s="512" t="n"/>
      <c r="DJ7" s="512" t="n"/>
      <c r="DK7" s="665" t="n"/>
      <c r="DL7" s="141" t="n"/>
      <c r="DM7" s="139" t="n"/>
      <c r="DN7" s="139" t="n"/>
      <c r="DO7" s="139" t="n"/>
      <c r="DP7" s="147" t="n"/>
      <c r="DQ7" s="664" t="n"/>
      <c r="DR7" s="512" t="n"/>
      <c r="DS7" s="512" t="n"/>
      <c r="DT7" s="512" t="n"/>
      <c r="DU7" s="512" t="n"/>
      <c r="DV7" s="200" t="n"/>
      <c r="DW7" s="200" t="n"/>
      <c r="DX7" s="491" t="n"/>
      <c r="DY7" s="141" t="n"/>
      <c r="DZ7" s="139" t="n"/>
      <c r="EA7" s="139" t="n"/>
      <c r="EB7" s="139" t="n"/>
      <c r="EC7" s="140" t="n"/>
      <c r="ED7" s="347" t="n"/>
      <c r="EE7" s="147" t="n"/>
      <c r="EF7" s="31" t="n"/>
      <c r="EG7" s="349" t="n"/>
      <c r="EH7" s="665" t="n"/>
      <c r="EI7" s="45" t="n"/>
      <c r="EJ7" s="351" t="n"/>
      <c r="EK7" s="107" t="n"/>
      <c r="EL7" s="139" t="n"/>
      <c r="EM7" s="139" t="n"/>
      <c r="EN7" s="139" t="n"/>
      <c r="EO7" s="140" t="n"/>
      <c r="EP7" s="108" t="n"/>
      <c r="EQ7" s="141" t="n"/>
      <c r="ER7" s="140" t="n"/>
      <c r="ES7" s="140" t="n"/>
      <c r="ET7" s="140" t="n"/>
      <c r="EU7" s="147" t="n"/>
      <c r="EV7" s="664" t="n"/>
      <c r="EW7" s="107" t="n"/>
      <c r="EX7" s="140" t="n"/>
      <c r="EY7" s="140" t="n"/>
      <c r="EZ7" s="107" t="n"/>
      <c r="FA7" s="587" t="n"/>
      <c r="FB7" s="587" t="n"/>
      <c r="FC7" s="141" t="n"/>
      <c r="FD7" s="140" t="n"/>
      <c r="FE7" s="140" t="n"/>
      <c r="FF7" s="140" t="n"/>
      <c r="FG7" s="140" t="n"/>
      <c r="FH7" s="147" t="n"/>
      <c r="FI7" s="74" t="n"/>
      <c r="FJ7" s="75" t="n"/>
      <c r="FK7" s="76" t="n"/>
      <c r="FL7" s="76" t="n"/>
      <c r="FM7" s="91" t="n"/>
      <c r="FN7" s="92" t="n"/>
      <c r="FO7" s="91" t="n"/>
      <c r="FP7" s="74" t="n"/>
      <c r="FQ7" s="92" t="n"/>
      <c r="FR7" s="148" t="n"/>
      <c r="FS7" s="149" t="n"/>
      <c r="FT7" s="150" t="n"/>
      <c r="FU7" s="99" t="n"/>
      <c r="FV7" s="100" t="n"/>
      <c r="FW7" s="100" t="n"/>
      <c r="FX7" s="100" t="n"/>
      <c r="FY7" s="100" t="n"/>
      <c r="FZ7" s="100" t="n"/>
      <c r="GA7" s="100" t="n"/>
      <c r="GB7" s="100" t="n"/>
      <c r="GC7" s="100" t="n"/>
      <c r="GD7" s="100" t="n"/>
      <c r="GE7" s="100" t="n"/>
      <c r="GF7" s="102" t="n"/>
      <c r="GG7" s="15" t="n"/>
      <c r="GH7" s="546" t="n"/>
      <c r="GI7" s="546" t="n"/>
      <c r="GJ7" s="17" t="n"/>
      <c r="GK7" s="15" t="n"/>
      <c r="GL7" s="546" t="n"/>
      <c r="GM7" s="546" t="n"/>
      <c r="GN7" s="17" t="n"/>
      <c r="GO7" s="31" t="n"/>
      <c r="GP7" s="349" t="n"/>
      <c r="GQ7" s="665" t="n"/>
      <c r="GR7" s="45" t="n"/>
      <c r="GS7" s="351" t="n"/>
      <c r="GT7" s="31" t="n"/>
      <c r="GU7" s="45" t="n"/>
      <c r="GV7" s="45" t="n"/>
      <c r="GW7" s="351" t="n"/>
      <c r="GX7" s="663" t="n"/>
      <c r="GY7" s="107" t="n"/>
      <c r="GZ7" s="587" t="n"/>
      <c r="HA7" s="108" t="n"/>
      <c r="HB7" s="15" t="n"/>
      <c r="HC7" s="546" t="n"/>
      <c r="HD7" s="17" t="n"/>
      <c r="HE7" s="15" t="n"/>
      <c r="HF7" s="546" t="n"/>
      <c r="HG7" s="546" t="n"/>
      <c r="HH7" s="17" t="n"/>
      <c r="HI7" s="31" t="n"/>
      <c r="HJ7" s="45" t="n"/>
      <c r="HK7" s="45" t="n"/>
      <c r="HL7" s="45" t="n"/>
      <c r="HM7" s="45" t="n"/>
      <c r="HN7" s="45" t="n"/>
      <c r="HO7" s="45" t="n"/>
      <c r="HP7" s="45" t="n"/>
      <c r="HQ7" s="45" t="n"/>
      <c r="HR7" s="45" t="n"/>
      <c r="HS7" s="45" t="n"/>
      <c r="HT7" s="351" t="n"/>
      <c r="HU7" s="606" t="n"/>
      <c r="HV7" s="65">
        <f>AVERAGE(AX7,AU7,AQ7,AN7,Z7,R7,O7,J7)</f>
        <v/>
      </c>
      <c r="HW7" s="66">
        <f>AVERAGE(BB7,AR7,AH7,AD7,P7,H7,E7)</f>
        <v/>
      </c>
      <c r="HX7" s="66">
        <f>AVERAGE(BC7,AE7)</f>
        <v/>
      </c>
      <c r="HY7" s="66">
        <f>AVERAGE(AW7,AV7,AS7,AL7,AJ7,Q7)</f>
        <v/>
      </c>
      <c r="HZ7" s="66">
        <f>AVERAGE(AT7,AM7,AF7,T7,I7)</f>
        <v/>
      </c>
      <c r="IA7" s="66">
        <f>AVERAGE(AY7,AG7)</f>
        <v/>
      </c>
      <c r="IB7" s="66">
        <f>AVERAGE(AZ7,#REF!)</f>
        <v/>
      </c>
      <c r="IC7" s="66" t="n"/>
      <c r="ID7" s="66">
        <f>AVERAGE(BA7)</f>
        <v/>
      </c>
      <c r="IE7" s="66">
        <f>AVERAGE(AC7)</f>
        <v/>
      </c>
    </row>
    <row r="8" ht="18" customHeight="1" s="590">
      <c r="B8" s="12" t="n">
        <v>2</v>
      </c>
      <c r="C8" s="13" t="inlineStr">
        <is>
          <t>052-24-125156</t>
        </is>
      </c>
      <c r="D8" s="14" t="inlineStr">
        <is>
          <t>M. Arif</t>
        </is>
      </c>
      <c r="E8" s="526" t="n"/>
      <c r="F8" s="526" t="n"/>
      <c r="G8" s="526" t="n"/>
      <c r="H8" s="510" t="n">
        <v>0</v>
      </c>
      <c r="I8" s="526" t="n"/>
      <c r="J8" s="253" t="n"/>
      <c r="K8" s="249" t="n"/>
      <c r="L8" s="249" t="n"/>
      <c r="M8" s="249" t="n"/>
      <c r="N8" s="254" t="n"/>
      <c r="O8" s="524" t="n"/>
      <c r="P8" s="583" t="n"/>
      <c r="Q8" s="524" t="n"/>
      <c r="R8" s="115" t="n"/>
      <c r="S8" s="510" t="n"/>
      <c r="T8" s="117" t="n"/>
      <c r="U8" s="241" t="n"/>
      <c r="V8" s="241" t="n"/>
      <c r="W8" s="241" t="n"/>
      <c r="X8" s="241" t="n"/>
      <c r="Y8" s="241" t="n"/>
      <c r="Z8" s="114" t="n"/>
      <c r="AA8" s="546" t="n"/>
      <c r="AB8" s="115" t="n"/>
      <c r="AC8" s="117" t="n"/>
      <c r="AD8" s="117" t="n"/>
      <c r="AE8" s="114" t="n">
        <v>66.67</v>
      </c>
      <c r="AF8" s="583" t="n">
        <v>74.17</v>
      </c>
      <c r="AG8" s="117" t="n">
        <v>70</v>
      </c>
      <c r="AH8" s="128" t="n">
        <v>82.0833333333333</v>
      </c>
      <c r="AI8" s="665" t="n"/>
      <c r="AJ8" s="128" t="n">
        <v>73.3333333333333</v>
      </c>
      <c r="AK8" s="665" t="n"/>
      <c r="AL8" s="543" t="n">
        <v>78.61</v>
      </c>
      <c r="AM8" s="543" t="n">
        <v>78.18000000000001</v>
      </c>
      <c r="AN8" s="691" t="n">
        <v>78.15000000000001</v>
      </c>
      <c r="AO8" s="683" t="n"/>
      <c r="AP8" s="663" t="n"/>
      <c r="AQ8" s="127" t="n">
        <v>83.33</v>
      </c>
      <c r="AR8" s="128" t="n">
        <v>93.33</v>
      </c>
      <c r="AS8" s="128" t="n">
        <v>61.11</v>
      </c>
      <c r="AT8" s="128" t="n">
        <v>61.11</v>
      </c>
      <c r="AU8" s="127" t="n">
        <v>74.17</v>
      </c>
      <c r="AV8" s="128" t="n">
        <v>57.67</v>
      </c>
      <c r="AW8" s="128" t="n">
        <v>69.5</v>
      </c>
      <c r="AX8" s="128" t="n">
        <v>58.2539682539683</v>
      </c>
      <c r="AY8" s="543" t="n">
        <v>82</v>
      </c>
      <c r="AZ8" s="543" t="n">
        <v>77.1428571428571</v>
      </c>
      <c r="BA8" s="131" t="n">
        <v>66.6666666666667</v>
      </c>
      <c r="BB8" s="127" t="n">
        <v>90.83</v>
      </c>
      <c r="BC8" s="131" t="n">
        <v>85.25</v>
      </c>
      <c r="BD8" s="663" t="n"/>
      <c r="BE8" s="131" t="n"/>
      <c r="BF8" s="131" t="n"/>
      <c r="BG8" s="131" t="n"/>
      <c r="BH8" s="114" t="n"/>
      <c r="BI8" s="546" t="n"/>
      <c r="BJ8" s="511" t="n"/>
      <c r="BK8" s="114" t="n"/>
      <c r="BL8" s="546" t="n"/>
      <c r="BM8" s="511" t="n"/>
      <c r="BN8" s="114" t="n"/>
      <c r="BO8" s="546" t="n"/>
      <c r="BP8" s="546" t="n"/>
      <c r="BQ8" s="546" t="n"/>
      <c r="BR8" s="546" t="n"/>
      <c r="BS8" s="546" t="n"/>
      <c r="BT8" s="511" t="n"/>
      <c r="BU8" s="546" t="n"/>
      <c r="BV8" s="546" t="n"/>
      <c r="BW8" s="546" t="n"/>
      <c r="BX8" s="546" t="n"/>
      <c r="BY8" s="546" t="n"/>
      <c r="BZ8" s="546" t="n"/>
      <c r="CA8" s="546" t="n"/>
      <c r="CB8" s="15" t="n"/>
      <c r="CC8" s="546" t="n"/>
      <c r="CD8" s="546" t="n"/>
      <c r="CE8" s="546" t="n"/>
      <c r="CF8" s="546" t="n"/>
      <c r="CG8" s="546" t="n"/>
      <c r="CH8" s="15" t="n"/>
      <c r="CI8" s="546" t="n"/>
      <c r="CJ8" s="546" t="n"/>
      <c r="CK8" s="17" t="n"/>
      <c r="CL8" s="546" t="n"/>
      <c r="CM8" s="546" t="n"/>
      <c r="CN8" s="546" t="n"/>
      <c r="CO8" s="546" t="n"/>
      <c r="CP8" s="583" t="n"/>
      <c r="CQ8" s="15" t="n"/>
      <c r="CR8" s="15" t="n"/>
      <c r="CS8" s="15" t="n"/>
      <c r="CT8" s="15" t="n"/>
      <c r="CU8" s="546" t="n"/>
      <c r="CV8" s="17" t="n"/>
      <c r="CW8" s="74" t="n"/>
      <c r="CX8" s="75" t="n"/>
      <c r="CY8" s="76" t="n"/>
      <c r="CZ8" s="76" t="n"/>
      <c r="DA8" s="91" t="n"/>
      <c r="DB8" s="546" t="n"/>
      <c r="DC8" s="546" t="n"/>
      <c r="DD8" s="546" t="n"/>
      <c r="DE8" s="546" t="n"/>
      <c r="DF8" s="583" t="n"/>
      <c r="DG8" s="141" t="n"/>
      <c r="DH8" s="162" t="n"/>
      <c r="DI8" s="162" t="n"/>
      <c r="DJ8" s="512" t="n"/>
      <c r="DK8" s="491" t="n"/>
      <c r="DL8" s="141" t="n"/>
      <c r="DM8" s="139" t="n"/>
      <c r="DN8" s="139" t="n"/>
      <c r="DO8" s="139" t="n"/>
      <c r="DP8" s="347" t="n"/>
      <c r="DQ8" s="348" t="n"/>
      <c r="DR8" s="162" t="n"/>
      <c r="DS8" s="162" t="n"/>
      <c r="DT8" s="162" t="n"/>
      <c r="DU8" s="162" t="n"/>
      <c r="DV8" s="201" t="n"/>
      <c r="DW8" s="201" t="n"/>
      <c r="DX8" s="163" t="n"/>
      <c r="DY8" s="141" t="n"/>
      <c r="DZ8" s="139" t="n"/>
      <c r="EA8" s="139" t="n"/>
      <c r="EB8" s="139" t="n"/>
      <c r="EC8" s="140" t="n"/>
      <c r="ED8" s="347" t="n"/>
      <c r="EE8" s="147" t="n"/>
      <c r="EF8" s="31" t="n"/>
      <c r="EG8" s="349" t="n"/>
      <c r="EH8" s="349" t="n"/>
      <c r="EI8" s="45" t="n"/>
      <c r="EJ8" s="351" t="n"/>
      <c r="EK8" s="107" t="n"/>
      <c r="EL8" s="139" t="n"/>
      <c r="EM8" s="139" t="n"/>
      <c r="EN8" s="139" t="n"/>
      <c r="EO8" s="140" t="n"/>
      <c r="EP8" s="108" t="n"/>
      <c r="EQ8" s="141" t="n"/>
      <c r="ER8" s="140" t="n"/>
      <c r="ES8" s="140" t="n"/>
      <c r="ET8" s="140" t="n"/>
      <c r="EU8" s="347" t="n"/>
      <c r="EV8" s="348" t="n"/>
      <c r="EW8" s="107" t="n"/>
      <c r="EX8" s="140" t="n"/>
      <c r="EY8" s="140" t="n"/>
      <c r="EZ8" s="107" t="n"/>
      <c r="FA8" s="587" t="n"/>
      <c r="FB8" s="587" t="n"/>
      <c r="FC8" s="141" t="n"/>
      <c r="FD8" s="140" t="n"/>
      <c r="FE8" s="140" t="n"/>
      <c r="FF8" s="140" t="n"/>
      <c r="FG8" s="140" t="n"/>
      <c r="FH8" s="147" t="n"/>
      <c r="FI8" s="74" t="n"/>
      <c r="FJ8" s="75" t="n"/>
      <c r="FK8" s="76" t="n"/>
      <c r="FL8" s="76" t="n"/>
      <c r="FM8" s="91" t="n"/>
      <c r="FN8" s="92" t="n"/>
      <c r="FO8" s="91" t="n"/>
      <c r="FP8" s="74" t="n"/>
      <c r="FQ8" s="92" t="n"/>
      <c r="FR8" s="148" t="n"/>
      <c r="FS8" s="149" t="n"/>
      <c r="FT8" s="150" t="n"/>
      <c r="FU8" s="99" t="n"/>
      <c r="FV8" s="100" t="n"/>
      <c r="FW8" s="100" t="n"/>
      <c r="FX8" s="100" t="n"/>
      <c r="FY8" s="100" t="n"/>
      <c r="FZ8" s="100" t="n"/>
      <c r="GA8" s="100" t="n"/>
      <c r="GB8" s="100" t="n"/>
      <c r="GC8" s="100" t="n"/>
      <c r="GD8" s="100" t="n"/>
      <c r="GE8" s="100" t="n"/>
      <c r="GF8" s="102" t="n"/>
      <c r="GG8" s="15" t="n"/>
      <c r="GH8" s="546" t="n"/>
      <c r="GI8" s="546" t="n"/>
      <c r="GJ8" s="17" t="n"/>
      <c r="GK8" s="15" t="n"/>
      <c r="GL8" s="546" t="n"/>
      <c r="GM8" s="546" t="n"/>
      <c r="GN8" s="17" t="n"/>
      <c r="GO8" s="31" t="n"/>
      <c r="GP8" s="349" t="n"/>
      <c r="GQ8" s="349" t="n"/>
      <c r="GR8" s="45" t="n"/>
      <c r="GS8" s="351" t="n"/>
      <c r="GT8" s="31" t="n"/>
      <c r="GU8" s="45" t="n"/>
      <c r="GV8" s="45" t="n"/>
      <c r="GW8" s="350" t="n"/>
      <c r="GX8" s="351" t="n"/>
      <c r="GY8" s="107" t="n"/>
      <c r="GZ8" s="587" t="n"/>
      <c r="HA8" s="108" t="n"/>
      <c r="HB8" s="15" t="n"/>
      <c r="HC8" s="546" t="n"/>
      <c r="HD8" s="17" t="n"/>
      <c r="HE8" s="15" t="n"/>
      <c r="HF8" s="546" t="n"/>
      <c r="HG8" s="546" t="n"/>
      <c r="HH8" s="17" t="n"/>
      <c r="HI8" s="31" t="n"/>
      <c r="HJ8" s="45" t="n"/>
      <c r="HK8" s="45" t="n"/>
      <c r="HL8" s="45" t="n"/>
      <c r="HM8" s="45" t="n"/>
      <c r="HN8" s="45" t="n"/>
      <c r="HO8" s="45" t="n"/>
      <c r="HP8" s="45" t="n"/>
      <c r="HQ8" s="45" t="n"/>
      <c r="HR8" s="45" t="n"/>
      <c r="HS8" s="45" t="n"/>
      <c r="HT8" s="351" t="n"/>
      <c r="HU8" s="606" t="n"/>
      <c r="HV8" s="65">
        <f>AVERAGE(AX8,AU8,AQ8,AN8,Z8,R8,O8,J8)</f>
        <v/>
      </c>
      <c r="HW8" s="66">
        <f>AVERAGE(BB8,AR8,AH8,AD8,P8,H8,E8)</f>
        <v/>
      </c>
      <c r="HX8" s="66">
        <f>AVERAGE(BC8,AE8)</f>
        <v/>
      </c>
      <c r="HY8" s="66">
        <f>AVERAGE(AW8,AV8,AS8,AL8,AJ8,Q8)</f>
        <v/>
      </c>
      <c r="HZ8" s="66">
        <f>AVERAGE(AT8,AM8,AF8,T8,I8)</f>
        <v/>
      </c>
      <c r="IA8" s="66">
        <f>AVERAGE(AY8,AG8)</f>
        <v/>
      </c>
      <c r="IB8" s="66">
        <f>AVERAGE(AZ8,#REF!)</f>
        <v/>
      </c>
      <c r="IC8" s="66" t="n"/>
      <c r="ID8" s="66">
        <f>AVERAGE(BA8)</f>
        <v/>
      </c>
      <c r="IE8" s="66">
        <f>AVERAGE(AC8)</f>
        <v/>
      </c>
    </row>
    <row r="9" ht="18" customHeight="1" s="590">
      <c r="B9" s="12" t="n">
        <v>3</v>
      </c>
      <c r="C9" s="13" t="inlineStr">
        <is>
          <t>052-24-125271</t>
        </is>
      </c>
      <c r="D9" s="14" t="inlineStr">
        <is>
          <t>Husnain Ijaz</t>
        </is>
      </c>
      <c r="E9" s="526" t="n">
        <v>72</v>
      </c>
      <c r="F9" s="526" t="n">
        <v>68.33</v>
      </c>
      <c r="G9" s="526" t="n">
        <v>68.33</v>
      </c>
      <c r="H9" s="510" t="n">
        <v>0</v>
      </c>
      <c r="I9" s="526" t="n">
        <v>0</v>
      </c>
      <c r="J9" s="253" t="n">
        <v>67.5</v>
      </c>
      <c r="K9" s="249" t="n">
        <v>56.33</v>
      </c>
      <c r="L9" s="249" t="n">
        <v>66.67</v>
      </c>
      <c r="M9" s="249" t="n"/>
      <c r="N9" s="254" t="n"/>
      <c r="O9" s="524" t="n">
        <v>34.17</v>
      </c>
      <c r="P9" s="524" t="n">
        <v>40</v>
      </c>
      <c r="Q9" s="524" t="n">
        <v>35</v>
      </c>
      <c r="R9" s="115" t="n">
        <v>58.33</v>
      </c>
      <c r="S9" s="510" t="n">
        <v>66.11</v>
      </c>
      <c r="T9" s="117" t="n">
        <v>68</v>
      </c>
      <c r="U9" s="241" t="n">
        <v>73.33</v>
      </c>
      <c r="V9" s="241" t="n">
        <v>70</v>
      </c>
      <c r="W9" s="241" t="n">
        <v>56.07</v>
      </c>
      <c r="X9" s="241" t="n">
        <v>87.88</v>
      </c>
      <c r="Y9" s="241" t="n">
        <v>90</v>
      </c>
      <c r="Z9" s="114" t="n">
        <v>52.22</v>
      </c>
      <c r="AA9" s="546" t="n">
        <v>33</v>
      </c>
      <c r="AB9" s="115" t="n">
        <v>25.42</v>
      </c>
      <c r="AC9" s="117" t="n"/>
      <c r="AD9" s="117" t="n"/>
      <c r="AE9" s="114" t="n">
        <v>46.67</v>
      </c>
      <c r="AF9" s="583" t="n">
        <v>65.83</v>
      </c>
      <c r="AG9" s="117" t="n">
        <v>55.08</v>
      </c>
      <c r="AH9" s="128" t="n">
        <v>57.0833333333333</v>
      </c>
      <c r="AI9" s="665" t="n"/>
      <c r="AJ9" s="128" t="n">
        <v>71.6666666666667</v>
      </c>
      <c r="AK9" s="665" t="n"/>
      <c r="AL9" s="543" t="n">
        <v>70.83</v>
      </c>
      <c r="AM9" s="543" t="n">
        <v>69.09</v>
      </c>
      <c r="AN9" s="691" t="n">
        <v>73.33</v>
      </c>
      <c r="AO9" s="683" t="n"/>
      <c r="AP9" s="663" t="n"/>
      <c r="AQ9" s="127" t="n">
        <v>90</v>
      </c>
      <c r="AR9" s="128" t="n">
        <v>90</v>
      </c>
      <c r="AS9" s="128" t="n">
        <v>66.67</v>
      </c>
      <c r="AT9" s="131" t="n">
        <v>61.67</v>
      </c>
      <c r="AU9" s="127" t="n">
        <v>40</v>
      </c>
      <c r="AV9" s="128" t="n">
        <v>41</v>
      </c>
      <c r="AW9" s="128" t="n">
        <v>38.5</v>
      </c>
      <c r="AX9" s="128" t="n">
        <v>34.6031746031746</v>
      </c>
      <c r="AY9" s="543" t="n">
        <v>29.3333333333333</v>
      </c>
      <c r="AZ9" s="543" t="n">
        <v>14.2857142857143</v>
      </c>
      <c r="BA9" s="131" t="n">
        <v>6.66666666666667</v>
      </c>
      <c r="BB9" s="127" t="n">
        <v>79.17</v>
      </c>
      <c r="BC9" s="131" t="n">
        <v>71.75</v>
      </c>
      <c r="BD9" s="663" t="n"/>
      <c r="BE9" s="131" t="n"/>
      <c r="BF9" s="131" t="n"/>
      <c r="BG9" s="131" t="n"/>
      <c r="BH9" s="114" t="n"/>
      <c r="BI9" s="546" t="n"/>
      <c r="BJ9" s="511" t="n"/>
      <c r="BK9" s="114" t="n"/>
      <c r="BL9" s="546" t="n"/>
      <c r="BM9" s="511" t="n"/>
      <c r="BN9" s="114" t="n"/>
      <c r="BO9" s="546" t="n"/>
      <c r="BP9" s="546" t="n"/>
      <c r="BQ9" s="546" t="n"/>
      <c r="BR9" s="546" t="n"/>
      <c r="BS9" s="546" t="n"/>
      <c r="BT9" s="511" t="n"/>
      <c r="BU9" s="546" t="n"/>
      <c r="BV9" s="546" t="n"/>
      <c r="BW9" s="546" t="n"/>
      <c r="BX9" s="546" t="n"/>
      <c r="BY9" s="546" t="n"/>
      <c r="BZ9" s="546" t="n"/>
      <c r="CA9" s="546" t="n"/>
      <c r="CB9" s="15" t="n"/>
      <c r="CC9" s="546" t="n"/>
      <c r="CD9" s="546" t="n"/>
      <c r="CE9" s="546" t="n"/>
      <c r="CF9" s="546" t="n"/>
      <c r="CG9" s="546" t="n"/>
      <c r="CH9" s="15" t="n"/>
      <c r="CI9" s="546" t="n"/>
      <c r="CJ9" s="546" t="n"/>
      <c r="CK9" s="17" t="n"/>
      <c r="CL9" s="546" t="n"/>
      <c r="CM9" s="546" t="n"/>
      <c r="CN9" s="546" t="n"/>
      <c r="CO9" s="546" t="n"/>
      <c r="CP9" s="583" t="n"/>
      <c r="CQ9" s="15" t="n"/>
      <c r="CR9" s="15" t="n"/>
      <c r="CS9" s="15" t="n"/>
      <c r="CT9" s="15" t="n"/>
      <c r="CU9" s="546" t="n"/>
      <c r="CV9" s="17" t="n"/>
      <c r="CW9" s="74" t="n"/>
      <c r="CX9" s="75" t="n"/>
      <c r="CY9" s="76" t="n"/>
      <c r="CZ9" s="76" t="n"/>
      <c r="DA9" s="91" t="n"/>
      <c r="DB9" s="546" t="n"/>
      <c r="DC9" s="546" t="n"/>
      <c r="DD9" s="546" t="n"/>
      <c r="DE9" s="546" t="n"/>
      <c r="DF9" s="583" t="n"/>
      <c r="DG9" s="141" t="n"/>
      <c r="DH9" s="162" t="n"/>
      <c r="DI9" s="162" t="n"/>
      <c r="DJ9" s="512" t="n"/>
      <c r="DK9" s="665" t="n"/>
      <c r="DL9" s="141" t="n"/>
      <c r="DM9" s="139" t="n"/>
      <c r="DN9" s="139" t="n"/>
      <c r="DO9" s="139" t="n"/>
      <c r="DP9" s="147" t="n"/>
      <c r="DQ9" s="664" t="n"/>
      <c r="DR9" s="162" t="n"/>
      <c r="DS9" s="162" t="n"/>
      <c r="DT9" s="162" t="n"/>
      <c r="DU9" s="162" t="n"/>
      <c r="DV9" s="201" t="n"/>
      <c r="DW9" s="201" t="n"/>
      <c r="DX9" s="163" t="n"/>
      <c r="DY9" s="141" t="n"/>
      <c r="DZ9" s="139" t="n"/>
      <c r="EA9" s="139" t="n"/>
      <c r="EB9" s="139" t="n"/>
      <c r="EC9" s="140" t="n"/>
      <c r="ED9" s="347" t="n"/>
      <c r="EE9" s="147" t="n"/>
      <c r="EF9" s="31" t="n"/>
      <c r="EG9" s="349" t="n"/>
      <c r="EH9" s="665" t="n"/>
      <c r="EI9" s="45" t="n"/>
      <c r="EJ9" s="351" t="n"/>
      <c r="EK9" s="107" t="n"/>
      <c r="EL9" s="139" t="n"/>
      <c r="EM9" s="139" t="n"/>
      <c r="EN9" s="139" t="n"/>
      <c r="EO9" s="140" t="n"/>
      <c r="EP9" s="108" t="n"/>
      <c r="EQ9" s="141" t="n"/>
      <c r="ER9" s="140" t="n"/>
      <c r="ES9" s="140" t="n"/>
      <c r="ET9" s="140" t="n"/>
      <c r="EU9" s="147" t="n"/>
      <c r="EV9" s="664" t="n"/>
      <c r="EW9" s="107" t="n"/>
      <c r="EX9" s="140" t="n"/>
      <c r="EY9" s="140" t="n"/>
      <c r="EZ9" s="107" t="n"/>
      <c r="FA9" s="587" t="n"/>
      <c r="FB9" s="587" t="n"/>
      <c r="FC9" s="141" t="n"/>
      <c r="FD9" s="140" t="n"/>
      <c r="FE9" s="140" t="n"/>
      <c r="FF9" s="140" t="n"/>
      <c r="FG9" s="140" t="n"/>
      <c r="FH9" s="147" t="n"/>
      <c r="FI9" s="74" t="n"/>
      <c r="FJ9" s="75" t="n"/>
      <c r="FK9" s="76" t="n"/>
      <c r="FL9" s="76" t="n"/>
      <c r="FM9" s="91" t="n"/>
      <c r="FN9" s="92" t="n"/>
      <c r="FO9" s="91" t="n"/>
      <c r="FP9" s="74" t="n"/>
      <c r="FQ9" s="92" t="n"/>
      <c r="FR9" s="148" t="n"/>
      <c r="FS9" s="149" t="n"/>
      <c r="FT9" s="150" t="n"/>
      <c r="FU9" s="99" t="n"/>
      <c r="FV9" s="100" t="n"/>
      <c r="FW9" s="100" t="n"/>
      <c r="FX9" s="100" t="n"/>
      <c r="FY9" s="100" t="n"/>
      <c r="FZ9" s="100" t="n"/>
      <c r="GA9" s="100" t="n"/>
      <c r="GB9" s="100" t="n"/>
      <c r="GC9" s="100" t="n"/>
      <c r="GD9" s="100" t="n"/>
      <c r="GE9" s="100" t="n"/>
      <c r="GF9" s="102" t="n"/>
      <c r="GG9" s="15" t="n"/>
      <c r="GH9" s="546" t="n"/>
      <c r="GI9" s="546" t="n"/>
      <c r="GJ9" s="17" t="n"/>
      <c r="GK9" s="15" t="n"/>
      <c r="GL9" s="546" t="n"/>
      <c r="GM9" s="546" t="n"/>
      <c r="GN9" s="17" t="n"/>
      <c r="GO9" s="31" t="n"/>
      <c r="GP9" s="349" t="n"/>
      <c r="GQ9" s="665" t="n"/>
      <c r="GR9" s="45" t="n"/>
      <c r="GS9" s="351" t="n"/>
      <c r="GT9" s="31" t="n"/>
      <c r="GU9" s="45" t="n"/>
      <c r="GV9" s="45" t="n"/>
      <c r="GW9" s="351" t="n"/>
      <c r="GX9" s="663" t="n"/>
      <c r="GY9" s="107" t="n"/>
      <c r="GZ9" s="587" t="n"/>
      <c r="HA9" s="108" t="n"/>
      <c r="HB9" s="15" t="n"/>
      <c r="HC9" s="546" t="n"/>
      <c r="HD9" s="17" t="n"/>
      <c r="HE9" s="15" t="n"/>
      <c r="HF9" s="546" t="n"/>
      <c r="HG9" s="546" t="n"/>
      <c r="HH9" s="17" t="n"/>
      <c r="HI9" s="31" t="n"/>
      <c r="HJ9" s="45" t="n"/>
      <c r="HK9" s="45" t="n"/>
      <c r="HL9" s="45" t="n"/>
      <c r="HM9" s="45" t="n"/>
      <c r="HN9" s="45" t="n"/>
      <c r="HO9" s="45" t="n"/>
      <c r="HP9" s="45" t="n"/>
      <c r="HQ9" s="45" t="n"/>
      <c r="HR9" s="45" t="n"/>
      <c r="HS9" s="45" t="n"/>
      <c r="HT9" s="351" t="n"/>
      <c r="HU9" s="606" t="n"/>
      <c r="HV9" s="65">
        <f>AVERAGE(AX9,AU9,AQ9,AN9,Z9,R9,O9,J9)</f>
        <v/>
      </c>
      <c r="HW9" s="66">
        <f>AVERAGE(BB9,AR9,AH9,AD9,P9,H9,E9)</f>
        <v/>
      </c>
      <c r="HX9" s="66">
        <f>AVERAGE(BC9,AE9)</f>
        <v/>
      </c>
      <c r="HY9" s="66">
        <f>AVERAGE(AW9,AV9,AS9,AL9,AJ9,Q9)</f>
        <v/>
      </c>
      <c r="HZ9" s="66">
        <f>AVERAGE(AT9,AM9,AF9,T9,I9)</f>
        <v/>
      </c>
      <c r="IA9" s="66">
        <f>AVERAGE(AY9,AG9)</f>
        <v/>
      </c>
      <c r="IB9" s="66">
        <f>AVERAGE(AZ9,#REF!)</f>
        <v/>
      </c>
      <c r="IC9" s="66" t="n"/>
      <c r="ID9" s="66">
        <f>AVERAGE(BA9)</f>
        <v/>
      </c>
      <c r="IE9" s="66">
        <f>AVERAGE(AC9)</f>
        <v/>
      </c>
    </row>
    <row r="10" ht="18" customHeight="1" s="590">
      <c r="B10" s="12" t="n">
        <v>4</v>
      </c>
      <c r="C10" s="13" t="inlineStr">
        <is>
          <t>052-24-125277</t>
        </is>
      </c>
      <c r="D10" s="14" t="inlineStr">
        <is>
          <t>Fahad Naveed Abbasi</t>
        </is>
      </c>
      <c r="E10" s="526" t="n">
        <v>0</v>
      </c>
      <c r="F10" s="526" t="n">
        <v>0</v>
      </c>
      <c r="G10" s="526" t="n">
        <v>0</v>
      </c>
      <c r="H10" s="526" t="n">
        <v>28.85</v>
      </c>
      <c r="I10" s="526" t="n">
        <v>17.67</v>
      </c>
      <c r="J10" s="253" t="n"/>
      <c r="K10" s="249" t="n"/>
      <c r="L10" s="249" t="n"/>
      <c r="M10" s="249" t="n">
        <v>52.27</v>
      </c>
      <c r="N10" s="254" t="n">
        <v>47.5</v>
      </c>
      <c r="O10" s="524" t="n">
        <v>60.83</v>
      </c>
      <c r="P10" s="524" t="n">
        <v>50.83</v>
      </c>
      <c r="Q10" s="524" t="n">
        <v>70.5</v>
      </c>
      <c r="R10" s="115" t="n">
        <v>42.41</v>
      </c>
      <c r="S10" s="510" t="n">
        <v>48.52</v>
      </c>
      <c r="T10" s="117" t="n">
        <v>40</v>
      </c>
      <c r="U10" s="241" t="n">
        <v>40</v>
      </c>
      <c r="V10" s="241" t="n">
        <v>87.5</v>
      </c>
      <c r="W10" s="241" t="n">
        <v>50.71</v>
      </c>
      <c r="X10" s="241" t="n">
        <v>93.33</v>
      </c>
      <c r="Y10" s="241" t="n">
        <v>88.73</v>
      </c>
      <c r="Z10" s="114" t="n">
        <v>85.19</v>
      </c>
      <c r="AA10" s="546" t="n">
        <v>61.5</v>
      </c>
      <c r="AB10" s="115" t="n">
        <v>68.33</v>
      </c>
      <c r="AC10" s="117" t="n"/>
      <c r="AD10" s="117" t="n"/>
      <c r="AE10" s="114" t="n">
        <v>33.33</v>
      </c>
      <c r="AF10" s="583" t="n">
        <v>74.17</v>
      </c>
      <c r="AG10" s="117" t="n">
        <v>85</v>
      </c>
      <c r="AH10" s="128" t="n">
        <v>70.4166666666667</v>
      </c>
      <c r="AI10" s="665" t="n"/>
      <c r="AJ10" s="128" t="n">
        <v>66.6666666666667</v>
      </c>
      <c r="AK10" s="665" t="n"/>
      <c r="AL10" s="543" t="n">
        <v>73.61</v>
      </c>
      <c r="AM10" s="543" t="n">
        <v>71.81999999999999</v>
      </c>
      <c r="AN10" s="691" t="n">
        <v>70</v>
      </c>
      <c r="AO10" s="683" t="n"/>
      <c r="AP10" s="663" t="n"/>
      <c r="AQ10" s="127" t="n">
        <v>83.33</v>
      </c>
      <c r="AR10" s="128" t="n">
        <v>83.33</v>
      </c>
      <c r="AS10" s="128" t="n">
        <v>72.22</v>
      </c>
      <c r="AT10" s="131" t="n">
        <v>58.33</v>
      </c>
      <c r="AU10" s="127" t="n">
        <v>57.5</v>
      </c>
      <c r="AV10" s="128" t="n">
        <v>20</v>
      </c>
      <c r="AW10" s="128" t="n">
        <v>56.5</v>
      </c>
      <c r="AX10" s="128" t="n">
        <v>59.52</v>
      </c>
      <c r="AY10" s="543" t="n">
        <v>80</v>
      </c>
      <c r="AZ10" s="543" t="n">
        <v>73.81</v>
      </c>
      <c r="BA10" s="131" t="n">
        <v>60</v>
      </c>
      <c r="BB10" s="127" t="n">
        <v>67.5</v>
      </c>
      <c r="BC10" s="131" t="n">
        <v>71</v>
      </c>
      <c r="BD10" s="663" t="n"/>
      <c r="BE10" s="131" t="n"/>
      <c r="BF10" s="131" t="n"/>
      <c r="BG10" s="131" t="n"/>
      <c r="BH10" s="114" t="n"/>
      <c r="BI10" s="546" t="n"/>
      <c r="BJ10" s="511" t="n"/>
      <c r="BK10" s="114" t="n"/>
      <c r="BL10" s="546" t="n"/>
      <c r="BM10" s="511" t="n"/>
      <c r="BN10" s="114" t="n"/>
      <c r="BO10" s="546" t="n"/>
      <c r="BP10" s="546" t="n"/>
      <c r="BQ10" s="546" t="n"/>
      <c r="BR10" s="546" t="n"/>
      <c r="BS10" s="546" t="n"/>
      <c r="BT10" s="511" t="n"/>
      <c r="BU10" s="546" t="n"/>
      <c r="BV10" s="546" t="n"/>
      <c r="BW10" s="546" t="n"/>
      <c r="BX10" s="546" t="n"/>
      <c r="BY10" s="546" t="n"/>
      <c r="BZ10" s="546" t="n"/>
      <c r="CA10" s="546" t="n"/>
      <c r="CB10" s="15" t="n"/>
      <c r="CC10" s="546" t="n"/>
      <c r="CD10" s="546" t="n"/>
      <c r="CE10" s="546" t="n"/>
      <c r="CF10" s="546" t="n"/>
      <c r="CG10" s="546" t="n"/>
      <c r="CH10" s="15" t="n"/>
      <c r="CI10" s="546" t="n"/>
      <c r="CJ10" s="546" t="n"/>
      <c r="CK10" s="17" t="n"/>
      <c r="CL10" s="546" t="n"/>
      <c r="CM10" s="546" t="n"/>
      <c r="CN10" s="546" t="n"/>
      <c r="CO10" s="546" t="n"/>
      <c r="CP10" s="583" t="n"/>
      <c r="CQ10" s="15" t="n"/>
      <c r="CR10" s="15" t="n"/>
      <c r="CS10" s="15" t="n"/>
      <c r="CT10" s="15" t="n"/>
      <c r="CU10" s="546" t="n"/>
      <c r="CV10" s="17" t="n"/>
      <c r="CW10" s="74" t="n"/>
      <c r="CX10" s="75" t="n"/>
      <c r="CY10" s="76" t="n"/>
      <c r="CZ10" s="76" t="n"/>
      <c r="DA10" s="91" t="n"/>
      <c r="DB10" s="546" t="n"/>
      <c r="DC10" s="546" t="n"/>
      <c r="DD10" s="546" t="n"/>
      <c r="DE10" s="546" t="n"/>
      <c r="DF10" s="583" t="n"/>
      <c r="DG10" s="141" t="n"/>
      <c r="DH10" s="162" t="n"/>
      <c r="DI10" s="162" t="n"/>
      <c r="DJ10" s="512" t="n"/>
      <c r="DK10" s="491" t="n"/>
      <c r="DL10" s="141" t="n"/>
      <c r="DM10" s="139" t="n"/>
      <c r="DN10" s="139" t="n"/>
      <c r="DO10" s="139" t="n"/>
      <c r="DP10" s="347" t="n"/>
      <c r="DQ10" s="348" t="n"/>
      <c r="DR10" s="162" t="n"/>
      <c r="DS10" s="162" t="n"/>
      <c r="DT10" s="162" t="n"/>
      <c r="DU10" s="162" t="n"/>
      <c r="DV10" s="201" t="n"/>
      <c r="DW10" s="201" t="n"/>
      <c r="DX10" s="163" t="n"/>
      <c r="DY10" s="141" t="n"/>
      <c r="DZ10" s="139" t="n"/>
      <c r="EA10" s="139" t="n"/>
      <c r="EB10" s="139" t="n"/>
      <c r="EC10" s="140" t="n"/>
      <c r="ED10" s="347" t="n"/>
      <c r="EE10" s="147" t="n"/>
      <c r="EF10" s="31" t="n"/>
      <c r="EG10" s="349" t="n"/>
      <c r="EH10" s="349" t="n"/>
      <c r="EI10" s="45" t="n"/>
      <c r="EJ10" s="351" t="n"/>
      <c r="EK10" s="107" t="n"/>
      <c r="EL10" s="139" t="n"/>
      <c r="EM10" s="139" t="n"/>
      <c r="EN10" s="139" t="n"/>
      <c r="EO10" s="140" t="n"/>
      <c r="EP10" s="108" t="n"/>
      <c r="EQ10" s="141" t="n"/>
      <c r="ER10" s="140" t="n"/>
      <c r="ES10" s="140" t="n"/>
      <c r="ET10" s="140" t="n"/>
      <c r="EU10" s="347" t="n"/>
      <c r="EV10" s="348" t="n"/>
      <c r="EW10" s="107" t="n"/>
      <c r="EX10" s="140" t="n"/>
      <c r="EY10" s="140" t="n"/>
      <c r="EZ10" s="107" t="n"/>
      <c r="FA10" s="587" t="n"/>
      <c r="FB10" s="587" t="n"/>
      <c r="FC10" s="141" t="n"/>
      <c r="FD10" s="140" t="n"/>
      <c r="FE10" s="140" t="n"/>
      <c r="FF10" s="140" t="n"/>
      <c r="FG10" s="140" t="n"/>
      <c r="FH10" s="147" t="n"/>
      <c r="FI10" s="74" t="n"/>
      <c r="FJ10" s="75" t="n"/>
      <c r="FK10" s="76" t="n"/>
      <c r="FL10" s="76" t="n"/>
      <c r="FM10" s="91" t="n"/>
      <c r="FN10" s="92" t="n"/>
      <c r="FO10" s="91" t="n"/>
      <c r="FP10" s="74" t="n"/>
      <c r="FQ10" s="92" t="n"/>
      <c r="FR10" s="148" t="n"/>
      <c r="FS10" s="149" t="n"/>
      <c r="FT10" s="150" t="n"/>
      <c r="FU10" s="99" t="n"/>
      <c r="FV10" s="100" t="n"/>
      <c r="FW10" s="100" t="n"/>
      <c r="FX10" s="100" t="n"/>
      <c r="FY10" s="100" t="n"/>
      <c r="FZ10" s="100" t="n"/>
      <c r="GA10" s="100" t="n"/>
      <c r="GB10" s="100" t="n"/>
      <c r="GC10" s="100" t="n"/>
      <c r="GD10" s="100" t="n"/>
      <c r="GE10" s="100" t="n"/>
      <c r="GF10" s="102" t="n"/>
      <c r="GG10" s="15" t="n"/>
      <c r="GH10" s="546" t="n"/>
      <c r="GI10" s="546" t="n"/>
      <c r="GJ10" s="17" t="n"/>
      <c r="GK10" s="15" t="n"/>
      <c r="GL10" s="546" t="n"/>
      <c r="GM10" s="546" t="n"/>
      <c r="GN10" s="17" t="n"/>
      <c r="GO10" s="31" t="n"/>
      <c r="GP10" s="349" t="n"/>
      <c r="GQ10" s="349" t="n"/>
      <c r="GR10" s="45" t="n"/>
      <c r="GS10" s="351" t="n"/>
      <c r="GT10" s="31" t="n"/>
      <c r="GU10" s="45" t="n"/>
      <c r="GV10" s="45" t="n"/>
      <c r="GW10" s="350" t="n"/>
      <c r="GX10" s="351" t="n"/>
      <c r="GY10" s="107" t="n"/>
      <c r="GZ10" s="587" t="n"/>
      <c r="HA10" s="108" t="n"/>
      <c r="HB10" s="15" t="n"/>
      <c r="HC10" s="546" t="n"/>
      <c r="HD10" s="17" t="n"/>
      <c r="HE10" s="15" t="n"/>
      <c r="HF10" s="546" t="n"/>
      <c r="HG10" s="546" t="n"/>
      <c r="HH10" s="17" t="n"/>
      <c r="HI10" s="31" t="n"/>
      <c r="HJ10" s="45" t="n"/>
      <c r="HK10" s="45" t="n"/>
      <c r="HL10" s="45" t="n"/>
      <c r="HM10" s="45" t="n"/>
      <c r="HN10" s="45" t="n"/>
      <c r="HO10" s="45" t="n"/>
      <c r="HP10" s="45" t="n"/>
      <c r="HQ10" s="45" t="n"/>
      <c r="HR10" s="45" t="n"/>
      <c r="HS10" s="45" t="n"/>
      <c r="HT10" s="351" t="n"/>
      <c r="HU10" s="606" t="n"/>
      <c r="HV10" s="65">
        <f>AVERAGE(AX10,AU10,AQ10,AN10,Z10,R10,O10,J10)</f>
        <v/>
      </c>
      <c r="HW10" s="66">
        <f>AVERAGE(BB10,AR10,AH10,AD10,P10,H10,E10)</f>
        <v/>
      </c>
      <c r="HX10" s="66">
        <f>AVERAGE(BC10,AE10)</f>
        <v/>
      </c>
      <c r="HY10" s="66">
        <f>AVERAGE(AW10,AV10,AS10,AL10,AJ10,Q10)</f>
        <v/>
      </c>
      <c r="HZ10" s="66">
        <f>AVERAGE(AT10,AM10,AF10,T10,I10)</f>
        <v/>
      </c>
      <c r="IA10" s="66">
        <f>AVERAGE(AY10,AG10)</f>
        <v/>
      </c>
      <c r="IB10" s="66">
        <f>AVERAGE(AZ10,#REF!)</f>
        <v/>
      </c>
      <c r="IC10" s="66" t="n"/>
      <c r="ID10" s="66">
        <f>AVERAGE(BA10)</f>
        <v/>
      </c>
      <c r="IE10" s="66">
        <f>AVERAGE(AC10)</f>
        <v/>
      </c>
    </row>
    <row r="11" ht="18" customHeight="1" s="590">
      <c r="B11" s="12" t="n">
        <v>5</v>
      </c>
      <c r="C11" s="13" t="inlineStr">
        <is>
          <t>052-24-125204</t>
        </is>
      </c>
      <c r="D11" s="14" t="inlineStr">
        <is>
          <t>Yasir Khalid</t>
        </is>
      </c>
      <c r="E11" s="526" t="n">
        <v>0</v>
      </c>
      <c r="F11" s="526" t="n">
        <v>0</v>
      </c>
      <c r="G11" s="526" t="n">
        <v>0</v>
      </c>
      <c r="H11" s="510" t="n">
        <v>0</v>
      </c>
      <c r="I11" s="526" t="n">
        <v>0</v>
      </c>
      <c r="J11" s="253" t="n"/>
      <c r="K11" s="249" t="n"/>
      <c r="L11" s="249" t="n"/>
      <c r="M11" s="249" t="n"/>
      <c r="N11" s="254" t="n"/>
      <c r="O11" s="524" t="n"/>
      <c r="P11" s="583" t="n"/>
      <c r="Q11" s="524" t="n"/>
      <c r="R11" s="115" t="n"/>
      <c r="S11" s="510" t="n"/>
      <c r="T11" s="117" t="n"/>
      <c r="U11" s="241" t="n"/>
      <c r="V11" s="241" t="n"/>
      <c r="W11" s="241" t="n"/>
      <c r="X11" s="241" t="n"/>
      <c r="Y11" s="241" t="n"/>
      <c r="Z11" s="114" t="n"/>
      <c r="AA11" s="546" t="n"/>
      <c r="AB11" s="115" t="n"/>
      <c r="AC11" s="117" t="n"/>
      <c r="AD11" s="117" t="n"/>
      <c r="AE11" s="114" t="n">
        <v>60</v>
      </c>
      <c r="AF11" s="583" t="n">
        <v>64.17</v>
      </c>
      <c r="AG11" s="117" t="n">
        <v>75</v>
      </c>
      <c r="AH11" s="128" t="n">
        <v>75</v>
      </c>
      <c r="AI11" s="665" t="n"/>
      <c r="AJ11" s="128" t="n">
        <v>75.8333333333333</v>
      </c>
      <c r="AK11" s="665" t="n"/>
      <c r="AL11" s="543" t="n">
        <v>81.67</v>
      </c>
      <c r="AM11" s="543" t="n">
        <v>80.91</v>
      </c>
      <c r="AN11" s="691" t="n">
        <v>80.73999999999999</v>
      </c>
      <c r="AO11" s="683" t="n"/>
      <c r="AP11" s="663" t="n"/>
      <c r="AQ11" s="127" t="n">
        <v>83.33</v>
      </c>
      <c r="AR11" s="128" t="n">
        <v>86.67</v>
      </c>
      <c r="AS11" s="128" t="n">
        <v>65.56</v>
      </c>
      <c r="AT11" s="131" t="n">
        <v>75</v>
      </c>
      <c r="AU11" s="127" t="n">
        <v>68.33</v>
      </c>
      <c r="AV11" s="128" t="n">
        <v>55.33</v>
      </c>
      <c r="AW11" s="128" t="n">
        <v>73</v>
      </c>
      <c r="AX11" s="128" t="n">
        <v>51.5873015873016</v>
      </c>
      <c r="AY11" s="543" t="n">
        <v>90</v>
      </c>
      <c r="AZ11" s="543" t="n">
        <v>92.8571428571429</v>
      </c>
      <c r="BA11" s="131" t="n">
        <v>76.6666666666667</v>
      </c>
      <c r="BB11" s="127" t="n">
        <v>84.17</v>
      </c>
      <c r="BC11" s="131" t="n">
        <v>85.5</v>
      </c>
      <c r="BD11" s="663" t="n"/>
      <c r="BE11" s="131" t="n"/>
      <c r="BF11" s="131" t="n"/>
      <c r="BG11" s="131" t="n"/>
      <c r="BH11" s="114" t="n"/>
      <c r="BI11" s="546" t="n"/>
      <c r="BJ11" s="511" t="n"/>
      <c r="BK11" s="114" t="n"/>
      <c r="BL11" s="546" t="n"/>
      <c r="BM11" s="511" t="n"/>
      <c r="BN11" s="114" t="n"/>
      <c r="BO11" s="546" t="n"/>
      <c r="BP11" s="546" t="n"/>
      <c r="BQ11" s="546" t="n"/>
      <c r="BR11" s="546" t="n"/>
      <c r="BS11" s="546" t="n"/>
      <c r="BT11" s="511" t="n"/>
      <c r="BU11" s="546" t="n"/>
      <c r="BV11" s="546" t="n"/>
      <c r="BW11" s="546" t="n"/>
      <c r="BX11" s="546" t="n"/>
      <c r="BY11" s="546" t="n"/>
      <c r="BZ11" s="546" t="n"/>
      <c r="CA11" s="546" t="n"/>
      <c r="CB11" s="15" t="n"/>
      <c r="CC11" s="546" t="n"/>
      <c r="CD11" s="546" t="n"/>
      <c r="CE11" s="546" t="n"/>
      <c r="CF11" s="546" t="n"/>
      <c r="CG11" s="546" t="n"/>
      <c r="CH11" s="15" t="n"/>
      <c r="CI11" s="546" t="n"/>
      <c r="CJ11" s="546" t="n"/>
      <c r="CK11" s="17" t="n"/>
      <c r="CL11" s="546" t="n"/>
      <c r="CM11" s="546" t="n"/>
      <c r="CN11" s="546" t="n"/>
      <c r="CO11" s="546" t="n"/>
      <c r="CP11" s="583" t="n"/>
      <c r="CQ11" s="15" t="n"/>
      <c r="CR11" s="15" t="n"/>
      <c r="CS11" s="15" t="n"/>
      <c r="CT11" s="15" t="n"/>
      <c r="CU11" s="546" t="n"/>
      <c r="CV11" s="17" t="n"/>
      <c r="CW11" s="74" t="n"/>
      <c r="CX11" s="75" t="n"/>
      <c r="CY11" s="76" t="n"/>
      <c r="CZ11" s="76" t="n"/>
      <c r="DA11" s="91" t="n"/>
      <c r="DB11" s="546" t="n"/>
      <c r="DC11" s="546" t="n"/>
      <c r="DD11" s="546" t="n"/>
      <c r="DE11" s="546" t="n"/>
      <c r="DF11" s="583" t="n"/>
      <c r="DG11" s="141" t="n"/>
      <c r="DH11" s="162" t="n"/>
      <c r="DI11" s="162" t="n"/>
      <c r="DJ11" s="512" t="n"/>
      <c r="DK11" s="491" t="n"/>
      <c r="DL11" s="141" t="n"/>
      <c r="DM11" s="139" t="n"/>
      <c r="DN11" s="139" t="n"/>
      <c r="DO11" s="139" t="n"/>
      <c r="DP11" s="347" t="n"/>
      <c r="DQ11" s="348" t="n"/>
      <c r="DR11" s="162" t="n"/>
      <c r="DS11" s="162" t="n"/>
      <c r="DT11" s="162" t="n"/>
      <c r="DU11" s="162" t="n"/>
      <c r="DV11" s="201" t="n"/>
      <c r="DW11" s="201" t="n"/>
      <c r="DX11" s="163" t="n"/>
      <c r="DY11" s="141" t="n"/>
      <c r="DZ11" s="139" t="n"/>
      <c r="EA11" s="139" t="n"/>
      <c r="EB11" s="139" t="n"/>
      <c r="EC11" s="140" t="n"/>
      <c r="ED11" s="347" t="n"/>
      <c r="EE11" s="147" t="n"/>
      <c r="EF11" s="31" t="n"/>
      <c r="EG11" s="349" t="n"/>
      <c r="EH11" s="349" t="n"/>
      <c r="EI11" s="45" t="n"/>
      <c r="EJ11" s="351" t="n"/>
      <c r="EK11" s="107" t="n"/>
      <c r="EL11" s="139" t="n"/>
      <c r="EM11" s="139" t="n"/>
      <c r="EN11" s="139" t="n"/>
      <c r="EO11" s="140" t="n"/>
      <c r="EP11" s="108" t="n"/>
      <c r="EQ11" s="141" t="n"/>
      <c r="ER11" s="140" t="n"/>
      <c r="ES11" s="140" t="n"/>
      <c r="ET11" s="140" t="n"/>
      <c r="EU11" s="347" t="n"/>
      <c r="EV11" s="348" t="n"/>
      <c r="EW11" s="107" t="n"/>
      <c r="EX11" s="140" t="n"/>
      <c r="EY11" s="140" t="n"/>
      <c r="EZ11" s="107" t="n"/>
      <c r="FA11" s="587" t="n"/>
      <c r="FB11" s="587" t="n"/>
      <c r="FC11" s="141" t="n"/>
      <c r="FD11" s="140" t="n"/>
      <c r="FE11" s="140" t="n"/>
      <c r="FF11" s="140" t="n"/>
      <c r="FG11" s="140" t="n"/>
      <c r="FH11" s="147" t="n"/>
      <c r="FI11" s="74" t="n"/>
      <c r="FJ11" s="75" t="n"/>
      <c r="FK11" s="76" t="n"/>
      <c r="FL11" s="76" t="n"/>
      <c r="FM11" s="91" t="n"/>
      <c r="FN11" s="92" t="n"/>
      <c r="FO11" s="91" t="n"/>
      <c r="FP11" s="74" t="n"/>
      <c r="FQ11" s="92" t="n"/>
      <c r="FR11" s="148" t="n"/>
      <c r="FS11" s="149" t="n"/>
      <c r="FT11" s="150" t="n"/>
      <c r="FU11" s="99" t="n"/>
      <c r="FV11" s="100" t="n"/>
      <c r="FW11" s="100" t="n"/>
      <c r="FX11" s="100" t="n"/>
      <c r="FY11" s="100" t="n"/>
      <c r="FZ11" s="100" t="n"/>
      <c r="GA11" s="100" t="n"/>
      <c r="GB11" s="100" t="n"/>
      <c r="GC11" s="100" t="n"/>
      <c r="GD11" s="100" t="n"/>
      <c r="GE11" s="100" t="n"/>
      <c r="GF11" s="102" t="n"/>
      <c r="GG11" s="15" t="n"/>
      <c r="GH11" s="546" t="n"/>
      <c r="GI11" s="546" t="n"/>
      <c r="GJ11" s="17" t="n"/>
      <c r="GK11" s="15" t="n"/>
      <c r="GL11" s="546" t="n"/>
      <c r="GM11" s="546" t="n"/>
      <c r="GN11" s="17" t="n"/>
      <c r="GO11" s="31" t="n"/>
      <c r="GP11" s="349" t="n"/>
      <c r="GQ11" s="349" t="n"/>
      <c r="GR11" s="45" t="n"/>
      <c r="GS11" s="351" t="n"/>
      <c r="GT11" s="31" t="n"/>
      <c r="GU11" s="45" t="n"/>
      <c r="GV11" s="45" t="n"/>
      <c r="GW11" s="350" t="n"/>
      <c r="GX11" s="351" t="n"/>
      <c r="GY11" s="107" t="n"/>
      <c r="GZ11" s="587" t="n"/>
      <c r="HA11" s="108" t="n"/>
      <c r="HB11" s="15" t="n"/>
      <c r="HC11" s="546" t="n"/>
      <c r="HD11" s="17" t="n"/>
      <c r="HE11" s="15" t="n"/>
      <c r="HF11" s="546" t="n"/>
      <c r="HG11" s="546" t="n"/>
      <c r="HH11" s="17" t="n"/>
      <c r="HI11" s="31" t="n"/>
      <c r="HJ11" s="45" t="n"/>
      <c r="HK11" s="45" t="n"/>
      <c r="HL11" s="45" t="n"/>
      <c r="HM11" s="45" t="n"/>
      <c r="HN11" s="45" t="n"/>
      <c r="HO11" s="45" t="n"/>
      <c r="HP11" s="45" t="n"/>
      <c r="HQ11" s="45" t="n"/>
      <c r="HR11" s="45" t="n"/>
      <c r="HS11" s="45" t="n"/>
      <c r="HT11" s="351" t="n"/>
      <c r="HU11" s="606" t="n"/>
      <c r="HV11" s="65">
        <f>AVERAGE(AX11,AU11,AQ11,AN11,Z11,R11,O11,J11)</f>
        <v/>
      </c>
      <c r="HW11" s="66">
        <f>AVERAGE(BB11,AR11,AH11,AD11,P11,H11,E11)</f>
        <v/>
      </c>
      <c r="HX11" s="66">
        <f>AVERAGE(BC11,AE11)</f>
        <v/>
      </c>
      <c r="HY11" s="66">
        <f>AVERAGE(AW11,AV11,AS11,AL11,AJ11,Q11)</f>
        <v/>
      </c>
      <c r="HZ11" s="66">
        <f>AVERAGE(AT11,AM11,AF11,T11,I11)</f>
        <v/>
      </c>
      <c r="IA11" s="66">
        <f>AVERAGE(AY11,AG11)</f>
        <v/>
      </c>
      <c r="IB11" s="66">
        <f>AVERAGE(AZ11,#REF!)</f>
        <v/>
      </c>
      <c r="IC11" s="66" t="n"/>
      <c r="ID11" s="66">
        <f>AVERAGE(BA11)</f>
        <v/>
      </c>
      <c r="IE11" s="66">
        <f>AVERAGE(AC11)</f>
        <v/>
      </c>
    </row>
    <row r="12" ht="18" customHeight="1" s="590">
      <c r="B12" s="12" t="n">
        <v>6</v>
      </c>
      <c r="C12" s="13" t="inlineStr">
        <is>
          <t>052-24-125180</t>
        </is>
      </c>
      <c r="D12" s="14" t="inlineStr">
        <is>
          <t>Talha Arif</t>
        </is>
      </c>
      <c r="E12" s="526" t="n">
        <v>0</v>
      </c>
      <c r="F12" s="526" t="n">
        <v>0</v>
      </c>
      <c r="G12" s="526" t="n">
        <v>0</v>
      </c>
      <c r="H12" s="510" t="n">
        <v>0</v>
      </c>
      <c r="I12" s="526" t="n">
        <v>0</v>
      </c>
      <c r="J12" s="253" t="n"/>
      <c r="K12" s="249" t="n"/>
      <c r="L12" s="249" t="n"/>
      <c r="M12" s="249" t="n"/>
      <c r="N12" s="254" t="n"/>
      <c r="O12" s="524" t="n"/>
      <c r="P12" s="583" t="n"/>
      <c r="Q12" s="524" t="n"/>
      <c r="R12" s="115" t="n"/>
      <c r="S12" s="510" t="n"/>
      <c r="T12" s="117" t="n"/>
      <c r="U12" s="241" t="n"/>
      <c r="V12" s="241" t="n"/>
      <c r="W12" s="241" t="n"/>
      <c r="X12" s="241" t="n"/>
      <c r="Y12" s="241" t="n"/>
      <c r="Z12" s="114" t="n"/>
      <c r="AA12" s="546" t="n"/>
      <c r="AB12" s="115" t="n"/>
      <c r="AC12" s="117" t="n"/>
      <c r="AD12" s="117" t="n"/>
      <c r="AE12" s="114" t="n">
        <v>33.33</v>
      </c>
      <c r="AF12" s="583" t="n">
        <v>77.5</v>
      </c>
      <c r="AG12" s="117" t="n">
        <v>83.33</v>
      </c>
      <c r="AH12" s="128" t="n">
        <v>83.75</v>
      </c>
      <c r="AI12" s="665" t="n"/>
      <c r="AJ12" s="128" t="n">
        <v>78.3333333333333</v>
      </c>
      <c r="AK12" s="665" t="n"/>
      <c r="AL12" s="543" t="n">
        <v>81.39</v>
      </c>
      <c r="AM12" s="543" t="n">
        <v>81.20999999999999</v>
      </c>
      <c r="AN12" s="691" t="n">
        <v>79.63</v>
      </c>
      <c r="AO12" s="683" t="n"/>
      <c r="AP12" s="663" t="n"/>
      <c r="AQ12" s="127" t="n">
        <v>83.33</v>
      </c>
      <c r="AR12" s="128" t="n">
        <v>83.33</v>
      </c>
      <c r="AS12" s="128" t="n">
        <v>65.56</v>
      </c>
      <c r="AT12" s="131" t="n">
        <v>88.33</v>
      </c>
      <c r="AU12" s="127" t="n">
        <v>62.5</v>
      </c>
      <c r="AV12" s="128" t="n">
        <v>78</v>
      </c>
      <c r="AW12" s="128" t="n">
        <v>79</v>
      </c>
      <c r="AX12" s="128" t="n">
        <v>60.1587301587302</v>
      </c>
      <c r="AY12" s="543" t="n">
        <v>78.6666666666667</v>
      </c>
      <c r="AZ12" s="543" t="n">
        <v>71.9047619047619</v>
      </c>
      <c r="BA12" s="131" t="n">
        <v>68.3333333333333</v>
      </c>
      <c r="BB12" s="127" t="n">
        <v>81.67</v>
      </c>
      <c r="BC12" s="131" t="n">
        <v>82.25</v>
      </c>
      <c r="BD12" s="663" t="n"/>
      <c r="BE12" s="131" t="n"/>
      <c r="BF12" s="131" t="n"/>
      <c r="BG12" s="131" t="n"/>
      <c r="BH12" s="114" t="n"/>
      <c r="BI12" s="546" t="n"/>
      <c r="BJ12" s="511" t="n"/>
      <c r="BK12" s="114" t="n"/>
      <c r="BL12" s="546" t="n"/>
      <c r="BM12" s="511" t="n"/>
      <c r="BN12" s="114" t="n"/>
      <c r="BO12" s="546" t="n"/>
      <c r="BP12" s="546" t="n"/>
      <c r="BQ12" s="546" t="n"/>
      <c r="BR12" s="546" t="n"/>
      <c r="BS12" s="546" t="n"/>
      <c r="BT12" s="511" t="n"/>
      <c r="BU12" s="546" t="n"/>
      <c r="BV12" s="546" t="n"/>
      <c r="BW12" s="546" t="n"/>
      <c r="BX12" s="546" t="n"/>
      <c r="BY12" s="546" t="n"/>
      <c r="BZ12" s="546" t="n"/>
      <c r="CA12" s="546" t="n"/>
      <c r="CB12" s="15" t="n"/>
      <c r="CC12" s="546" t="n"/>
      <c r="CD12" s="546" t="n"/>
      <c r="CE12" s="546" t="n"/>
      <c r="CF12" s="546" t="n"/>
      <c r="CG12" s="546" t="n"/>
      <c r="CH12" s="15" t="n"/>
      <c r="CI12" s="546" t="n"/>
      <c r="CJ12" s="546" t="n"/>
      <c r="CK12" s="17" t="n"/>
      <c r="CL12" s="546" t="n"/>
      <c r="CM12" s="546" t="n"/>
      <c r="CN12" s="546" t="n"/>
      <c r="CO12" s="546" t="n"/>
      <c r="CP12" s="583" t="n"/>
      <c r="CQ12" s="15" t="n"/>
      <c r="CR12" s="15" t="n"/>
      <c r="CS12" s="15" t="n"/>
      <c r="CT12" s="15" t="n"/>
      <c r="CU12" s="546" t="n"/>
      <c r="CV12" s="17" t="n"/>
      <c r="CW12" s="74" t="n"/>
      <c r="CX12" s="75" t="n"/>
      <c r="CY12" s="76" t="n"/>
      <c r="CZ12" s="76" t="n"/>
      <c r="DA12" s="91" t="n"/>
      <c r="DB12" s="546" t="n"/>
      <c r="DC12" s="546" t="n"/>
      <c r="DD12" s="546" t="n"/>
      <c r="DE12" s="546" t="n"/>
      <c r="DF12" s="583" t="n"/>
      <c r="DG12" s="141" t="n"/>
      <c r="DH12" s="162" t="n"/>
      <c r="DI12" s="162" t="n"/>
      <c r="DJ12" s="512" t="n"/>
      <c r="DK12" s="491" t="n"/>
      <c r="DL12" s="141" t="n"/>
      <c r="DM12" s="139" t="n"/>
      <c r="DN12" s="139" t="n"/>
      <c r="DO12" s="139" t="n"/>
      <c r="DP12" s="347" t="n"/>
      <c r="DQ12" s="348" t="n"/>
      <c r="DR12" s="162" t="n"/>
      <c r="DS12" s="162" t="n"/>
      <c r="DT12" s="162" t="n"/>
      <c r="DU12" s="162" t="n"/>
      <c r="DV12" s="201" t="n"/>
      <c r="DW12" s="201" t="n"/>
      <c r="DX12" s="163" t="n"/>
      <c r="DY12" s="141" t="n"/>
      <c r="DZ12" s="139" t="n"/>
      <c r="EA12" s="139" t="n"/>
      <c r="EB12" s="139" t="n"/>
      <c r="EC12" s="140" t="n"/>
      <c r="ED12" s="347" t="n"/>
      <c r="EE12" s="147" t="n"/>
      <c r="EF12" s="31" t="n"/>
      <c r="EG12" s="349" t="n"/>
      <c r="EH12" s="349" t="n"/>
      <c r="EI12" s="45" t="n"/>
      <c r="EJ12" s="351" t="n"/>
      <c r="EK12" s="107" t="n"/>
      <c r="EL12" s="139" t="n"/>
      <c r="EM12" s="139" t="n"/>
      <c r="EN12" s="139" t="n"/>
      <c r="EO12" s="140" t="n"/>
      <c r="EP12" s="108" t="n"/>
      <c r="EQ12" s="141" t="n"/>
      <c r="ER12" s="140" t="n"/>
      <c r="ES12" s="140" t="n"/>
      <c r="ET12" s="140" t="n"/>
      <c r="EU12" s="347" t="n"/>
      <c r="EV12" s="348" t="n"/>
      <c r="EW12" s="107" t="n"/>
      <c r="EX12" s="140" t="n"/>
      <c r="EY12" s="140" t="n"/>
      <c r="EZ12" s="107" t="n"/>
      <c r="FA12" s="587" t="n"/>
      <c r="FB12" s="587" t="n"/>
      <c r="FC12" s="141" t="n"/>
      <c r="FD12" s="140" t="n"/>
      <c r="FE12" s="140" t="n"/>
      <c r="FF12" s="140" t="n"/>
      <c r="FG12" s="140" t="n"/>
      <c r="FH12" s="147" t="n"/>
      <c r="FI12" s="74" t="n"/>
      <c r="FJ12" s="75" t="n"/>
      <c r="FK12" s="76" t="n"/>
      <c r="FL12" s="76" t="n"/>
      <c r="FM12" s="91" t="n"/>
      <c r="FN12" s="92" t="n"/>
      <c r="FO12" s="91" t="n"/>
      <c r="FP12" s="74" t="n"/>
      <c r="FQ12" s="92" t="n"/>
      <c r="FR12" s="148" t="n"/>
      <c r="FS12" s="149" t="n"/>
      <c r="FT12" s="150" t="n"/>
      <c r="FU12" s="99" t="n"/>
      <c r="FV12" s="100" t="n"/>
      <c r="FW12" s="100" t="n"/>
      <c r="FX12" s="100" t="n"/>
      <c r="FY12" s="100" t="n"/>
      <c r="FZ12" s="100" t="n"/>
      <c r="GA12" s="100" t="n"/>
      <c r="GB12" s="100" t="n"/>
      <c r="GC12" s="100" t="n"/>
      <c r="GD12" s="100" t="n"/>
      <c r="GE12" s="100" t="n"/>
      <c r="GF12" s="102" t="n"/>
      <c r="GG12" s="15" t="n"/>
      <c r="GH12" s="546" t="n"/>
      <c r="GI12" s="546" t="n"/>
      <c r="GJ12" s="17" t="n"/>
      <c r="GK12" s="15" t="n"/>
      <c r="GL12" s="546" t="n"/>
      <c r="GM12" s="546" t="n"/>
      <c r="GN12" s="17" t="n"/>
      <c r="GO12" s="31" t="n"/>
      <c r="GP12" s="349" t="n"/>
      <c r="GQ12" s="349" t="n"/>
      <c r="GR12" s="45" t="n"/>
      <c r="GS12" s="351" t="n"/>
      <c r="GT12" s="31" t="n"/>
      <c r="GU12" s="45" t="n"/>
      <c r="GV12" s="45" t="n"/>
      <c r="GW12" s="350" t="n"/>
      <c r="GX12" s="351" t="n"/>
      <c r="GY12" s="107" t="n"/>
      <c r="GZ12" s="587" t="n"/>
      <c r="HA12" s="108" t="n"/>
      <c r="HB12" s="15" t="n"/>
      <c r="HC12" s="546" t="n"/>
      <c r="HD12" s="17" t="n"/>
      <c r="HE12" s="15" t="n"/>
      <c r="HF12" s="546" t="n"/>
      <c r="HG12" s="546" t="n"/>
      <c r="HH12" s="17" t="n"/>
      <c r="HI12" s="31" t="n"/>
      <c r="HJ12" s="45" t="n"/>
      <c r="HK12" s="45" t="n"/>
      <c r="HL12" s="45" t="n"/>
      <c r="HM12" s="45" t="n"/>
      <c r="HN12" s="45" t="n"/>
      <c r="HO12" s="45" t="n"/>
      <c r="HP12" s="45" t="n"/>
      <c r="HQ12" s="45" t="n"/>
      <c r="HR12" s="45" t="n"/>
      <c r="HS12" s="45" t="n"/>
      <c r="HT12" s="351" t="n"/>
      <c r="HU12" s="606" t="n"/>
      <c r="HV12" s="65">
        <f>AVERAGE(AX12,AU12,AQ12,AN12,Z12,R12,O12,J12)</f>
        <v/>
      </c>
      <c r="HW12" s="66">
        <f>AVERAGE(BB12,AR12,AH12,AD12,P12,H12,E12)</f>
        <v/>
      </c>
      <c r="HX12" s="66">
        <f>AVERAGE(BC12,AE12)</f>
        <v/>
      </c>
      <c r="HY12" s="66">
        <f>AVERAGE(AW12,AV12,AS12,AL12,AJ12,Q12)</f>
        <v/>
      </c>
      <c r="HZ12" s="66">
        <f>AVERAGE(AT12,AM12,AF12,T12,I12)</f>
        <v/>
      </c>
      <c r="IA12" s="66">
        <f>AVERAGE(AY12,AG12)</f>
        <v/>
      </c>
      <c r="IB12" s="66">
        <f>AVERAGE(AZ12,#REF!)</f>
        <v/>
      </c>
      <c r="IC12" s="66" t="n"/>
      <c r="ID12" s="66">
        <f>AVERAGE(BA12)</f>
        <v/>
      </c>
      <c r="IE12" s="66">
        <f>AVERAGE(AC12)</f>
        <v/>
      </c>
    </row>
    <row r="13" ht="18" customHeight="1" s="590">
      <c r="B13" s="12" t="n">
        <v>7</v>
      </c>
      <c r="C13" s="13" t="inlineStr">
        <is>
          <t>052-24-125541</t>
        </is>
      </c>
      <c r="D13" s="14" t="inlineStr">
        <is>
          <t>Zeeshan Ahmad</t>
        </is>
      </c>
      <c r="E13" s="526" t="n">
        <v>78</v>
      </c>
      <c r="F13" s="526" t="n">
        <v>65.83</v>
      </c>
      <c r="G13" s="526" t="n">
        <v>73.33</v>
      </c>
      <c r="H13" s="510" t="n">
        <v>0</v>
      </c>
      <c r="I13" s="526" t="n">
        <v>0</v>
      </c>
      <c r="J13" s="253" t="n">
        <v>71.56</v>
      </c>
      <c r="K13" s="249" t="n">
        <v>60</v>
      </c>
      <c r="L13" s="249" t="n">
        <v>66.67</v>
      </c>
      <c r="M13" s="249" t="n"/>
      <c r="N13" s="254" t="n"/>
      <c r="O13" s="524" t="n">
        <v>65.83</v>
      </c>
      <c r="P13" s="524" t="n">
        <v>56.25</v>
      </c>
      <c r="Q13" s="524" t="n">
        <v>62</v>
      </c>
      <c r="R13" s="115" t="n">
        <v>61.85</v>
      </c>
      <c r="S13" s="510" t="n">
        <v>68.52</v>
      </c>
      <c r="T13" s="117" t="n">
        <v>80</v>
      </c>
      <c r="U13" s="241" t="n">
        <v>70</v>
      </c>
      <c r="V13" s="241" t="n">
        <v>80</v>
      </c>
      <c r="W13" s="241" t="n">
        <v>64.29000000000001</v>
      </c>
      <c r="X13" s="241" t="n">
        <v>92.73</v>
      </c>
      <c r="Y13" s="241" t="n">
        <v>95.09</v>
      </c>
      <c r="Z13" s="114" t="n">
        <v>78.52</v>
      </c>
      <c r="AA13" s="546" t="n">
        <v>77</v>
      </c>
      <c r="AB13" s="115" t="n">
        <v>62.5</v>
      </c>
      <c r="AC13" s="117" t="n"/>
      <c r="AD13" s="117" t="n"/>
      <c r="AE13" s="114" t="n">
        <v>33.33</v>
      </c>
      <c r="AF13" s="583" t="n">
        <v>67.5</v>
      </c>
      <c r="AG13" s="117" t="n">
        <v>73.33</v>
      </c>
      <c r="AH13" s="115" t="n">
        <v>62.9166666666667</v>
      </c>
      <c r="AI13" s="665" t="n"/>
      <c r="AJ13" s="115" t="n">
        <v>70</v>
      </c>
      <c r="AK13" s="665" t="n"/>
      <c r="AL13" s="510" t="n">
        <v>69.72</v>
      </c>
      <c r="AM13" s="510" t="n">
        <v>70</v>
      </c>
      <c r="AN13" s="691" t="n">
        <v>55.93</v>
      </c>
      <c r="AO13" s="683" t="n"/>
      <c r="AP13" s="663" t="n"/>
      <c r="AQ13" s="127" t="n">
        <v>83.33</v>
      </c>
      <c r="AR13" s="128" t="n">
        <v>83.33</v>
      </c>
      <c r="AS13" s="128" t="n">
        <v>68.89</v>
      </c>
      <c r="AT13" s="131" t="n">
        <v>81.67</v>
      </c>
      <c r="AU13" s="127" t="n">
        <v>71.67</v>
      </c>
      <c r="AV13" s="128" t="n">
        <v>73.33</v>
      </c>
      <c r="AW13" s="128" t="n">
        <v>76.5</v>
      </c>
      <c r="AX13" s="128" t="n">
        <v>35.5555555555556</v>
      </c>
      <c r="AY13" s="543" t="n">
        <v>32</v>
      </c>
      <c r="AZ13" s="543" t="n">
        <v>35.2380952380952</v>
      </c>
      <c r="BA13" s="131" t="n">
        <v>42.7777777777778</v>
      </c>
      <c r="BB13" s="127" t="n">
        <v>72.5</v>
      </c>
      <c r="BC13" s="131" t="n">
        <v>76.5</v>
      </c>
      <c r="BD13" s="663" t="n"/>
      <c r="BE13" s="131" t="n"/>
      <c r="BF13" s="131" t="n"/>
      <c r="BG13" s="131" t="n"/>
      <c r="BH13" s="114" t="n"/>
      <c r="BI13" s="546" t="n"/>
      <c r="BJ13" s="511" t="n"/>
      <c r="BK13" s="114" t="n"/>
      <c r="BL13" s="546" t="n"/>
      <c r="BM13" s="511" t="n"/>
      <c r="BN13" s="114" t="n"/>
      <c r="BO13" s="546" t="n"/>
      <c r="BP13" s="546" t="n"/>
      <c r="BQ13" s="546" t="n"/>
      <c r="BR13" s="546" t="n"/>
      <c r="BS13" s="546" t="n"/>
      <c r="BT13" s="511" t="n"/>
      <c r="BU13" s="546" t="n"/>
      <c r="BV13" s="546" t="n"/>
      <c r="BW13" s="546" t="n"/>
      <c r="BX13" s="546" t="n"/>
      <c r="BY13" s="546" t="n"/>
      <c r="BZ13" s="546" t="n"/>
      <c r="CA13" s="546" t="n"/>
      <c r="CB13" s="15" t="n"/>
      <c r="CC13" s="546" t="n"/>
      <c r="CD13" s="546" t="n"/>
      <c r="CE13" s="546" t="n"/>
      <c r="CF13" s="546" t="n"/>
      <c r="CG13" s="546" t="n"/>
      <c r="CH13" s="15" t="n"/>
      <c r="CI13" s="546" t="n"/>
      <c r="CJ13" s="546" t="n"/>
      <c r="CK13" s="17" t="n"/>
      <c r="CL13" s="546" t="n"/>
      <c r="CM13" s="546" t="n"/>
      <c r="CN13" s="546" t="n"/>
      <c r="CO13" s="546" t="n"/>
      <c r="CP13" s="583" t="n"/>
      <c r="CQ13" s="15" t="n"/>
      <c r="CR13" s="15" t="n"/>
      <c r="CS13" s="15" t="n"/>
      <c r="CT13" s="15" t="n"/>
      <c r="CU13" s="546" t="n"/>
      <c r="CV13" s="17" t="n"/>
      <c r="CW13" s="74" t="n"/>
      <c r="CX13" s="75" t="n"/>
      <c r="CY13" s="76" t="n"/>
      <c r="CZ13" s="76" t="n"/>
      <c r="DA13" s="91" t="n"/>
      <c r="DB13" s="546" t="n"/>
      <c r="DC13" s="546" t="n"/>
      <c r="DD13" s="546" t="n"/>
      <c r="DE13" s="546" t="n"/>
      <c r="DF13" s="583" t="n"/>
      <c r="DG13" s="141" t="n"/>
      <c r="DH13" s="162" t="n"/>
      <c r="DI13" s="162" t="n"/>
      <c r="DJ13" s="512" t="n"/>
      <c r="DK13" s="665" t="n"/>
      <c r="DL13" s="141" t="n"/>
      <c r="DM13" s="139" t="n"/>
      <c r="DN13" s="139" t="n"/>
      <c r="DO13" s="139" t="n"/>
      <c r="DP13" s="147" t="n"/>
      <c r="DQ13" s="664" t="n"/>
      <c r="DR13" s="162" t="n"/>
      <c r="DS13" s="162" t="n"/>
      <c r="DT13" s="162" t="n"/>
      <c r="DU13" s="162" t="n"/>
      <c r="DV13" s="201" t="n"/>
      <c r="DW13" s="201" t="n"/>
      <c r="DX13" s="163" t="n"/>
      <c r="DY13" s="141" t="n"/>
      <c r="DZ13" s="139" t="n"/>
      <c r="EA13" s="139" t="n"/>
      <c r="EB13" s="139" t="n"/>
      <c r="EC13" s="140" t="n"/>
      <c r="ED13" s="347" t="n"/>
      <c r="EE13" s="147" t="n"/>
      <c r="EF13" s="31" t="n"/>
      <c r="EG13" s="349" t="n"/>
      <c r="EH13" s="665" t="n"/>
      <c r="EI13" s="45" t="n"/>
      <c r="EJ13" s="351" t="n"/>
      <c r="EK13" s="107" t="n"/>
      <c r="EL13" s="139" t="n"/>
      <c r="EM13" s="139" t="n"/>
      <c r="EN13" s="139" t="n"/>
      <c r="EO13" s="140" t="n"/>
      <c r="EP13" s="108" t="n"/>
      <c r="EQ13" s="141" t="n"/>
      <c r="ER13" s="140" t="n"/>
      <c r="ES13" s="140" t="n"/>
      <c r="ET13" s="140" t="n"/>
      <c r="EU13" s="147" t="n"/>
      <c r="EV13" s="664" t="n"/>
      <c r="EW13" s="107" t="n"/>
      <c r="EX13" s="140" t="n"/>
      <c r="EY13" s="140" t="n"/>
      <c r="EZ13" s="107" t="n"/>
      <c r="FA13" s="587" t="n"/>
      <c r="FB13" s="587" t="n"/>
      <c r="FC13" s="141" t="n"/>
      <c r="FD13" s="140" t="n"/>
      <c r="FE13" s="140" t="n"/>
      <c r="FF13" s="140" t="n"/>
      <c r="FG13" s="140" t="n"/>
      <c r="FH13" s="147" t="n"/>
      <c r="FI13" s="74" t="n"/>
      <c r="FJ13" s="75" t="n"/>
      <c r="FK13" s="76" t="n"/>
      <c r="FL13" s="76" t="n"/>
      <c r="FM13" s="91" t="n"/>
      <c r="FN13" s="92" t="n"/>
      <c r="FO13" s="91" t="n"/>
      <c r="FP13" s="74" t="n"/>
      <c r="FQ13" s="92" t="n"/>
      <c r="FR13" s="148" t="n"/>
      <c r="FS13" s="149" t="n"/>
      <c r="FT13" s="150" t="n"/>
      <c r="FU13" s="99" t="n"/>
      <c r="FV13" s="100" t="n"/>
      <c r="FW13" s="100" t="n"/>
      <c r="FX13" s="100" t="n"/>
      <c r="FY13" s="100" t="n"/>
      <c r="FZ13" s="100" t="n"/>
      <c r="GA13" s="100" t="n"/>
      <c r="GB13" s="100" t="n"/>
      <c r="GC13" s="100" t="n"/>
      <c r="GD13" s="100" t="n"/>
      <c r="GE13" s="100" t="n"/>
      <c r="GF13" s="102" t="n"/>
      <c r="GG13" s="15" t="n"/>
      <c r="GH13" s="546" t="n"/>
      <c r="GI13" s="546" t="n"/>
      <c r="GJ13" s="17" t="n"/>
      <c r="GK13" s="15" t="n"/>
      <c r="GL13" s="546" t="n"/>
      <c r="GM13" s="546" t="n"/>
      <c r="GN13" s="17" t="n"/>
      <c r="GO13" s="31" t="n"/>
      <c r="GP13" s="349" t="n"/>
      <c r="GQ13" s="665" t="n"/>
      <c r="GR13" s="45" t="n"/>
      <c r="GS13" s="351" t="n"/>
      <c r="GT13" s="31" t="n"/>
      <c r="GU13" s="45" t="n"/>
      <c r="GV13" s="45" t="n"/>
      <c r="GW13" s="351" t="n"/>
      <c r="GX13" s="663" t="n"/>
      <c r="GY13" s="107" t="n"/>
      <c r="GZ13" s="587" t="n"/>
      <c r="HA13" s="108" t="n"/>
      <c r="HB13" s="15" t="n"/>
      <c r="HC13" s="546" t="n"/>
      <c r="HD13" s="17" t="n"/>
      <c r="HE13" s="15" t="n"/>
      <c r="HF13" s="546" t="n"/>
      <c r="HG13" s="546" t="n"/>
      <c r="HH13" s="17" t="n"/>
      <c r="HI13" s="31" t="n"/>
      <c r="HJ13" s="45" t="n"/>
      <c r="HK13" s="45" t="n"/>
      <c r="HL13" s="45" t="n"/>
      <c r="HM13" s="45" t="n"/>
      <c r="HN13" s="45" t="n"/>
      <c r="HO13" s="45" t="n"/>
      <c r="HP13" s="45" t="n"/>
      <c r="HQ13" s="45" t="n"/>
      <c r="HR13" s="45" t="n"/>
      <c r="HS13" s="45" t="n"/>
      <c r="HT13" s="351" t="n"/>
      <c r="HU13" s="606" t="n"/>
      <c r="HV13" s="65">
        <f>AVERAGE(AX13,AU13,AQ13,AN13,Z13,R13,O13,J13)</f>
        <v/>
      </c>
      <c r="HW13" s="66">
        <f>AVERAGE(BB13,AR13,AH13,AD13,P13,H13,E13)</f>
        <v/>
      </c>
      <c r="HX13" s="66">
        <f>AVERAGE(BC13,AE13)</f>
        <v/>
      </c>
      <c r="HY13" s="66">
        <f>AVERAGE(AW13,AV13,AS13,AL13,AJ13,Q13)</f>
        <v/>
      </c>
      <c r="HZ13" s="66">
        <f>AVERAGE(AT13,AM13,AF13,T13,I13)</f>
        <v/>
      </c>
      <c r="IA13" s="66">
        <f>AVERAGE(AY13,AG13)</f>
        <v/>
      </c>
      <c r="IB13" s="66">
        <f>AVERAGE(AZ13,#REF!)</f>
        <v/>
      </c>
      <c r="IC13" s="66" t="n"/>
      <c r="ID13" s="66">
        <f>AVERAGE(BA13)</f>
        <v/>
      </c>
      <c r="IE13" s="66">
        <f>AVERAGE(AC13)</f>
        <v/>
      </c>
    </row>
    <row r="14" ht="18" customHeight="1" s="590">
      <c r="B14" s="12" t="n">
        <v>8</v>
      </c>
      <c r="C14" s="13" t="inlineStr">
        <is>
          <t>052-24-125123</t>
        </is>
      </c>
      <c r="D14" s="14" t="inlineStr">
        <is>
          <t>Ahmad Zeeshan</t>
        </is>
      </c>
      <c r="E14" s="526" t="n">
        <v>78</v>
      </c>
      <c r="F14" s="526" t="n">
        <v>65</v>
      </c>
      <c r="G14" s="526" t="n">
        <v>77.5</v>
      </c>
      <c r="H14" s="526" t="n">
        <v>59.94</v>
      </c>
      <c r="I14" s="526" t="n">
        <v>58.8</v>
      </c>
      <c r="J14" s="253" t="n">
        <v>70.63</v>
      </c>
      <c r="K14" s="249" t="n">
        <v>68</v>
      </c>
      <c r="L14" s="249" t="n">
        <v>75.56</v>
      </c>
      <c r="M14" s="249" t="n">
        <v>51.82</v>
      </c>
      <c r="N14" s="254" t="n">
        <v>46.67</v>
      </c>
      <c r="O14" s="524" t="n">
        <v>50</v>
      </c>
      <c r="P14" s="524" t="n">
        <v>58.75</v>
      </c>
      <c r="Q14" s="524" t="n">
        <v>66.5</v>
      </c>
      <c r="R14" s="115" t="n">
        <v>45.74</v>
      </c>
      <c r="S14" s="510" t="n">
        <v>50.74</v>
      </c>
      <c r="T14" s="117" t="n">
        <v>48</v>
      </c>
      <c r="U14" s="241" t="n">
        <v>63.33</v>
      </c>
      <c r="V14" s="241" t="n">
        <v>85</v>
      </c>
      <c r="W14" s="241" t="n">
        <v>63.93</v>
      </c>
      <c r="X14" s="241" t="n">
        <v>92.73</v>
      </c>
      <c r="Y14" s="241" t="n">
        <v>89.81999999999999</v>
      </c>
      <c r="Z14" s="114" t="n">
        <v>92.95999999999999</v>
      </c>
      <c r="AA14" s="546" t="n">
        <v>84</v>
      </c>
      <c r="AB14" s="115" t="n">
        <v>68.95999999999999</v>
      </c>
      <c r="AC14" s="117" t="n"/>
      <c r="AD14" s="117" t="n"/>
      <c r="AE14" s="114" t="n">
        <v>60</v>
      </c>
      <c r="AF14" s="583" t="n">
        <v>69.17</v>
      </c>
      <c r="AG14" s="117" t="n">
        <v>73.33</v>
      </c>
      <c r="AH14" s="115" t="n">
        <v>73.3333333333333</v>
      </c>
      <c r="AI14" s="665" t="n"/>
      <c r="AJ14" s="115" t="n">
        <v>70.8333333333333</v>
      </c>
      <c r="AK14" s="665" t="n"/>
      <c r="AL14" s="510" t="n">
        <v>78.06</v>
      </c>
      <c r="AM14" s="510" t="n">
        <v>75.45</v>
      </c>
      <c r="AN14" s="691" t="n">
        <v>72.22</v>
      </c>
      <c r="AO14" s="683" t="n"/>
      <c r="AP14" s="663" t="n"/>
      <c r="AQ14" s="127" t="n">
        <v>83.33</v>
      </c>
      <c r="AR14" s="128" t="n">
        <v>83.33</v>
      </c>
      <c r="AS14" s="128" t="n">
        <v>67.78</v>
      </c>
      <c r="AT14" s="131" t="n">
        <v>78.33</v>
      </c>
      <c r="AU14" s="127" t="n">
        <v>65</v>
      </c>
      <c r="AV14" s="128" t="n">
        <v>74</v>
      </c>
      <c r="AW14" s="128" t="n">
        <v>62</v>
      </c>
      <c r="AX14" s="128" t="n">
        <v>57.62</v>
      </c>
      <c r="AY14" s="543" t="n">
        <v>86</v>
      </c>
      <c r="AZ14" s="543" t="n">
        <v>84.29000000000001</v>
      </c>
      <c r="BA14" s="131" t="n">
        <v>71.67</v>
      </c>
      <c r="BB14" s="127" t="n">
        <v>92.5</v>
      </c>
      <c r="BC14" s="131" t="n">
        <v>87.75</v>
      </c>
      <c r="BD14" s="663" t="n"/>
      <c r="BE14" s="131" t="n"/>
      <c r="BF14" s="131" t="n"/>
      <c r="BG14" s="131" t="n"/>
      <c r="BH14" s="114" t="n"/>
      <c r="BI14" s="546" t="n"/>
      <c r="BJ14" s="511" t="n"/>
      <c r="BK14" s="114" t="n"/>
      <c r="BL14" s="546" t="n"/>
      <c r="BM14" s="511" t="n"/>
      <c r="BN14" s="114" t="n"/>
      <c r="BO14" s="546" t="n"/>
      <c r="BP14" s="546" t="n"/>
      <c r="BQ14" s="546" t="n"/>
      <c r="BR14" s="546" t="n"/>
      <c r="BS14" s="546" t="n"/>
      <c r="BT14" s="511" t="n"/>
      <c r="BU14" s="546" t="n"/>
      <c r="BV14" s="546" t="n"/>
      <c r="BW14" s="546" t="n"/>
      <c r="BX14" s="546" t="n"/>
      <c r="BY14" s="546" t="n"/>
      <c r="BZ14" s="546" t="n"/>
      <c r="CA14" s="546" t="n"/>
      <c r="CB14" s="15" t="n"/>
      <c r="CC14" s="546" t="n"/>
      <c r="CD14" s="546" t="n"/>
      <c r="CE14" s="546" t="n"/>
      <c r="CF14" s="546" t="n"/>
      <c r="CG14" s="546" t="n"/>
      <c r="CH14" s="15" t="n"/>
      <c r="CI14" s="546" t="n"/>
      <c r="CJ14" s="546" t="n"/>
      <c r="CK14" s="17" t="n"/>
      <c r="CL14" s="546" t="n"/>
      <c r="CM14" s="546" t="n"/>
      <c r="CN14" s="546" t="n"/>
      <c r="CO14" s="546" t="n"/>
      <c r="CP14" s="583" t="n"/>
      <c r="CQ14" s="15" t="n"/>
      <c r="CR14" s="15" t="n"/>
      <c r="CS14" s="15" t="n"/>
      <c r="CT14" s="15" t="n"/>
      <c r="CU14" s="546" t="n"/>
      <c r="CV14" s="17" t="n"/>
      <c r="CW14" s="74" t="n"/>
      <c r="CX14" s="75" t="n"/>
      <c r="CY14" s="76" t="n"/>
      <c r="CZ14" s="76" t="n"/>
      <c r="DA14" s="91" t="n"/>
      <c r="DB14" s="546" t="n"/>
      <c r="DC14" s="546" t="n"/>
      <c r="DD14" s="546" t="n"/>
      <c r="DE14" s="546" t="n"/>
      <c r="DF14" s="583" t="n"/>
      <c r="DG14" s="141" t="n"/>
      <c r="DH14" s="162" t="n"/>
      <c r="DI14" s="162" t="n"/>
      <c r="DJ14" s="512" t="n"/>
      <c r="DK14" s="491" t="n"/>
      <c r="DL14" s="141" t="n"/>
      <c r="DM14" s="139" t="n"/>
      <c r="DN14" s="139" t="n"/>
      <c r="DO14" s="139" t="n"/>
      <c r="DP14" s="347" t="n"/>
      <c r="DQ14" s="348" t="n"/>
      <c r="DR14" s="162" t="n"/>
      <c r="DS14" s="162" t="n"/>
      <c r="DT14" s="162" t="n"/>
      <c r="DU14" s="162" t="n"/>
      <c r="DV14" s="201" t="n"/>
      <c r="DW14" s="201" t="n"/>
      <c r="DX14" s="163" t="n"/>
      <c r="DY14" s="141" t="n"/>
      <c r="DZ14" s="139" t="n"/>
      <c r="EA14" s="139" t="n"/>
      <c r="EB14" s="139" t="n"/>
      <c r="EC14" s="140" t="n"/>
      <c r="ED14" s="347" t="n"/>
      <c r="EE14" s="147" t="n"/>
      <c r="EF14" s="31" t="n"/>
      <c r="EG14" s="349" t="n"/>
      <c r="EH14" s="349" t="n"/>
      <c r="EI14" s="45" t="n"/>
      <c r="EJ14" s="351" t="n"/>
      <c r="EK14" s="107" t="n"/>
      <c r="EL14" s="139" t="n"/>
      <c r="EM14" s="139" t="n"/>
      <c r="EN14" s="139" t="n"/>
      <c r="EO14" s="140" t="n"/>
      <c r="EP14" s="108" t="n"/>
      <c r="EQ14" s="141" t="n"/>
      <c r="ER14" s="140" t="n"/>
      <c r="ES14" s="140" t="n"/>
      <c r="ET14" s="140" t="n"/>
      <c r="EU14" s="347" t="n"/>
      <c r="EV14" s="348" t="n"/>
      <c r="EW14" s="107" t="n"/>
      <c r="EX14" s="140" t="n"/>
      <c r="EY14" s="140" t="n"/>
      <c r="EZ14" s="107" t="n"/>
      <c r="FA14" s="587" t="n"/>
      <c r="FB14" s="587" t="n"/>
      <c r="FC14" s="141" t="n"/>
      <c r="FD14" s="140" t="n"/>
      <c r="FE14" s="140" t="n"/>
      <c r="FF14" s="140" t="n"/>
      <c r="FG14" s="140" t="n"/>
      <c r="FH14" s="147" t="n"/>
      <c r="FI14" s="74" t="n"/>
      <c r="FJ14" s="75" t="n"/>
      <c r="FK14" s="76" t="n"/>
      <c r="FL14" s="76" t="n"/>
      <c r="FM14" s="91" t="n"/>
      <c r="FN14" s="92" t="n"/>
      <c r="FO14" s="91" t="n"/>
      <c r="FP14" s="74" t="n"/>
      <c r="FQ14" s="92" t="n"/>
      <c r="FR14" s="148" t="n"/>
      <c r="FS14" s="149" t="n"/>
      <c r="FT14" s="150" t="n"/>
      <c r="FU14" s="99" t="n"/>
      <c r="FV14" s="100" t="n"/>
      <c r="FW14" s="100" t="n"/>
      <c r="FX14" s="100" t="n"/>
      <c r="FY14" s="100" t="n"/>
      <c r="FZ14" s="100" t="n"/>
      <c r="GA14" s="100" t="n"/>
      <c r="GB14" s="100" t="n"/>
      <c r="GC14" s="100" t="n"/>
      <c r="GD14" s="100" t="n"/>
      <c r="GE14" s="100" t="n"/>
      <c r="GF14" s="102" t="n"/>
      <c r="GG14" s="15" t="n"/>
      <c r="GH14" s="546" t="n"/>
      <c r="GI14" s="546" t="n"/>
      <c r="GJ14" s="17" t="n"/>
      <c r="GK14" s="15" t="n"/>
      <c r="GL14" s="546" t="n"/>
      <c r="GM14" s="546" t="n"/>
      <c r="GN14" s="17" t="n"/>
      <c r="GO14" s="31" t="n"/>
      <c r="GP14" s="349" t="n"/>
      <c r="GQ14" s="349" t="n"/>
      <c r="GR14" s="45" t="n"/>
      <c r="GS14" s="351" t="n"/>
      <c r="GT14" s="31" t="n"/>
      <c r="GU14" s="45" t="n"/>
      <c r="GV14" s="45" t="n"/>
      <c r="GW14" s="350" t="n"/>
      <c r="GX14" s="351" t="n"/>
      <c r="GY14" s="107" t="n"/>
      <c r="GZ14" s="587" t="n"/>
      <c r="HA14" s="108" t="n"/>
      <c r="HB14" s="15" t="n"/>
      <c r="HC14" s="546" t="n"/>
      <c r="HD14" s="17" t="n"/>
      <c r="HE14" s="15" t="n"/>
      <c r="HF14" s="546" t="n"/>
      <c r="HG14" s="546" t="n"/>
      <c r="HH14" s="17" t="n"/>
      <c r="HI14" s="31" t="n"/>
      <c r="HJ14" s="45" t="n"/>
      <c r="HK14" s="45" t="n"/>
      <c r="HL14" s="45" t="n"/>
      <c r="HM14" s="45" t="n"/>
      <c r="HN14" s="45" t="n"/>
      <c r="HO14" s="45" t="n"/>
      <c r="HP14" s="45" t="n"/>
      <c r="HQ14" s="45" t="n"/>
      <c r="HR14" s="45" t="n"/>
      <c r="HS14" s="45" t="n"/>
      <c r="HT14" s="351" t="n"/>
      <c r="HU14" s="606" t="n"/>
      <c r="HV14" s="65">
        <f>AVERAGE(AX14,AU14,AQ14,AN14,Z14,R14,O14,J14)</f>
        <v/>
      </c>
      <c r="HW14" s="66">
        <f>AVERAGE(BB14,AR14,AH14,AD14,P14,H14,E14)</f>
        <v/>
      </c>
      <c r="HX14" s="66">
        <f>AVERAGE(BC14,AE14)</f>
        <v/>
      </c>
      <c r="HY14" s="66">
        <f>AVERAGE(AW14,AV14,AS14,AL14,AJ14,Q14)</f>
        <v/>
      </c>
      <c r="HZ14" s="66">
        <f>AVERAGE(AT14,AM14,AF14,T14,I14)</f>
        <v/>
      </c>
      <c r="IA14" s="66">
        <f>AVERAGE(AY14,AG14)</f>
        <v/>
      </c>
      <c r="IB14" s="66">
        <f>AVERAGE(AZ14,#REF!)</f>
        <v/>
      </c>
      <c r="IC14" s="66" t="n"/>
      <c r="ID14" s="66">
        <f>AVERAGE(BA14)</f>
        <v/>
      </c>
      <c r="IE14" s="66">
        <f>AVERAGE(AC14)</f>
        <v/>
      </c>
    </row>
    <row r="15" ht="18" customHeight="1" s="590">
      <c r="B15" s="12" t="n">
        <v>9</v>
      </c>
      <c r="C15" s="13" t="inlineStr">
        <is>
          <t>052-24-125515</t>
        </is>
      </c>
      <c r="D15" s="14" t="inlineStr">
        <is>
          <t>Rabia Noor</t>
        </is>
      </c>
      <c r="E15" s="526" t="n">
        <v>96</v>
      </c>
      <c r="F15" s="526" t="n">
        <v>90.83</v>
      </c>
      <c r="G15" s="526" t="n">
        <v>85.83</v>
      </c>
      <c r="H15" s="526" t="n">
        <v>80.08</v>
      </c>
      <c r="I15" s="526" t="n">
        <v>77.8</v>
      </c>
      <c r="J15" s="253" t="n">
        <v>89.38</v>
      </c>
      <c r="K15" s="249" t="n">
        <v>86</v>
      </c>
      <c r="L15" s="249" t="n">
        <v>76.67</v>
      </c>
      <c r="M15" s="249" t="n">
        <v>89.55</v>
      </c>
      <c r="N15" s="254" t="n">
        <v>92.5</v>
      </c>
      <c r="O15" s="524" t="n">
        <v>70</v>
      </c>
      <c r="P15" s="524" t="n">
        <v>75.83</v>
      </c>
      <c r="Q15" s="524" t="n">
        <v>57.5</v>
      </c>
      <c r="R15" s="115" t="n">
        <v>87.59</v>
      </c>
      <c r="S15" s="510" t="n">
        <v>92.04000000000001</v>
      </c>
      <c r="T15" s="117" t="n">
        <v>92</v>
      </c>
      <c r="U15" s="241" t="n">
        <v>86.67</v>
      </c>
      <c r="V15" s="241" t="n">
        <v>97.5</v>
      </c>
      <c r="W15" s="241" t="n">
        <v>67.5</v>
      </c>
      <c r="X15" s="241" t="n">
        <v>93.33</v>
      </c>
      <c r="Y15" s="241" t="n">
        <v>95.64</v>
      </c>
      <c r="Z15" s="114" t="n">
        <v>85.93000000000001</v>
      </c>
      <c r="AA15" s="546" t="n">
        <v>91</v>
      </c>
      <c r="AB15" s="115" t="n">
        <v>81.25</v>
      </c>
      <c r="AC15" s="117" t="n"/>
      <c r="AD15" s="117" t="n"/>
      <c r="AE15" s="114" t="n">
        <v>60</v>
      </c>
      <c r="AF15" s="583" t="n">
        <v>89.17</v>
      </c>
      <c r="AG15" s="117" t="n">
        <v>91.67</v>
      </c>
      <c r="AH15" s="115" t="n">
        <v>85.8333333333333</v>
      </c>
      <c r="AI15" s="665" t="n"/>
      <c r="AJ15" s="115" t="n">
        <v>80.8333333333333</v>
      </c>
      <c r="AK15" s="665" t="n"/>
      <c r="AL15" s="510" t="n">
        <v>83.61</v>
      </c>
      <c r="AM15" s="510" t="n">
        <v>89.09</v>
      </c>
      <c r="AN15" s="691" t="n">
        <v>79.26000000000001</v>
      </c>
      <c r="AO15" s="683" t="n"/>
      <c r="AP15" s="663" t="n"/>
      <c r="AQ15" s="127" t="n">
        <v>90</v>
      </c>
      <c r="AR15" s="128" t="n">
        <v>80</v>
      </c>
      <c r="AS15" s="128" t="n">
        <v>67.78</v>
      </c>
      <c r="AT15" s="131" t="n">
        <v>75</v>
      </c>
      <c r="AU15" s="127" t="n">
        <v>98.33</v>
      </c>
      <c r="AV15" s="128" t="n">
        <v>85.33</v>
      </c>
      <c r="AW15" s="128" t="n">
        <v>98</v>
      </c>
      <c r="AX15" s="128" t="n">
        <v>77.7777777777778</v>
      </c>
      <c r="AY15" s="543" t="n">
        <v>88.6666666666667</v>
      </c>
      <c r="AZ15" s="543" t="n">
        <v>85.2380952380952</v>
      </c>
      <c r="BA15" s="131" t="n">
        <v>90</v>
      </c>
      <c r="BB15" s="127" t="n">
        <v>90</v>
      </c>
      <c r="BC15" s="131" t="n">
        <v>84.25</v>
      </c>
      <c r="BD15" s="663" t="n"/>
      <c r="BE15" s="131" t="n"/>
      <c r="BF15" s="131" t="n"/>
      <c r="BG15" s="131" t="n"/>
      <c r="BH15" s="114" t="n"/>
      <c r="BI15" s="546" t="n"/>
      <c r="BJ15" s="511" t="n"/>
      <c r="BK15" s="114" t="n"/>
      <c r="BL15" s="546" t="n"/>
      <c r="BM15" s="511" t="n"/>
      <c r="BN15" s="114" t="n"/>
      <c r="BO15" s="546" t="n"/>
      <c r="BP15" s="546" t="n"/>
      <c r="BQ15" s="546" t="n"/>
      <c r="BR15" s="546" t="n"/>
      <c r="BS15" s="546" t="n"/>
      <c r="BT15" s="511" t="n"/>
      <c r="BU15" s="546" t="n"/>
      <c r="BV15" s="546" t="n"/>
      <c r="BW15" s="546" t="n"/>
      <c r="BX15" s="546" t="n"/>
      <c r="BY15" s="546" t="n"/>
      <c r="BZ15" s="546" t="n"/>
      <c r="CA15" s="546" t="n"/>
      <c r="CB15" s="15" t="n"/>
      <c r="CC15" s="546" t="n"/>
      <c r="CD15" s="546" t="n"/>
      <c r="CE15" s="546" t="n"/>
      <c r="CF15" s="546" t="n"/>
      <c r="CG15" s="546" t="n"/>
      <c r="CH15" s="15" t="n"/>
      <c r="CI15" s="546" t="n"/>
      <c r="CJ15" s="546" t="n"/>
      <c r="CK15" s="17" t="n"/>
      <c r="CL15" s="546" t="n"/>
      <c r="CM15" s="546" t="n"/>
      <c r="CN15" s="546" t="n"/>
      <c r="CO15" s="546" t="n"/>
      <c r="CP15" s="583" t="n"/>
      <c r="CQ15" s="15" t="n"/>
      <c r="CR15" s="15" t="n"/>
      <c r="CS15" s="15" t="n"/>
      <c r="CT15" s="15" t="n"/>
      <c r="CU15" s="546" t="n"/>
      <c r="CV15" s="17" t="n"/>
      <c r="CW15" s="74" t="n"/>
      <c r="CX15" s="75" t="n"/>
      <c r="CY15" s="76" t="n"/>
      <c r="CZ15" s="76" t="n"/>
      <c r="DA15" s="91" t="n"/>
      <c r="DB15" s="546" t="n"/>
      <c r="DC15" s="546" t="n"/>
      <c r="DD15" s="546" t="n"/>
      <c r="DE15" s="546" t="n"/>
      <c r="DF15" s="583" t="n"/>
      <c r="DG15" s="141" t="n"/>
      <c r="DH15" s="162" t="n"/>
      <c r="DI15" s="162" t="n"/>
      <c r="DJ15" s="512" t="n"/>
      <c r="DK15" s="491" t="n"/>
      <c r="DL15" s="141" t="n"/>
      <c r="DM15" s="139" t="n"/>
      <c r="DN15" s="139" t="n"/>
      <c r="DO15" s="139" t="n"/>
      <c r="DP15" s="347" t="n"/>
      <c r="DQ15" s="348" t="n"/>
      <c r="DR15" s="162" t="n"/>
      <c r="DS15" s="162" t="n"/>
      <c r="DT15" s="162" t="n"/>
      <c r="DU15" s="162" t="n"/>
      <c r="DV15" s="201" t="n"/>
      <c r="DW15" s="201" t="n"/>
      <c r="DX15" s="163" t="n"/>
      <c r="DY15" s="141" t="n"/>
      <c r="DZ15" s="139" t="n"/>
      <c r="EA15" s="139" t="n"/>
      <c r="EB15" s="139" t="n"/>
      <c r="EC15" s="140" t="n"/>
      <c r="ED15" s="347" t="n"/>
      <c r="EE15" s="147" t="n"/>
      <c r="EF15" s="31" t="n"/>
      <c r="EG15" s="349" t="n"/>
      <c r="EH15" s="349" t="n"/>
      <c r="EI15" s="45" t="n"/>
      <c r="EJ15" s="351" t="n"/>
      <c r="EK15" s="107" t="n"/>
      <c r="EL15" s="139" t="n"/>
      <c r="EM15" s="139" t="n"/>
      <c r="EN15" s="139" t="n"/>
      <c r="EO15" s="140" t="n"/>
      <c r="EP15" s="108" t="n"/>
      <c r="EQ15" s="141" t="n"/>
      <c r="ER15" s="140" t="n"/>
      <c r="ES15" s="140" t="n"/>
      <c r="ET15" s="140" t="n"/>
      <c r="EU15" s="347" t="n"/>
      <c r="EV15" s="348" t="n"/>
      <c r="EW15" s="107" t="n"/>
      <c r="EX15" s="140" t="n"/>
      <c r="EY15" s="140" t="n"/>
      <c r="EZ15" s="107" t="n"/>
      <c r="FA15" s="587" t="n"/>
      <c r="FB15" s="587" t="n"/>
      <c r="FC15" s="141" t="n"/>
      <c r="FD15" s="140" t="n"/>
      <c r="FE15" s="140" t="n"/>
      <c r="FF15" s="140" t="n"/>
      <c r="FG15" s="140" t="n"/>
      <c r="FH15" s="147" t="n"/>
      <c r="FI15" s="74" t="n"/>
      <c r="FJ15" s="75" t="n"/>
      <c r="FK15" s="76" t="n"/>
      <c r="FL15" s="76" t="n"/>
      <c r="FM15" s="91" t="n"/>
      <c r="FN15" s="92" t="n"/>
      <c r="FO15" s="91" t="n"/>
      <c r="FP15" s="74" t="n"/>
      <c r="FQ15" s="92" t="n"/>
      <c r="FR15" s="148" t="n"/>
      <c r="FS15" s="149" t="n"/>
      <c r="FT15" s="150" t="n"/>
      <c r="FU15" s="99" t="n"/>
      <c r="FV15" s="100" t="n"/>
      <c r="FW15" s="100" t="n"/>
      <c r="FX15" s="100" t="n"/>
      <c r="FY15" s="100" t="n"/>
      <c r="FZ15" s="100" t="n"/>
      <c r="GA15" s="100" t="n"/>
      <c r="GB15" s="100" t="n"/>
      <c r="GC15" s="100" t="n"/>
      <c r="GD15" s="100" t="n"/>
      <c r="GE15" s="100" t="n"/>
      <c r="GF15" s="102" t="n"/>
      <c r="GG15" s="15" t="n"/>
      <c r="GH15" s="546" t="n"/>
      <c r="GI15" s="546" t="n"/>
      <c r="GJ15" s="17" t="n"/>
      <c r="GK15" s="15" t="n"/>
      <c r="GL15" s="546" t="n"/>
      <c r="GM15" s="546" t="n"/>
      <c r="GN15" s="17" t="n"/>
      <c r="GO15" s="31" t="n"/>
      <c r="GP15" s="349" t="n"/>
      <c r="GQ15" s="349" t="n"/>
      <c r="GR15" s="45" t="n"/>
      <c r="GS15" s="351" t="n"/>
      <c r="GT15" s="31" t="n"/>
      <c r="GU15" s="45" t="n"/>
      <c r="GV15" s="45" t="n"/>
      <c r="GW15" s="350" t="n"/>
      <c r="GX15" s="351" t="n"/>
      <c r="GY15" s="107" t="n"/>
      <c r="GZ15" s="587" t="n"/>
      <c r="HA15" s="108" t="n"/>
      <c r="HB15" s="15" t="n"/>
      <c r="HC15" s="546" t="n"/>
      <c r="HD15" s="17" t="n"/>
      <c r="HE15" s="15" t="n"/>
      <c r="HF15" s="546" t="n"/>
      <c r="HG15" s="546" t="n"/>
      <c r="HH15" s="17" t="n"/>
      <c r="HI15" s="31" t="n"/>
      <c r="HJ15" s="45" t="n"/>
      <c r="HK15" s="45" t="n"/>
      <c r="HL15" s="45" t="n"/>
      <c r="HM15" s="45" t="n"/>
      <c r="HN15" s="45" t="n"/>
      <c r="HO15" s="45" t="n"/>
      <c r="HP15" s="45" t="n"/>
      <c r="HQ15" s="45" t="n"/>
      <c r="HR15" s="45" t="n"/>
      <c r="HS15" s="45" t="n"/>
      <c r="HT15" s="351" t="n"/>
      <c r="HU15" s="606" t="n"/>
      <c r="HV15" s="65">
        <f>AVERAGE(AX15,AU15,AQ15,AN15,Z15,R15,O15,J15)</f>
        <v/>
      </c>
      <c r="HW15" s="66">
        <f>AVERAGE(BB15,AR15,AH15,AD15,P15,H15,E15)</f>
        <v/>
      </c>
      <c r="HX15" s="66">
        <f>AVERAGE(BC15,AE15)</f>
        <v/>
      </c>
      <c r="HY15" s="66">
        <f>AVERAGE(AW15,AV15,AS15,AL15,AJ15,Q15)</f>
        <v/>
      </c>
      <c r="HZ15" s="66">
        <f>AVERAGE(AT15,AM15,AF15,T15,I15)</f>
        <v/>
      </c>
      <c r="IA15" s="66">
        <f>AVERAGE(AY15,AG15)</f>
        <v/>
      </c>
      <c r="IB15" s="66">
        <f>AVERAGE(AZ15,#REF!)</f>
        <v/>
      </c>
      <c r="IC15" s="66" t="n"/>
      <c r="ID15" s="66">
        <f>AVERAGE(BA15)</f>
        <v/>
      </c>
      <c r="IE15" s="66">
        <f>AVERAGE(AC15)</f>
        <v/>
      </c>
    </row>
    <row r="16" ht="18" customHeight="1" s="590">
      <c r="B16" s="12" t="n">
        <v>10</v>
      </c>
      <c r="C16" s="13" t="inlineStr">
        <is>
          <t>052-24-125502</t>
        </is>
      </c>
      <c r="D16" s="14" t="inlineStr">
        <is>
          <t>Dua Mazhar</t>
        </is>
      </c>
      <c r="E16" s="526" t="n">
        <v>74</v>
      </c>
      <c r="F16" s="526" t="n">
        <v>90</v>
      </c>
      <c r="G16" s="526" t="n">
        <v>83.33</v>
      </c>
      <c r="H16" s="526" t="n">
        <v>64.92</v>
      </c>
      <c r="I16" s="526" t="n">
        <v>59.13</v>
      </c>
      <c r="J16" s="253" t="n">
        <v>85</v>
      </c>
      <c r="K16" s="249" t="n">
        <v>70</v>
      </c>
      <c r="L16" s="249" t="n">
        <v>82.22</v>
      </c>
      <c r="M16" s="249" t="n">
        <v>64.09</v>
      </c>
      <c r="N16" s="254" t="n">
        <v>60.83</v>
      </c>
      <c r="O16" s="524" t="n">
        <v>51.67</v>
      </c>
      <c r="P16" s="524" t="n">
        <v>46.67</v>
      </c>
      <c r="Q16" s="524" t="n">
        <v>50</v>
      </c>
      <c r="R16" s="115" t="n">
        <v>61.3</v>
      </c>
      <c r="S16" s="510" t="n">
        <v>67.95999999999999</v>
      </c>
      <c r="T16" s="117" t="n">
        <v>48</v>
      </c>
      <c r="U16" s="241" t="n">
        <v>53.33</v>
      </c>
      <c r="V16" s="241" t="n">
        <v>72.5</v>
      </c>
      <c r="W16" s="241" t="n">
        <v>70.36</v>
      </c>
      <c r="X16" s="241" t="n">
        <v>94.55</v>
      </c>
      <c r="Y16" s="241" t="n">
        <v>94.18000000000001</v>
      </c>
      <c r="Z16" s="114" t="n">
        <v>78.52</v>
      </c>
      <c r="AA16" s="546" t="n">
        <v>73.5</v>
      </c>
      <c r="AB16" s="115" t="n">
        <v>70</v>
      </c>
      <c r="AC16" s="117" t="n"/>
      <c r="AD16" s="117" t="n"/>
      <c r="AE16" s="114" t="n">
        <v>73.33</v>
      </c>
      <c r="AF16" s="583" t="n">
        <v>73.33</v>
      </c>
      <c r="AG16" s="117" t="n">
        <v>91.67</v>
      </c>
      <c r="AH16" s="115" t="n">
        <v>75.4166666666667</v>
      </c>
      <c r="AI16" s="665" t="n"/>
      <c r="AJ16" s="115" t="n">
        <v>80.8333333333333</v>
      </c>
      <c r="AK16" s="665" t="n"/>
      <c r="AL16" s="510" t="n">
        <v>83.33</v>
      </c>
      <c r="AM16" s="510" t="n">
        <v>85.15000000000001</v>
      </c>
      <c r="AN16" s="691" t="n">
        <v>76</v>
      </c>
      <c r="AO16" s="683" t="n"/>
      <c r="AP16" s="663" t="n"/>
      <c r="AQ16" s="127" t="n">
        <v>83.33</v>
      </c>
      <c r="AR16" s="128" t="n">
        <v>83.3</v>
      </c>
      <c r="AS16" s="128" t="n">
        <v>82.22</v>
      </c>
      <c r="AT16" s="131" t="n">
        <v>63.33</v>
      </c>
      <c r="AU16" s="127" t="n">
        <v>78.33</v>
      </c>
      <c r="AV16" s="128" t="n">
        <v>81.67</v>
      </c>
      <c r="AW16" s="128" t="n">
        <v>89</v>
      </c>
      <c r="AX16" s="128" t="n">
        <v>77.4603174603175</v>
      </c>
      <c r="AY16" s="543" t="n">
        <v>100</v>
      </c>
      <c r="AZ16" s="543" t="n">
        <v>100</v>
      </c>
      <c r="BA16" s="131" t="n">
        <v>95</v>
      </c>
      <c r="BB16" s="127" t="n">
        <v>80.83</v>
      </c>
      <c r="BC16" s="131" t="n">
        <v>77</v>
      </c>
      <c r="BD16" s="663" t="n"/>
      <c r="BE16" s="131" t="n"/>
      <c r="BF16" s="131" t="n"/>
      <c r="BG16" s="131" t="n"/>
      <c r="BH16" s="114" t="n"/>
      <c r="BI16" s="546" t="n"/>
      <c r="BJ16" s="511" t="n"/>
      <c r="BK16" s="114" t="n"/>
      <c r="BL16" s="546" t="n"/>
      <c r="BM16" s="511" t="n"/>
      <c r="BN16" s="114" t="n"/>
      <c r="BO16" s="546" t="n"/>
      <c r="BP16" s="546" t="n"/>
      <c r="BQ16" s="546" t="n"/>
      <c r="BR16" s="546" t="n"/>
      <c r="BS16" s="546" t="n"/>
      <c r="BT16" s="511" t="n"/>
      <c r="BU16" s="546" t="n"/>
      <c r="BV16" s="546" t="n"/>
      <c r="BW16" s="546" t="n"/>
      <c r="BX16" s="546" t="n"/>
      <c r="BY16" s="546" t="n"/>
      <c r="BZ16" s="546" t="n"/>
      <c r="CA16" s="546" t="n"/>
      <c r="CB16" s="15" t="n"/>
      <c r="CC16" s="546" t="n"/>
      <c r="CD16" s="546" t="n"/>
      <c r="CE16" s="546" t="n"/>
      <c r="CF16" s="546" t="n"/>
      <c r="CG16" s="546" t="n"/>
      <c r="CH16" s="15" t="n"/>
      <c r="CI16" s="546" t="n"/>
      <c r="CJ16" s="546" t="n"/>
      <c r="CK16" s="17" t="n"/>
      <c r="CL16" s="546" t="n"/>
      <c r="CM16" s="546" t="n"/>
      <c r="CN16" s="546" t="n"/>
      <c r="CO16" s="546" t="n"/>
      <c r="CP16" s="583" t="n"/>
      <c r="CQ16" s="15" t="n"/>
      <c r="CR16" s="15" t="n"/>
      <c r="CS16" s="15" t="n"/>
      <c r="CT16" s="15" t="n"/>
      <c r="CU16" s="546" t="n"/>
      <c r="CV16" s="17" t="n"/>
      <c r="CW16" s="74" t="n"/>
      <c r="CX16" s="75" t="n"/>
      <c r="CY16" s="76" t="n"/>
      <c r="CZ16" s="76" t="n"/>
      <c r="DA16" s="91" t="n"/>
      <c r="DB16" s="546" t="n"/>
      <c r="DC16" s="546" t="n"/>
      <c r="DD16" s="546" t="n"/>
      <c r="DE16" s="546" t="n"/>
      <c r="DF16" s="583" t="n"/>
      <c r="DG16" s="141" t="n"/>
      <c r="DH16" s="162" t="n"/>
      <c r="DI16" s="162" t="n"/>
      <c r="DJ16" s="512" t="n"/>
      <c r="DK16" s="491" t="n"/>
      <c r="DL16" s="141" t="n"/>
      <c r="DM16" s="139" t="n"/>
      <c r="DN16" s="139" t="n"/>
      <c r="DO16" s="139" t="n"/>
      <c r="DP16" s="347" t="n"/>
      <c r="DQ16" s="348" t="n"/>
      <c r="DR16" s="162" t="n"/>
      <c r="DS16" s="162" t="n"/>
      <c r="DT16" s="162" t="n"/>
      <c r="DU16" s="162" t="n"/>
      <c r="DV16" s="201" t="n"/>
      <c r="DW16" s="201" t="n"/>
      <c r="DX16" s="163" t="n"/>
      <c r="DY16" s="141" t="n"/>
      <c r="DZ16" s="139" t="n"/>
      <c r="EA16" s="139" t="n"/>
      <c r="EB16" s="139" t="n"/>
      <c r="EC16" s="140" t="n"/>
      <c r="ED16" s="347" t="n"/>
      <c r="EE16" s="147" t="n"/>
      <c r="EF16" s="31" t="n"/>
      <c r="EG16" s="349" t="n"/>
      <c r="EH16" s="349" t="n"/>
      <c r="EI16" s="45" t="n"/>
      <c r="EJ16" s="351" t="n"/>
      <c r="EK16" s="107" t="n"/>
      <c r="EL16" s="139" t="n"/>
      <c r="EM16" s="139" t="n"/>
      <c r="EN16" s="139" t="n"/>
      <c r="EO16" s="140" t="n"/>
      <c r="EP16" s="108" t="n"/>
      <c r="EQ16" s="141" t="n"/>
      <c r="ER16" s="140" t="n"/>
      <c r="ES16" s="140" t="n"/>
      <c r="ET16" s="140" t="n"/>
      <c r="EU16" s="347" t="n"/>
      <c r="EV16" s="348" t="n"/>
      <c r="EW16" s="107" t="n"/>
      <c r="EX16" s="140" t="n"/>
      <c r="EY16" s="140" t="n"/>
      <c r="EZ16" s="107" t="n"/>
      <c r="FA16" s="587" t="n"/>
      <c r="FB16" s="587" t="n"/>
      <c r="FC16" s="141" t="n"/>
      <c r="FD16" s="140" t="n"/>
      <c r="FE16" s="140" t="n"/>
      <c r="FF16" s="140" t="n"/>
      <c r="FG16" s="140" t="n"/>
      <c r="FH16" s="147" t="n"/>
      <c r="FI16" s="74" t="n"/>
      <c r="FJ16" s="75" t="n"/>
      <c r="FK16" s="76" t="n"/>
      <c r="FL16" s="76" t="n"/>
      <c r="FM16" s="91" t="n"/>
      <c r="FN16" s="92" t="n"/>
      <c r="FO16" s="91" t="n"/>
      <c r="FP16" s="74" t="n"/>
      <c r="FQ16" s="92" t="n"/>
      <c r="FR16" s="148" t="n"/>
      <c r="FS16" s="149" t="n"/>
      <c r="FT16" s="150" t="n"/>
      <c r="FU16" s="99" t="n"/>
      <c r="FV16" s="100" t="n"/>
      <c r="FW16" s="100" t="n"/>
      <c r="FX16" s="100" t="n"/>
      <c r="FY16" s="100" t="n"/>
      <c r="FZ16" s="100" t="n"/>
      <c r="GA16" s="100" t="n"/>
      <c r="GB16" s="100" t="n"/>
      <c r="GC16" s="100" t="n"/>
      <c r="GD16" s="100" t="n"/>
      <c r="GE16" s="100" t="n"/>
      <c r="GF16" s="102" t="n"/>
      <c r="GG16" s="15" t="n"/>
      <c r="GH16" s="546" t="n"/>
      <c r="GI16" s="546" t="n"/>
      <c r="GJ16" s="17" t="n"/>
      <c r="GK16" s="15" t="n"/>
      <c r="GL16" s="546" t="n"/>
      <c r="GM16" s="546" t="n"/>
      <c r="GN16" s="17" t="n"/>
      <c r="GO16" s="31" t="n"/>
      <c r="GP16" s="349" t="n"/>
      <c r="GQ16" s="349" t="n"/>
      <c r="GR16" s="45" t="n"/>
      <c r="GS16" s="351" t="n"/>
      <c r="GT16" s="31" t="n"/>
      <c r="GU16" s="45" t="n"/>
      <c r="GV16" s="45" t="n"/>
      <c r="GW16" s="350" t="n"/>
      <c r="GX16" s="351" t="n"/>
      <c r="GY16" s="107" t="n"/>
      <c r="GZ16" s="587" t="n"/>
      <c r="HA16" s="108" t="n"/>
      <c r="HB16" s="15" t="n"/>
      <c r="HC16" s="546" t="n"/>
      <c r="HD16" s="17" t="n"/>
      <c r="HE16" s="15" t="n"/>
      <c r="HF16" s="546" t="n"/>
      <c r="HG16" s="546" t="n"/>
      <c r="HH16" s="17" t="n"/>
      <c r="HI16" s="31" t="n"/>
      <c r="HJ16" s="45" t="n"/>
      <c r="HK16" s="45" t="n"/>
      <c r="HL16" s="45" t="n"/>
      <c r="HM16" s="45" t="n"/>
      <c r="HN16" s="45" t="n"/>
      <c r="HO16" s="45" t="n"/>
      <c r="HP16" s="45" t="n"/>
      <c r="HQ16" s="45" t="n"/>
      <c r="HR16" s="45" t="n"/>
      <c r="HS16" s="45" t="n"/>
      <c r="HT16" s="351" t="n"/>
      <c r="HU16" s="606" t="n"/>
      <c r="HV16" s="65">
        <f>AVERAGE(AX16,AU16,AQ16,AN16,Z16,R16,O16,J16)</f>
        <v/>
      </c>
      <c r="HW16" s="66">
        <f>AVERAGE(BB16,AR16,AH16,AD16,P16,H16,E16)</f>
        <v/>
      </c>
      <c r="HX16" s="66">
        <f>AVERAGE(BC16,AE16)</f>
        <v/>
      </c>
      <c r="HY16" s="66">
        <f>AVERAGE(AW16,AV16,AS16,AL16,AJ16,Q16)</f>
        <v/>
      </c>
      <c r="HZ16" s="66">
        <f>AVERAGE(AT16,AM16,AF16,T16,I16)</f>
        <v/>
      </c>
      <c r="IA16" s="66">
        <f>AVERAGE(AY16,AG16)</f>
        <v/>
      </c>
      <c r="IB16" s="66">
        <f>AVERAGE(AZ16,#REF!)</f>
        <v/>
      </c>
      <c r="IC16" s="66" t="n"/>
      <c r="ID16" s="66">
        <f>AVERAGE(BA16)</f>
        <v/>
      </c>
      <c r="IE16" s="66">
        <f>AVERAGE(AC16)</f>
        <v/>
      </c>
    </row>
    <row r="17" ht="18" customHeight="1" s="590">
      <c r="B17" s="12" t="n">
        <v>11</v>
      </c>
      <c r="C17" s="13" t="inlineStr">
        <is>
          <t>052-24-125114</t>
        </is>
      </c>
      <c r="D17" s="14" t="inlineStr">
        <is>
          <t>Shariq Risalat</t>
        </is>
      </c>
      <c r="E17" s="526" t="n">
        <v>0</v>
      </c>
      <c r="F17" s="526" t="n">
        <v>0</v>
      </c>
      <c r="G17" s="526" t="n">
        <v>0</v>
      </c>
      <c r="H17" s="510" t="n">
        <v>0</v>
      </c>
      <c r="I17" s="526" t="n">
        <v>0</v>
      </c>
      <c r="J17" s="253" t="n">
        <v>0</v>
      </c>
      <c r="K17" s="249" t="n">
        <v>0</v>
      </c>
      <c r="L17" s="249" t="n">
        <v>0</v>
      </c>
      <c r="M17" s="249" t="n">
        <v>0</v>
      </c>
      <c r="N17" s="254" t="n">
        <v>0</v>
      </c>
      <c r="O17" s="524" t="n">
        <v>0</v>
      </c>
      <c r="P17" s="583" t="n">
        <v>0</v>
      </c>
      <c r="Q17" s="524" t="n">
        <v>0</v>
      </c>
      <c r="R17" s="115" t="n">
        <v>0</v>
      </c>
      <c r="S17" s="510" t="n">
        <v>0</v>
      </c>
      <c r="T17" s="117" t="n">
        <v>0</v>
      </c>
      <c r="U17" s="241" t="n">
        <v>0</v>
      </c>
      <c r="V17" s="241" t="n">
        <v>0</v>
      </c>
      <c r="W17" s="241" t="n">
        <v>0</v>
      </c>
      <c r="X17" s="241" t="n">
        <v>0</v>
      </c>
      <c r="Y17" s="241" t="n">
        <v>0</v>
      </c>
      <c r="Z17" s="114" t="n">
        <v>0</v>
      </c>
      <c r="AA17" s="546" t="n">
        <v>0</v>
      </c>
      <c r="AB17" s="115" t="n">
        <v>0</v>
      </c>
      <c r="AC17" s="117" t="n"/>
      <c r="AD17" s="117" t="n"/>
      <c r="AE17" s="114" t="n">
        <v>40</v>
      </c>
      <c r="AF17" s="583" t="n">
        <v>10</v>
      </c>
      <c r="AG17" s="117" t="n">
        <v>23.33</v>
      </c>
      <c r="AH17" s="115" t="n">
        <v>47.9166666666667</v>
      </c>
      <c r="AI17" s="665" t="n"/>
      <c r="AJ17" s="115" t="n">
        <v>59.1666666666667</v>
      </c>
      <c r="AK17" s="665" t="n"/>
      <c r="AL17" s="510" t="n">
        <v>67.5</v>
      </c>
      <c r="AM17" s="510" t="n">
        <v>70.61</v>
      </c>
      <c r="AN17" s="691" t="n">
        <v>76.67</v>
      </c>
      <c r="AO17" s="683" t="n"/>
      <c r="AP17" s="663" t="n"/>
      <c r="AQ17" s="127" t="n">
        <v>86.67</v>
      </c>
      <c r="AR17" s="128" t="n">
        <v>66.67</v>
      </c>
      <c r="AS17" s="128" t="n">
        <v>75.56</v>
      </c>
      <c r="AT17" s="131" t="n">
        <v>83.33</v>
      </c>
      <c r="AU17" s="127" t="n">
        <v>63.33</v>
      </c>
      <c r="AV17" s="128" t="n">
        <v>37.33</v>
      </c>
      <c r="AW17" s="128" t="n">
        <v>10</v>
      </c>
      <c r="AX17" s="128" t="n">
        <v>26.19</v>
      </c>
      <c r="AY17" s="543" t="n">
        <v>16.67</v>
      </c>
      <c r="AZ17" s="543" t="n">
        <v>15.71</v>
      </c>
      <c r="BA17" s="131" t="n">
        <v>21.67</v>
      </c>
      <c r="BB17" s="127" t="n">
        <v>79.17</v>
      </c>
      <c r="BC17" s="131" t="n">
        <v>79</v>
      </c>
      <c r="BD17" s="663" t="n"/>
      <c r="BE17" s="131" t="n"/>
      <c r="BF17" s="131" t="n"/>
      <c r="BG17" s="131" t="n"/>
      <c r="BH17" s="114" t="n"/>
      <c r="BI17" s="546" t="n"/>
      <c r="BJ17" s="511" t="n"/>
      <c r="BK17" s="114" t="n"/>
      <c r="BL17" s="546" t="n"/>
      <c r="BM17" s="511" t="n"/>
      <c r="BN17" s="114" t="n"/>
      <c r="BO17" s="546" t="n"/>
      <c r="BP17" s="546" t="n"/>
      <c r="BQ17" s="546" t="n"/>
      <c r="BR17" s="546" t="n"/>
      <c r="BS17" s="546" t="n"/>
      <c r="BT17" s="511" t="n"/>
      <c r="BU17" s="546" t="n"/>
      <c r="BV17" s="546" t="n"/>
      <c r="BW17" s="546" t="n"/>
      <c r="BX17" s="546" t="n"/>
      <c r="BY17" s="546" t="n"/>
      <c r="BZ17" s="546" t="n"/>
      <c r="CA17" s="546" t="n"/>
      <c r="CB17" s="15" t="n"/>
      <c r="CC17" s="546" t="n"/>
      <c r="CD17" s="546" t="n"/>
      <c r="CE17" s="546" t="n"/>
      <c r="CF17" s="546" t="n"/>
      <c r="CG17" s="546" t="n"/>
      <c r="CH17" s="15" t="n"/>
      <c r="CI17" s="546" t="n"/>
      <c r="CJ17" s="546" t="n"/>
      <c r="CK17" s="17" t="n"/>
      <c r="CL17" s="546" t="n"/>
      <c r="CM17" s="546" t="n"/>
      <c r="CN17" s="546" t="n"/>
      <c r="CO17" s="546" t="n"/>
      <c r="CP17" s="583" t="n"/>
      <c r="CQ17" s="15" t="n"/>
      <c r="CR17" s="15" t="n"/>
      <c r="CS17" s="15" t="n"/>
      <c r="CT17" s="15" t="n"/>
      <c r="CU17" s="546" t="n"/>
      <c r="CV17" s="17" t="n"/>
      <c r="CW17" s="74" t="n"/>
      <c r="CX17" s="75" t="n"/>
      <c r="CY17" s="76" t="n"/>
      <c r="CZ17" s="76" t="n"/>
      <c r="DA17" s="91" t="n"/>
      <c r="DB17" s="546" t="n"/>
      <c r="DC17" s="546" t="n"/>
      <c r="DD17" s="546" t="n"/>
      <c r="DE17" s="546" t="n"/>
      <c r="DF17" s="583" t="n"/>
      <c r="DG17" s="141" t="n"/>
      <c r="DH17" s="162" t="n"/>
      <c r="DI17" s="162" t="n"/>
      <c r="DJ17" s="512" t="n"/>
      <c r="DK17" s="491" t="n"/>
      <c r="DL17" s="141" t="n"/>
      <c r="DM17" s="139" t="n"/>
      <c r="DN17" s="139" t="n"/>
      <c r="DO17" s="139" t="n"/>
      <c r="DP17" s="347" t="n"/>
      <c r="DQ17" s="348" t="n"/>
      <c r="DR17" s="162" t="n"/>
      <c r="DS17" s="162" t="n"/>
      <c r="DT17" s="162" t="n"/>
      <c r="DU17" s="162" t="n"/>
      <c r="DV17" s="201" t="n"/>
      <c r="DW17" s="201" t="n"/>
      <c r="DX17" s="163" t="n"/>
      <c r="DY17" s="141" t="n"/>
      <c r="DZ17" s="139" t="n"/>
      <c r="EA17" s="139" t="n"/>
      <c r="EB17" s="139" t="n"/>
      <c r="EC17" s="140" t="n"/>
      <c r="ED17" s="347" t="n"/>
      <c r="EE17" s="147" t="n"/>
      <c r="EF17" s="31" t="n"/>
      <c r="EG17" s="349" t="n"/>
      <c r="EH17" s="349" t="n"/>
      <c r="EI17" s="45" t="n"/>
      <c r="EJ17" s="351" t="n"/>
      <c r="EK17" s="107" t="n"/>
      <c r="EL17" s="139" t="n"/>
      <c r="EM17" s="139" t="n"/>
      <c r="EN17" s="139" t="n"/>
      <c r="EO17" s="140" t="n"/>
      <c r="EP17" s="108" t="n"/>
      <c r="EQ17" s="141" t="n"/>
      <c r="ER17" s="140" t="n"/>
      <c r="ES17" s="140" t="n"/>
      <c r="ET17" s="140" t="n"/>
      <c r="EU17" s="347" t="n"/>
      <c r="EV17" s="348" t="n"/>
      <c r="EW17" s="107" t="n"/>
      <c r="EX17" s="140" t="n"/>
      <c r="EY17" s="140" t="n"/>
      <c r="EZ17" s="107" t="n"/>
      <c r="FA17" s="587" t="n"/>
      <c r="FB17" s="587" t="n"/>
      <c r="FC17" s="141" t="n"/>
      <c r="FD17" s="140" t="n"/>
      <c r="FE17" s="140" t="n"/>
      <c r="FF17" s="140" t="n"/>
      <c r="FG17" s="140" t="n"/>
      <c r="FH17" s="147" t="n"/>
      <c r="FI17" s="74" t="n"/>
      <c r="FJ17" s="75" t="n"/>
      <c r="FK17" s="76" t="n"/>
      <c r="FL17" s="76" t="n"/>
      <c r="FM17" s="91" t="n"/>
      <c r="FN17" s="92" t="n"/>
      <c r="FO17" s="91" t="n"/>
      <c r="FP17" s="74" t="n"/>
      <c r="FQ17" s="92" t="n"/>
      <c r="FR17" s="148" t="n"/>
      <c r="FS17" s="149" t="n"/>
      <c r="FT17" s="150" t="n"/>
      <c r="FU17" s="99" t="n"/>
      <c r="FV17" s="100" t="n"/>
      <c r="FW17" s="100" t="n"/>
      <c r="FX17" s="100" t="n"/>
      <c r="FY17" s="100" t="n"/>
      <c r="FZ17" s="100" t="n"/>
      <c r="GA17" s="100" t="n"/>
      <c r="GB17" s="100" t="n"/>
      <c r="GC17" s="100" t="n"/>
      <c r="GD17" s="100" t="n"/>
      <c r="GE17" s="100" t="n"/>
      <c r="GF17" s="102" t="n"/>
      <c r="GG17" s="15" t="n"/>
      <c r="GH17" s="546" t="n"/>
      <c r="GI17" s="546" t="n"/>
      <c r="GJ17" s="17" t="n"/>
      <c r="GK17" s="15" t="n"/>
      <c r="GL17" s="546" t="n"/>
      <c r="GM17" s="546" t="n"/>
      <c r="GN17" s="17" t="n"/>
      <c r="GO17" s="31" t="n"/>
      <c r="GP17" s="349" t="n"/>
      <c r="GQ17" s="349" t="n"/>
      <c r="GR17" s="45" t="n"/>
      <c r="GS17" s="351" t="n"/>
      <c r="GT17" s="31" t="n"/>
      <c r="GU17" s="45" t="n"/>
      <c r="GV17" s="45" t="n"/>
      <c r="GW17" s="350" t="n"/>
      <c r="GX17" s="351" t="n"/>
      <c r="GY17" s="107" t="n"/>
      <c r="GZ17" s="587" t="n"/>
      <c r="HA17" s="108" t="n"/>
      <c r="HB17" s="15" t="n"/>
      <c r="HC17" s="546" t="n"/>
      <c r="HD17" s="17" t="n"/>
      <c r="HE17" s="15" t="n"/>
      <c r="HF17" s="546" t="n"/>
      <c r="HG17" s="546" t="n"/>
      <c r="HH17" s="17" t="n"/>
      <c r="HI17" s="31" t="n"/>
      <c r="HJ17" s="45" t="n"/>
      <c r="HK17" s="45" t="n"/>
      <c r="HL17" s="45" t="n"/>
      <c r="HM17" s="45" t="n"/>
      <c r="HN17" s="45" t="n"/>
      <c r="HO17" s="45" t="n"/>
      <c r="HP17" s="45" t="n"/>
      <c r="HQ17" s="45" t="n"/>
      <c r="HR17" s="45" t="n"/>
      <c r="HS17" s="45" t="n"/>
      <c r="HT17" s="351" t="n"/>
      <c r="HU17" s="606" t="n"/>
      <c r="HV17" s="65">
        <f>AVERAGE(AX17,AU17,AQ17,AN17,Z17,R17,O17,J17)</f>
        <v/>
      </c>
      <c r="HW17" s="66">
        <f>AVERAGE(BB17,AR17,AH17,AD17,P17,H17,E17)</f>
        <v/>
      </c>
      <c r="HX17" s="66">
        <f>AVERAGE(BC17,AE17)</f>
        <v/>
      </c>
      <c r="HY17" s="66">
        <f>AVERAGE(AW17,AV17,AS17,AL17,AJ17,Q17)</f>
        <v/>
      </c>
      <c r="HZ17" s="66">
        <f>AVERAGE(AT17,AM17,AF17,T17,I17)</f>
        <v/>
      </c>
      <c r="IA17" s="66">
        <f>AVERAGE(AY17,AG17)</f>
        <v/>
      </c>
      <c r="IB17" s="66">
        <f>AVERAGE(AZ17,#REF!)</f>
        <v/>
      </c>
      <c r="IC17" s="66" t="n"/>
      <c r="ID17" s="66">
        <f>AVERAGE(BA17)</f>
        <v/>
      </c>
      <c r="IE17" s="66">
        <f>AVERAGE(AC17)</f>
        <v/>
      </c>
    </row>
    <row r="18" ht="18" customHeight="1" s="590">
      <c r="B18" s="12" t="n">
        <v>12</v>
      </c>
      <c r="C18" s="13" t="inlineStr">
        <is>
          <t>052-24-125174</t>
        </is>
      </c>
      <c r="D18" s="14" t="inlineStr">
        <is>
          <t>Arman Javed</t>
        </is>
      </c>
      <c r="E18" s="526" t="n">
        <v>72</v>
      </c>
      <c r="F18" s="526" t="n">
        <v>72.5</v>
      </c>
      <c r="G18" s="526" t="n">
        <v>67.5</v>
      </c>
      <c r="H18" s="526" t="n">
        <v>62.03</v>
      </c>
      <c r="I18" s="526" t="n">
        <v>58.73</v>
      </c>
      <c r="J18" s="253" t="n">
        <v>69.06</v>
      </c>
      <c r="K18" s="249" t="n">
        <v>58</v>
      </c>
      <c r="L18" s="249" t="n">
        <v>70</v>
      </c>
      <c r="M18" s="249" t="n">
        <v>77.42</v>
      </c>
      <c r="N18" s="254" t="n">
        <v>80</v>
      </c>
      <c r="O18" s="524" t="n">
        <v>57.92</v>
      </c>
      <c r="P18" s="524" t="n">
        <v>45</v>
      </c>
      <c r="Q18" s="524" t="n">
        <v>62</v>
      </c>
      <c r="R18" s="115" t="n">
        <v>57.41</v>
      </c>
      <c r="S18" s="510" t="n">
        <v>58.33</v>
      </c>
      <c r="T18" s="117" t="n">
        <v>40</v>
      </c>
      <c r="U18" s="241" t="n">
        <v>63.33</v>
      </c>
      <c r="V18" s="241" t="n">
        <v>80</v>
      </c>
      <c r="W18" s="241" t="n">
        <v>63.93</v>
      </c>
      <c r="X18" s="241" t="n">
        <v>93.33</v>
      </c>
      <c r="Y18" s="241" t="n">
        <v>89.81999999999999</v>
      </c>
      <c r="Z18" s="114" t="n">
        <v>74.81</v>
      </c>
      <c r="AA18" s="546" t="n">
        <v>62</v>
      </c>
      <c r="AB18" s="115" t="n">
        <v>68.33</v>
      </c>
      <c r="AC18" s="117" t="n"/>
      <c r="AD18" s="117" t="n"/>
      <c r="AE18" s="114" t="n">
        <v>80</v>
      </c>
      <c r="AF18" s="583" t="n">
        <v>75.83</v>
      </c>
      <c r="AG18" s="117" t="n">
        <v>75.5</v>
      </c>
      <c r="AH18" s="115" t="n">
        <v>66.25</v>
      </c>
      <c r="AI18" s="665" t="n"/>
      <c r="AJ18" s="115" t="n">
        <v>75.8333333333333</v>
      </c>
      <c r="AK18" s="665" t="n"/>
      <c r="AL18" s="510" t="n">
        <v>74.17</v>
      </c>
      <c r="AM18" s="510" t="n">
        <v>73.94</v>
      </c>
      <c r="AN18" s="691" t="n">
        <v>72.95999999999999</v>
      </c>
      <c r="AO18" s="683" t="n"/>
      <c r="AP18" s="663" t="n"/>
      <c r="AQ18" s="127" t="n">
        <v>83.33</v>
      </c>
      <c r="AR18" s="128" t="n">
        <v>83.33</v>
      </c>
      <c r="AS18" s="128" t="n">
        <v>71.11</v>
      </c>
      <c r="AT18" s="131" t="n">
        <v>75</v>
      </c>
      <c r="AU18" s="127" t="n">
        <v>71.67</v>
      </c>
      <c r="AV18" s="128" t="n">
        <v>73.33</v>
      </c>
      <c r="AW18" s="128" t="n">
        <v>80</v>
      </c>
      <c r="AX18" s="128" t="n">
        <v>54.7619047619048</v>
      </c>
      <c r="AY18" s="128" t="n">
        <v>54.7619047619048</v>
      </c>
      <c r="AZ18" s="543" t="n">
        <v>91.9047619047619</v>
      </c>
      <c r="BA18" s="131" t="n">
        <v>76.6666666666667</v>
      </c>
      <c r="BB18" s="127" t="n">
        <v>80.83</v>
      </c>
      <c r="BC18" s="131" t="n">
        <v>85.25</v>
      </c>
      <c r="BD18" s="663" t="n"/>
      <c r="BE18" s="131" t="n"/>
      <c r="BF18" s="131" t="n"/>
      <c r="BG18" s="131" t="n"/>
      <c r="BH18" s="114" t="n"/>
      <c r="BI18" s="546" t="n"/>
      <c r="BJ18" s="511" t="n"/>
      <c r="BK18" s="114" t="n"/>
      <c r="BL18" s="546" t="n"/>
      <c r="BM18" s="511" t="n"/>
      <c r="BN18" s="114" t="n"/>
      <c r="BO18" s="546" t="n"/>
      <c r="BP18" s="546" t="n"/>
      <c r="BQ18" s="546" t="n"/>
      <c r="BR18" s="546" t="n"/>
      <c r="BS18" s="546" t="n"/>
      <c r="BT18" s="511" t="n"/>
      <c r="BU18" s="546" t="n"/>
      <c r="BV18" s="546" t="n"/>
      <c r="BW18" s="546" t="n"/>
      <c r="BX18" s="546" t="n"/>
      <c r="BY18" s="546" t="n"/>
      <c r="BZ18" s="546" t="n"/>
      <c r="CA18" s="546" t="n"/>
      <c r="CB18" s="15" t="n"/>
      <c r="CC18" s="546" t="n"/>
      <c r="CD18" s="546" t="n"/>
      <c r="CE18" s="546" t="n"/>
      <c r="CF18" s="546" t="n"/>
      <c r="CG18" s="546" t="n"/>
      <c r="CH18" s="15" t="n"/>
      <c r="CI18" s="546" t="n"/>
      <c r="CJ18" s="546" t="n"/>
      <c r="CK18" s="17" t="n"/>
      <c r="CL18" s="546" t="n"/>
      <c r="CM18" s="546" t="n"/>
      <c r="CN18" s="546" t="n"/>
      <c r="CO18" s="546" t="n"/>
      <c r="CP18" s="583" t="n"/>
      <c r="CQ18" s="15" t="n"/>
      <c r="CR18" s="15" t="n"/>
      <c r="CS18" s="15" t="n"/>
      <c r="CT18" s="15" t="n"/>
      <c r="CU18" s="546" t="n"/>
      <c r="CV18" s="17" t="n"/>
      <c r="CW18" s="74" t="n"/>
      <c r="CX18" s="75" t="n"/>
      <c r="CY18" s="76" t="n"/>
      <c r="CZ18" s="76" t="n"/>
      <c r="DA18" s="91" t="n"/>
      <c r="DB18" s="546" t="n"/>
      <c r="DC18" s="546" t="n"/>
      <c r="DD18" s="546" t="n"/>
      <c r="DE18" s="546" t="n"/>
      <c r="DF18" s="583" t="n"/>
      <c r="DG18" s="141" t="n"/>
      <c r="DH18" s="162" t="n"/>
      <c r="DI18" s="162" t="n"/>
      <c r="DJ18" s="512" t="n"/>
      <c r="DK18" s="665" t="n"/>
      <c r="DL18" s="141" t="n"/>
      <c r="DM18" s="139" t="n"/>
      <c r="DN18" s="139" t="n"/>
      <c r="DO18" s="139" t="n"/>
      <c r="DP18" s="147" t="n"/>
      <c r="DQ18" s="664" t="n"/>
      <c r="DR18" s="162" t="n"/>
      <c r="DS18" s="162" t="n"/>
      <c r="DT18" s="162" t="n"/>
      <c r="DU18" s="162" t="n"/>
      <c r="DV18" s="201" t="n"/>
      <c r="DW18" s="201" t="n"/>
      <c r="DX18" s="163" t="n"/>
      <c r="DY18" s="141" t="n"/>
      <c r="DZ18" s="139" t="n"/>
      <c r="EA18" s="139" t="n"/>
      <c r="EB18" s="139" t="n"/>
      <c r="EC18" s="140" t="n"/>
      <c r="ED18" s="347" t="n"/>
      <c r="EE18" s="147" t="n"/>
      <c r="EF18" s="31" t="n"/>
      <c r="EG18" s="349" t="n"/>
      <c r="EH18" s="665" t="n"/>
      <c r="EI18" s="45" t="n"/>
      <c r="EJ18" s="351" t="n"/>
      <c r="EK18" s="107" t="n"/>
      <c r="EL18" s="139" t="n"/>
      <c r="EM18" s="139" t="n"/>
      <c r="EN18" s="139" t="n"/>
      <c r="EO18" s="140" t="n"/>
      <c r="EP18" s="108" t="n"/>
      <c r="EQ18" s="141" t="n"/>
      <c r="ER18" s="140" t="n"/>
      <c r="ES18" s="140" t="n"/>
      <c r="ET18" s="140" t="n"/>
      <c r="EU18" s="147" t="n"/>
      <c r="EV18" s="664" t="n"/>
      <c r="EW18" s="107" t="n"/>
      <c r="EX18" s="140" t="n"/>
      <c r="EY18" s="140" t="n"/>
      <c r="EZ18" s="107" t="n"/>
      <c r="FA18" s="587" t="n"/>
      <c r="FB18" s="587" t="n"/>
      <c r="FC18" s="141" t="n"/>
      <c r="FD18" s="140" t="n"/>
      <c r="FE18" s="140" t="n"/>
      <c r="FF18" s="140" t="n"/>
      <c r="FG18" s="140" t="n"/>
      <c r="FH18" s="147" t="n"/>
      <c r="FI18" s="74" t="n"/>
      <c r="FJ18" s="75" t="n"/>
      <c r="FK18" s="76" t="n"/>
      <c r="FL18" s="76" t="n"/>
      <c r="FM18" s="91" t="n"/>
      <c r="FN18" s="92" t="n"/>
      <c r="FO18" s="91" t="n"/>
      <c r="FP18" s="74" t="n"/>
      <c r="FQ18" s="92" t="n"/>
      <c r="FR18" s="148" t="n"/>
      <c r="FS18" s="149" t="n"/>
      <c r="FT18" s="150" t="n"/>
      <c r="FU18" s="99" t="n"/>
      <c r="FV18" s="100" t="n"/>
      <c r="FW18" s="100" t="n"/>
      <c r="FX18" s="100" t="n"/>
      <c r="FY18" s="100" t="n"/>
      <c r="FZ18" s="100" t="n"/>
      <c r="GA18" s="100" t="n"/>
      <c r="GB18" s="100" t="n"/>
      <c r="GC18" s="100" t="n"/>
      <c r="GD18" s="100" t="n"/>
      <c r="GE18" s="100" t="n"/>
      <c r="GF18" s="102" t="n"/>
      <c r="GG18" s="15" t="n"/>
      <c r="GH18" s="546" t="n"/>
      <c r="GI18" s="546" t="n"/>
      <c r="GJ18" s="17" t="n"/>
      <c r="GK18" s="15" t="n"/>
      <c r="GL18" s="546" t="n"/>
      <c r="GM18" s="546" t="n"/>
      <c r="GN18" s="17" t="n"/>
      <c r="GO18" s="31" t="n"/>
      <c r="GP18" s="349" t="n"/>
      <c r="GQ18" s="665" t="n"/>
      <c r="GR18" s="45" t="n"/>
      <c r="GS18" s="351" t="n"/>
      <c r="GT18" s="31" t="n"/>
      <c r="GU18" s="45" t="n"/>
      <c r="GV18" s="45" t="n"/>
      <c r="GW18" s="351" t="n"/>
      <c r="GX18" s="663" t="n"/>
      <c r="GY18" s="107" t="n"/>
      <c r="GZ18" s="587" t="n"/>
      <c r="HA18" s="108" t="n"/>
      <c r="HB18" s="15" t="n"/>
      <c r="HC18" s="546" t="n"/>
      <c r="HD18" s="17" t="n"/>
      <c r="HE18" s="15" t="n"/>
      <c r="HF18" s="546" t="n"/>
      <c r="HG18" s="546" t="n"/>
      <c r="HH18" s="17" t="n"/>
      <c r="HI18" s="31" t="n"/>
      <c r="HJ18" s="45" t="n"/>
      <c r="HK18" s="45" t="n"/>
      <c r="HL18" s="45" t="n"/>
      <c r="HM18" s="45" t="n"/>
      <c r="HN18" s="45" t="n"/>
      <c r="HO18" s="45" t="n"/>
      <c r="HP18" s="45" t="n"/>
      <c r="HQ18" s="45" t="n"/>
      <c r="HR18" s="45" t="n"/>
      <c r="HS18" s="45" t="n"/>
      <c r="HT18" s="351" t="n"/>
      <c r="HU18" s="606" t="n"/>
      <c r="HV18" s="65">
        <f>AVERAGE(AX18,AU18,AQ18,AN18,Z18,R18,O18,J18)</f>
        <v/>
      </c>
      <c r="HW18" s="66">
        <f>AVERAGE(BB18,AR18,AH18,AD18,P18,H18,E18)</f>
        <v/>
      </c>
      <c r="HX18" s="66">
        <f>AVERAGE(BC18,AE18)</f>
        <v/>
      </c>
      <c r="HY18" s="66">
        <f>AVERAGE(AW18,AV18,AS18,AL18,AJ18,Q18)</f>
        <v/>
      </c>
      <c r="HZ18" s="66">
        <f>AVERAGE(AT18,AM18,AF18,T18,I18)</f>
        <v/>
      </c>
      <c r="IA18" s="66">
        <f>AVERAGE(AY18,AG18)</f>
        <v/>
      </c>
      <c r="IB18" s="66">
        <f>AVERAGE(AZ18,#REF!)</f>
        <v/>
      </c>
      <c r="IC18" s="66" t="n"/>
      <c r="ID18" s="66">
        <f>AVERAGE(BA18)</f>
        <v/>
      </c>
      <c r="IE18" s="66">
        <f>AVERAGE(AC18)</f>
        <v/>
      </c>
    </row>
    <row r="19" ht="18" customHeight="1" s="590">
      <c r="B19" s="12" t="n">
        <v>13</v>
      </c>
      <c r="C19" s="13" t="inlineStr">
        <is>
          <t>052-24-125292</t>
        </is>
      </c>
      <c r="D19" s="14" t="inlineStr">
        <is>
          <t>Muhammad Jahangeer</t>
        </is>
      </c>
      <c r="E19" s="526" t="n">
        <v>80</v>
      </c>
      <c r="F19" s="526" t="n">
        <v>65.83</v>
      </c>
      <c r="G19" s="526" t="n">
        <v>70</v>
      </c>
      <c r="H19" s="526" t="n">
        <v>67.75</v>
      </c>
      <c r="I19" s="526" t="n">
        <v>69.27</v>
      </c>
      <c r="J19" s="253" t="n">
        <v>77.81</v>
      </c>
      <c r="K19" s="249" t="n">
        <v>70</v>
      </c>
      <c r="L19" s="249" t="n">
        <v>66.67</v>
      </c>
      <c r="M19" s="249" t="n">
        <v>73.94</v>
      </c>
      <c r="N19" s="254" t="n">
        <v>75</v>
      </c>
      <c r="O19" s="524" t="n">
        <v>52.92</v>
      </c>
      <c r="P19" s="524" t="n">
        <v>49.58</v>
      </c>
      <c r="Q19" s="524" t="n">
        <v>45.5</v>
      </c>
      <c r="R19" s="115" t="n">
        <v>73.15000000000001</v>
      </c>
      <c r="S19" s="510" t="n">
        <v>86.67</v>
      </c>
      <c r="T19" s="117" t="n">
        <v>60</v>
      </c>
      <c r="U19" s="241" t="n">
        <v>83.33</v>
      </c>
      <c r="V19" s="241" t="n">
        <v>90</v>
      </c>
      <c r="W19" s="241" t="n">
        <v>80.70999999999999</v>
      </c>
      <c r="X19" s="241" t="n">
        <v>95.45</v>
      </c>
      <c r="Y19" s="241" t="n">
        <v>95.81999999999999</v>
      </c>
      <c r="Z19" s="114" t="n">
        <v>74.81</v>
      </c>
      <c r="AA19" s="546" t="n">
        <v>73.25</v>
      </c>
      <c r="AB19" s="115" t="n">
        <v>75.83</v>
      </c>
      <c r="AC19" s="117" t="n"/>
      <c r="AD19" s="117" t="n"/>
      <c r="AE19" s="114" t="n">
        <v>66.67</v>
      </c>
      <c r="AF19" s="583" t="n">
        <v>64.17</v>
      </c>
      <c r="AG19" s="117" t="n">
        <v>75</v>
      </c>
      <c r="AH19" s="115" t="n">
        <v>68.75</v>
      </c>
      <c r="AI19" s="665" t="n"/>
      <c r="AJ19" s="115" t="n">
        <v>70.8333333333333</v>
      </c>
      <c r="AK19" s="665" t="n"/>
      <c r="AL19" s="510" t="n">
        <v>75.83</v>
      </c>
      <c r="AM19" s="510" t="n">
        <v>76.06</v>
      </c>
      <c r="AN19" s="691" t="n">
        <v>77.41</v>
      </c>
      <c r="AO19" s="683" t="n"/>
      <c r="AP19" s="663" t="n"/>
      <c r="AQ19" s="127" t="n">
        <v>76.67</v>
      </c>
      <c r="AR19" s="128" t="n">
        <v>76.67</v>
      </c>
      <c r="AS19" s="128" t="n">
        <v>75.56</v>
      </c>
      <c r="AT19" s="131" t="n">
        <v>60</v>
      </c>
      <c r="AU19" s="127" t="n">
        <v>61.67</v>
      </c>
      <c r="AV19" s="128" t="n">
        <v>84</v>
      </c>
      <c r="AW19" s="128" t="n">
        <v>95</v>
      </c>
      <c r="AX19" s="128" t="n">
        <v>53.015873015873</v>
      </c>
      <c r="AY19" s="543" t="n">
        <v>92.6666666666667</v>
      </c>
      <c r="AZ19" s="543" t="n">
        <v>92.8571428571429</v>
      </c>
      <c r="BA19" s="131" t="n">
        <v>76.6666666666667</v>
      </c>
      <c r="BB19" s="127" t="n">
        <v>80</v>
      </c>
      <c r="BC19" s="131" t="n">
        <v>83</v>
      </c>
      <c r="BD19" s="663" t="n"/>
      <c r="BE19" s="131" t="n"/>
      <c r="BF19" s="131" t="n"/>
      <c r="BG19" s="131" t="n"/>
      <c r="BH19" s="114" t="n"/>
      <c r="BI19" s="546" t="n"/>
      <c r="BJ19" s="511" t="n"/>
      <c r="BK19" s="114" t="n"/>
      <c r="BL19" s="546" t="n"/>
      <c r="BM19" s="511" t="n"/>
      <c r="BN19" s="114" t="n"/>
      <c r="BO19" s="546" t="n"/>
      <c r="BP19" s="546" t="n"/>
      <c r="BQ19" s="546" t="n"/>
      <c r="BR19" s="546" t="n"/>
      <c r="BS19" s="546" t="n"/>
      <c r="BT19" s="511" t="n"/>
      <c r="BU19" s="546" t="n"/>
      <c r="BV19" s="546" t="n"/>
      <c r="BW19" s="546" t="n"/>
      <c r="BX19" s="546" t="n"/>
      <c r="BY19" s="546" t="n"/>
      <c r="BZ19" s="546" t="n"/>
      <c r="CA19" s="546" t="n"/>
      <c r="CB19" s="15" t="n"/>
      <c r="CC19" s="546" t="n"/>
      <c r="CD19" s="546" t="n"/>
      <c r="CE19" s="546" t="n"/>
      <c r="CF19" s="546" t="n"/>
      <c r="CG19" s="546" t="n"/>
      <c r="CH19" s="15" t="n"/>
      <c r="CI19" s="546" t="n"/>
      <c r="CJ19" s="546" t="n"/>
      <c r="CK19" s="17" t="n"/>
      <c r="CL19" s="546" t="n"/>
      <c r="CM19" s="546" t="n"/>
      <c r="CN19" s="546" t="n"/>
      <c r="CO19" s="546" t="n"/>
      <c r="CP19" s="583" t="n"/>
      <c r="CQ19" s="15" t="n"/>
      <c r="CR19" s="15" t="n"/>
      <c r="CS19" s="15" t="n"/>
      <c r="CT19" s="15" t="n"/>
      <c r="CU19" s="546" t="n"/>
      <c r="CV19" s="17" t="n"/>
      <c r="CW19" s="74" t="n"/>
      <c r="CX19" s="75" t="n"/>
      <c r="CY19" s="76" t="n"/>
      <c r="CZ19" s="76" t="n"/>
      <c r="DA19" s="91" t="n"/>
      <c r="DB19" s="546" t="n"/>
      <c r="DC19" s="546" t="n"/>
      <c r="DD19" s="546" t="n"/>
      <c r="DE19" s="546" t="n"/>
      <c r="DF19" s="583" t="n"/>
      <c r="DG19" s="141" t="n"/>
      <c r="DH19" s="162" t="n"/>
      <c r="DI19" s="162" t="n"/>
      <c r="DJ19" s="512" t="n"/>
      <c r="DK19" s="491" t="n"/>
      <c r="DL19" s="141" t="n"/>
      <c r="DM19" s="139" t="n"/>
      <c r="DN19" s="139" t="n"/>
      <c r="DO19" s="139" t="n"/>
      <c r="DP19" s="347" t="n"/>
      <c r="DQ19" s="348" t="n"/>
      <c r="DR19" s="162" t="n"/>
      <c r="DS19" s="162" t="n"/>
      <c r="DT19" s="162" t="n"/>
      <c r="DU19" s="162" t="n"/>
      <c r="DV19" s="201" t="n"/>
      <c r="DW19" s="201" t="n"/>
      <c r="DX19" s="163" t="n"/>
      <c r="DY19" s="141" t="n"/>
      <c r="DZ19" s="139" t="n"/>
      <c r="EA19" s="139" t="n"/>
      <c r="EB19" s="139" t="n"/>
      <c r="EC19" s="140" t="n"/>
      <c r="ED19" s="347" t="n"/>
      <c r="EE19" s="147" t="n"/>
      <c r="EF19" s="31" t="n"/>
      <c r="EG19" s="349" t="n"/>
      <c r="EH19" s="349" t="n"/>
      <c r="EI19" s="45" t="n"/>
      <c r="EJ19" s="351" t="n"/>
      <c r="EK19" s="107" t="n"/>
      <c r="EL19" s="139" t="n"/>
      <c r="EM19" s="139" t="n"/>
      <c r="EN19" s="139" t="n"/>
      <c r="EO19" s="140" t="n"/>
      <c r="EP19" s="108" t="n"/>
      <c r="EQ19" s="141" t="n"/>
      <c r="ER19" s="140" t="n"/>
      <c r="ES19" s="140" t="n"/>
      <c r="ET19" s="140" t="n"/>
      <c r="EU19" s="347" t="n"/>
      <c r="EV19" s="348" t="n"/>
      <c r="EW19" s="107" t="n"/>
      <c r="EX19" s="140" t="n"/>
      <c r="EY19" s="140" t="n"/>
      <c r="EZ19" s="107" t="n"/>
      <c r="FA19" s="587" t="n"/>
      <c r="FB19" s="587" t="n"/>
      <c r="FC19" s="141" t="n"/>
      <c r="FD19" s="140" t="n"/>
      <c r="FE19" s="140" t="n"/>
      <c r="FF19" s="140" t="n"/>
      <c r="FG19" s="140" t="n"/>
      <c r="FH19" s="147" t="n"/>
      <c r="FI19" s="74" t="n"/>
      <c r="FJ19" s="75" t="n"/>
      <c r="FK19" s="76" t="n"/>
      <c r="FL19" s="76" t="n"/>
      <c r="FM19" s="91" t="n"/>
      <c r="FN19" s="92" t="n"/>
      <c r="FO19" s="91" t="n"/>
      <c r="FP19" s="74" t="n"/>
      <c r="FQ19" s="92" t="n"/>
      <c r="FR19" s="148" t="n"/>
      <c r="FS19" s="149" t="n"/>
      <c r="FT19" s="150" t="n"/>
      <c r="FU19" s="99" t="n"/>
      <c r="FV19" s="100" t="n"/>
      <c r="FW19" s="100" t="n"/>
      <c r="FX19" s="100" t="n"/>
      <c r="FY19" s="100" t="n"/>
      <c r="FZ19" s="100" t="n"/>
      <c r="GA19" s="100" t="n"/>
      <c r="GB19" s="100" t="n"/>
      <c r="GC19" s="100" t="n"/>
      <c r="GD19" s="100" t="n"/>
      <c r="GE19" s="100" t="n"/>
      <c r="GF19" s="102" t="n"/>
      <c r="GG19" s="15" t="n"/>
      <c r="GH19" s="546" t="n"/>
      <c r="GI19" s="546" t="n"/>
      <c r="GJ19" s="17" t="n"/>
      <c r="GK19" s="15" t="n"/>
      <c r="GL19" s="546" t="n"/>
      <c r="GM19" s="546" t="n"/>
      <c r="GN19" s="17" t="n"/>
      <c r="GO19" s="31" t="n"/>
      <c r="GP19" s="349" t="n"/>
      <c r="GQ19" s="349" t="n"/>
      <c r="GR19" s="45" t="n"/>
      <c r="GS19" s="351" t="n"/>
      <c r="GT19" s="31" t="n"/>
      <c r="GU19" s="45" t="n"/>
      <c r="GV19" s="45" t="n"/>
      <c r="GW19" s="350" t="n"/>
      <c r="GX19" s="351" t="n"/>
      <c r="GY19" s="107" t="n"/>
      <c r="GZ19" s="587" t="n"/>
      <c r="HA19" s="108" t="n"/>
      <c r="HB19" s="15" t="n"/>
      <c r="HC19" s="546" t="n"/>
      <c r="HD19" s="17" t="n"/>
      <c r="HE19" s="15" t="n"/>
      <c r="HF19" s="546" t="n"/>
      <c r="HG19" s="546" t="n"/>
      <c r="HH19" s="17" t="n"/>
      <c r="HI19" s="31" t="n"/>
      <c r="HJ19" s="45" t="n"/>
      <c r="HK19" s="45" t="n"/>
      <c r="HL19" s="45" t="n"/>
      <c r="HM19" s="45" t="n"/>
      <c r="HN19" s="45" t="n"/>
      <c r="HO19" s="45" t="n"/>
      <c r="HP19" s="45" t="n"/>
      <c r="HQ19" s="45" t="n"/>
      <c r="HR19" s="45" t="n"/>
      <c r="HS19" s="45" t="n"/>
      <c r="HT19" s="351" t="n"/>
      <c r="HU19" s="606" t="n"/>
      <c r="HV19" s="65">
        <f>AVERAGE(AX19,AU19,AQ19,AN19,Z19,R19,O19,J19)</f>
        <v/>
      </c>
      <c r="HW19" s="66">
        <f>AVERAGE(BB19,AR19,AH19,AD19,P19,H19,E19)</f>
        <v/>
      </c>
      <c r="HX19" s="66">
        <f>AVERAGE(BC19,AE19)</f>
        <v/>
      </c>
      <c r="HY19" s="66">
        <f>AVERAGE(AW19,AV19,AS19,AL19,AJ19,Q19)</f>
        <v/>
      </c>
      <c r="HZ19" s="66">
        <f>AVERAGE(AT19,AM19,AF19,T19,I19)</f>
        <v/>
      </c>
      <c r="IA19" s="66">
        <f>AVERAGE(AY19,AG19)</f>
        <v/>
      </c>
      <c r="IB19" s="66">
        <f>AVERAGE(AZ19,#REF!)</f>
        <v/>
      </c>
      <c r="IC19" s="66" t="n"/>
      <c r="ID19" s="66">
        <f>AVERAGE(BA19)</f>
        <v/>
      </c>
      <c r="IE19" s="66">
        <f>AVERAGE(AC19)</f>
        <v/>
      </c>
    </row>
    <row r="20" ht="18" customHeight="1" s="590">
      <c r="B20" s="12" t="n">
        <v>14</v>
      </c>
      <c r="C20" s="13" t="inlineStr">
        <is>
          <t>052-24-125247</t>
        </is>
      </c>
      <c r="D20" s="14" t="inlineStr">
        <is>
          <t>Anisha Munawar</t>
        </is>
      </c>
      <c r="E20" s="526" t="n">
        <v>88</v>
      </c>
      <c r="F20" s="526" t="n">
        <v>91.67</v>
      </c>
      <c r="G20" s="526" t="n">
        <v>89.17</v>
      </c>
      <c r="H20" s="526" t="n">
        <v>73.7</v>
      </c>
      <c r="I20" s="526" t="n">
        <v>68.33</v>
      </c>
      <c r="J20" s="253" t="n">
        <v>87.81</v>
      </c>
      <c r="K20" s="249" t="n">
        <v>82.33</v>
      </c>
      <c r="L20" s="249" t="n">
        <v>82.22</v>
      </c>
      <c r="M20" s="249" t="n">
        <v>84.84999999999999</v>
      </c>
      <c r="N20" s="254" t="n">
        <v>98.33</v>
      </c>
      <c r="O20" s="524" t="n">
        <v>81.67</v>
      </c>
      <c r="P20" s="524" t="n">
        <v>64.17</v>
      </c>
      <c r="Q20" s="524" t="n">
        <v>77</v>
      </c>
      <c r="R20" s="115" t="n">
        <v>59.07</v>
      </c>
      <c r="S20" s="510" t="n">
        <v>66.3</v>
      </c>
      <c r="T20" s="117" t="n">
        <v>60</v>
      </c>
      <c r="U20" s="241" t="n">
        <v>90</v>
      </c>
      <c r="V20" s="241" t="n">
        <v>87.5</v>
      </c>
      <c r="W20" s="241" t="n">
        <v>67.86</v>
      </c>
      <c r="X20" s="241" t="n">
        <v>94.55</v>
      </c>
      <c r="Y20" s="241" t="n">
        <v>95.81999999999999</v>
      </c>
      <c r="Z20" s="114" t="n">
        <v>78.52</v>
      </c>
      <c r="AA20" s="546" t="n">
        <v>61.7</v>
      </c>
      <c r="AB20" s="115" t="n">
        <v>63.83</v>
      </c>
      <c r="AC20" s="117" t="n"/>
      <c r="AD20" s="117" t="n"/>
      <c r="AE20" s="114" t="n">
        <v>46.67</v>
      </c>
      <c r="AF20" s="583" t="n">
        <v>85</v>
      </c>
      <c r="AG20" s="117" t="n">
        <v>90</v>
      </c>
      <c r="AH20" s="115" t="n">
        <v>94.1666666666667</v>
      </c>
      <c r="AI20" s="665" t="n"/>
      <c r="AJ20" s="115" t="n">
        <v>82.5</v>
      </c>
      <c r="AK20" s="665" t="n"/>
      <c r="AL20" s="510" t="n">
        <v>85.28</v>
      </c>
      <c r="AM20" s="510" t="n">
        <v>90</v>
      </c>
      <c r="AN20" s="691" t="n">
        <v>75.73999999999999</v>
      </c>
      <c r="AO20" s="683" t="n"/>
      <c r="AP20" s="663" t="n"/>
      <c r="AQ20" s="127" t="n">
        <v>93.33</v>
      </c>
      <c r="AR20" s="128" t="n">
        <v>93.33</v>
      </c>
      <c r="AS20" s="128" t="n">
        <v>73.33</v>
      </c>
      <c r="AT20" s="131" t="n">
        <v>56.67</v>
      </c>
      <c r="AU20" s="127" t="n">
        <v>98.33</v>
      </c>
      <c r="AV20" s="128" t="n">
        <v>73</v>
      </c>
      <c r="AW20" s="128" t="n">
        <v>70</v>
      </c>
      <c r="AX20" s="128" t="n">
        <v>86.1904761904762</v>
      </c>
      <c r="AY20" s="543" t="n">
        <v>76.6666666666667</v>
      </c>
      <c r="AZ20" s="543" t="n">
        <v>68.0952380952381</v>
      </c>
      <c r="BA20" s="131" t="n">
        <v>75.5555555555556</v>
      </c>
      <c r="BB20" s="127" t="n">
        <v>83.33</v>
      </c>
      <c r="BC20" s="131" t="n">
        <v>84.75</v>
      </c>
      <c r="BD20" s="663" t="n"/>
      <c r="BE20" s="131" t="n"/>
      <c r="BF20" s="131" t="n"/>
      <c r="BG20" s="131" t="n"/>
      <c r="BH20" s="114" t="n"/>
      <c r="BI20" s="546" t="n"/>
      <c r="BJ20" s="511" t="n"/>
      <c r="BK20" s="114" t="n"/>
      <c r="BL20" s="546" t="n"/>
      <c r="BM20" s="511" t="n"/>
      <c r="BN20" s="114" t="n"/>
      <c r="BO20" s="546" t="n"/>
      <c r="BP20" s="546" t="n"/>
      <c r="BQ20" s="546" t="n"/>
      <c r="BR20" s="546" t="n"/>
      <c r="BS20" s="546" t="n"/>
      <c r="BT20" s="511" t="n"/>
      <c r="BU20" s="546" t="n"/>
      <c r="BV20" s="546" t="n"/>
      <c r="BW20" s="546" t="n"/>
      <c r="BX20" s="546" t="n"/>
      <c r="BY20" s="546" t="n"/>
      <c r="BZ20" s="546" t="n"/>
      <c r="CA20" s="546" t="n"/>
      <c r="CB20" s="15" t="n"/>
      <c r="CC20" s="546" t="n"/>
      <c r="CD20" s="546" t="n"/>
      <c r="CE20" s="546" t="n"/>
      <c r="CF20" s="546" t="n"/>
      <c r="CG20" s="546" t="n"/>
      <c r="CH20" s="15" t="n"/>
      <c r="CI20" s="546" t="n"/>
      <c r="CJ20" s="546" t="n"/>
      <c r="CK20" s="17" t="n"/>
      <c r="CL20" s="546" t="n"/>
      <c r="CM20" s="546" t="n"/>
      <c r="CN20" s="546" t="n"/>
      <c r="CO20" s="546" t="n"/>
      <c r="CP20" s="583" t="n"/>
      <c r="CQ20" s="15" t="n"/>
      <c r="CR20" s="15" t="n"/>
      <c r="CS20" s="15" t="n"/>
      <c r="CT20" s="15" t="n"/>
      <c r="CU20" s="546" t="n"/>
      <c r="CV20" s="17" t="n"/>
      <c r="CW20" s="74" t="n"/>
      <c r="CX20" s="75" t="n"/>
      <c r="CY20" s="76" t="n"/>
      <c r="CZ20" s="76" t="n"/>
      <c r="DA20" s="91" t="n"/>
      <c r="DB20" s="546" t="n"/>
      <c r="DC20" s="546" t="n"/>
      <c r="DD20" s="546" t="n"/>
      <c r="DE20" s="546" t="n"/>
      <c r="DF20" s="583" t="n"/>
      <c r="DG20" s="141" t="n"/>
      <c r="DH20" s="162" t="n"/>
      <c r="DI20" s="162" t="n"/>
      <c r="DJ20" s="512" t="n"/>
      <c r="DK20" s="491" t="n"/>
      <c r="DL20" s="141" t="n"/>
      <c r="DM20" s="139" t="n"/>
      <c r="DN20" s="139" t="n"/>
      <c r="DO20" s="139" t="n"/>
      <c r="DP20" s="347" t="n"/>
      <c r="DQ20" s="348" t="n"/>
      <c r="DR20" s="162" t="n"/>
      <c r="DS20" s="162" t="n"/>
      <c r="DT20" s="162" t="n"/>
      <c r="DU20" s="162" t="n"/>
      <c r="DV20" s="201" t="n"/>
      <c r="DW20" s="201" t="n"/>
      <c r="DX20" s="163" t="n"/>
      <c r="DY20" s="141" t="n"/>
      <c r="DZ20" s="139" t="n"/>
      <c r="EA20" s="139" t="n"/>
      <c r="EB20" s="139" t="n"/>
      <c r="EC20" s="140" t="n"/>
      <c r="ED20" s="347" t="n"/>
      <c r="EE20" s="147" t="n"/>
      <c r="EF20" s="31" t="n"/>
      <c r="EG20" s="349" t="n"/>
      <c r="EH20" s="349" t="n"/>
      <c r="EI20" s="45" t="n"/>
      <c r="EJ20" s="351" t="n"/>
      <c r="EK20" s="107" t="n"/>
      <c r="EL20" s="139" t="n"/>
      <c r="EM20" s="139" t="n"/>
      <c r="EN20" s="139" t="n"/>
      <c r="EO20" s="140" t="n"/>
      <c r="EP20" s="108" t="n"/>
      <c r="EQ20" s="141" t="n"/>
      <c r="ER20" s="140" t="n"/>
      <c r="ES20" s="140" t="n"/>
      <c r="ET20" s="140" t="n"/>
      <c r="EU20" s="347" t="n"/>
      <c r="EV20" s="348" t="n"/>
      <c r="EW20" s="107" t="n"/>
      <c r="EX20" s="140" t="n"/>
      <c r="EY20" s="140" t="n"/>
      <c r="EZ20" s="107" t="n"/>
      <c r="FA20" s="587" t="n"/>
      <c r="FB20" s="587" t="n"/>
      <c r="FC20" s="141" t="n"/>
      <c r="FD20" s="140" t="n"/>
      <c r="FE20" s="140" t="n"/>
      <c r="FF20" s="140" t="n"/>
      <c r="FG20" s="140" t="n"/>
      <c r="FH20" s="147" t="n"/>
      <c r="FI20" s="74" t="n"/>
      <c r="FJ20" s="75" t="n"/>
      <c r="FK20" s="76" t="n"/>
      <c r="FL20" s="76" t="n"/>
      <c r="FM20" s="91" t="n"/>
      <c r="FN20" s="92" t="n"/>
      <c r="FO20" s="91" t="n"/>
      <c r="FP20" s="74" t="n"/>
      <c r="FQ20" s="92" t="n"/>
      <c r="FR20" s="148" t="n"/>
      <c r="FS20" s="149" t="n"/>
      <c r="FT20" s="150" t="n"/>
      <c r="FU20" s="99" t="n"/>
      <c r="FV20" s="100" t="n"/>
      <c r="FW20" s="100" t="n"/>
      <c r="FX20" s="100" t="n"/>
      <c r="FY20" s="100" t="n"/>
      <c r="FZ20" s="100" t="n"/>
      <c r="GA20" s="100" t="n"/>
      <c r="GB20" s="100" t="n"/>
      <c r="GC20" s="100" t="n"/>
      <c r="GD20" s="100" t="n"/>
      <c r="GE20" s="100" t="n"/>
      <c r="GF20" s="102" t="n"/>
      <c r="GG20" s="15" t="n"/>
      <c r="GH20" s="546" t="n"/>
      <c r="GI20" s="546" t="n"/>
      <c r="GJ20" s="17" t="n"/>
      <c r="GK20" s="15" t="n"/>
      <c r="GL20" s="546" t="n"/>
      <c r="GM20" s="546" t="n"/>
      <c r="GN20" s="17" t="n"/>
      <c r="GO20" s="31" t="n"/>
      <c r="GP20" s="349" t="n"/>
      <c r="GQ20" s="349" t="n"/>
      <c r="GR20" s="45" t="n"/>
      <c r="GS20" s="351" t="n"/>
      <c r="GT20" s="31" t="n"/>
      <c r="GU20" s="45" t="n"/>
      <c r="GV20" s="45" t="n"/>
      <c r="GW20" s="350" t="n"/>
      <c r="GX20" s="351" t="n"/>
      <c r="GY20" s="107" t="n"/>
      <c r="GZ20" s="587" t="n"/>
      <c r="HA20" s="108" t="n"/>
      <c r="HB20" s="15" t="n"/>
      <c r="HC20" s="546" t="n"/>
      <c r="HD20" s="17" t="n"/>
      <c r="HE20" s="15" t="n"/>
      <c r="HF20" s="546" t="n"/>
      <c r="HG20" s="546" t="n"/>
      <c r="HH20" s="17" t="n"/>
      <c r="HI20" s="31" t="n"/>
      <c r="HJ20" s="45" t="n"/>
      <c r="HK20" s="45" t="n"/>
      <c r="HL20" s="45" t="n"/>
      <c r="HM20" s="45" t="n"/>
      <c r="HN20" s="45" t="n"/>
      <c r="HO20" s="45" t="n"/>
      <c r="HP20" s="45" t="n"/>
      <c r="HQ20" s="45" t="n"/>
      <c r="HR20" s="45" t="n"/>
      <c r="HS20" s="45" t="n"/>
      <c r="HT20" s="351" t="n"/>
      <c r="HU20" s="606" t="n"/>
      <c r="HV20" s="65">
        <f>AVERAGE(AX20,AU20,AQ20,AN20,Z20,R20,O20,J20)</f>
        <v/>
      </c>
      <c r="HW20" s="66">
        <f>AVERAGE(BB20,AR20,AH20,AD20,P20,H20,E20)</f>
        <v/>
      </c>
      <c r="HX20" s="66">
        <f>AVERAGE(BC20,AE20)</f>
        <v/>
      </c>
      <c r="HY20" s="66">
        <f>AVERAGE(AW20,AV20,AS20,AL20,AJ20,Q20)</f>
        <v/>
      </c>
      <c r="HZ20" s="66">
        <f>AVERAGE(AT20,AM20,AF20,T20,I20)</f>
        <v/>
      </c>
      <c r="IA20" s="66">
        <f>AVERAGE(AY20,AG20)</f>
        <v/>
      </c>
      <c r="IB20" s="66">
        <f>AVERAGE(AZ20,#REF!)</f>
        <v/>
      </c>
      <c r="IC20" s="66" t="n"/>
      <c r="ID20" s="66">
        <f>AVERAGE(BA20)</f>
        <v/>
      </c>
      <c r="IE20" s="66">
        <f>AVERAGE(AC20)</f>
        <v/>
      </c>
    </row>
    <row r="21" ht="18" customHeight="1" s="590">
      <c r="B21" s="12" t="n">
        <v>15</v>
      </c>
      <c r="C21" s="13" t="inlineStr">
        <is>
          <t>052-24-125390</t>
        </is>
      </c>
      <c r="D21" s="14" t="inlineStr">
        <is>
          <t>Ch. Muhammad Ameer</t>
        </is>
      </c>
      <c r="E21" s="526" t="n">
        <v>44</v>
      </c>
      <c r="F21" s="526" t="n">
        <v>47.5</v>
      </c>
      <c r="G21" s="526" t="n">
        <v>60</v>
      </c>
      <c r="H21" s="526" t="n">
        <v>63.16</v>
      </c>
      <c r="I21" s="526" t="n">
        <v>62.33</v>
      </c>
      <c r="J21" s="253" t="n">
        <v>60</v>
      </c>
      <c r="K21" s="249" t="n">
        <v>62</v>
      </c>
      <c r="L21" s="249" t="n">
        <v>75</v>
      </c>
      <c r="M21" s="249" t="n">
        <v>74.7</v>
      </c>
      <c r="N21" s="254" t="n">
        <v>78.33</v>
      </c>
      <c r="O21" s="524" t="n">
        <v>67.08</v>
      </c>
      <c r="P21" s="524" t="n">
        <v>56.25</v>
      </c>
      <c r="Q21" s="524" t="n">
        <v>65</v>
      </c>
      <c r="R21" s="115" t="n">
        <v>57.22</v>
      </c>
      <c r="S21" s="510" t="n">
        <v>64.44</v>
      </c>
      <c r="T21" s="117" t="n">
        <v>80</v>
      </c>
      <c r="U21" s="241" t="n">
        <v>66.67</v>
      </c>
      <c r="V21" s="241" t="n">
        <v>67.5</v>
      </c>
      <c r="W21" s="241" t="n">
        <v>60.48</v>
      </c>
      <c r="X21" s="241" t="n">
        <v>89.7</v>
      </c>
      <c r="Y21" s="241" t="n">
        <v>88.91</v>
      </c>
      <c r="Z21" s="114" t="n">
        <v>78.52</v>
      </c>
      <c r="AA21" s="546" t="n">
        <v>66.5</v>
      </c>
      <c r="AB21" s="115" t="n">
        <v>69.58</v>
      </c>
      <c r="AC21" s="117" t="n"/>
      <c r="AD21" s="117" t="n"/>
      <c r="AE21" s="114" t="n">
        <v>46.67</v>
      </c>
      <c r="AF21" s="583" t="n">
        <v>65</v>
      </c>
      <c r="AG21" s="117" t="n">
        <v>58.33</v>
      </c>
      <c r="AH21" s="115" t="n">
        <v>62.9166666666667</v>
      </c>
      <c r="AI21" s="665" t="n"/>
      <c r="AJ21" s="115" t="n">
        <v>69.1666666666667</v>
      </c>
      <c r="AK21" s="665" t="n"/>
      <c r="AL21" s="510" t="n">
        <v>72.78</v>
      </c>
      <c r="AM21" s="510" t="n">
        <v>69.09</v>
      </c>
      <c r="AN21" s="691" t="n">
        <v>76.67</v>
      </c>
      <c r="AO21" s="683" t="n"/>
      <c r="AP21" s="663" t="n"/>
      <c r="AQ21" s="127" t="n">
        <v>90</v>
      </c>
      <c r="AR21" s="128" t="n">
        <v>90</v>
      </c>
      <c r="AS21" s="128" t="n">
        <v>67.78</v>
      </c>
      <c r="AT21" s="131" t="n">
        <v>55</v>
      </c>
      <c r="AU21" s="127" t="n">
        <v>61.67</v>
      </c>
      <c r="AV21" s="128" t="n">
        <v>71</v>
      </c>
      <c r="AW21" s="128" t="n">
        <v>80.5</v>
      </c>
      <c r="AX21" s="128" t="n">
        <v>58.5714285714286</v>
      </c>
      <c r="AY21" s="543" t="n">
        <v>86.6666666666667</v>
      </c>
      <c r="AZ21" s="543" t="n">
        <v>90</v>
      </c>
      <c r="BA21" s="131" t="n">
        <v>75</v>
      </c>
      <c r="BB21" s="127" t="n">
        <v>71.67</v>
      </c>
      <c r="BC21" s="131" t="n">
        <v>75</v>
      </c>
      <c r="BD21" s="663" t="n"/>
      <c r="BE21" s="131" t="n"/>
      <c r="BF21" s="131" t="n"/>
      <c r="BG21" s="131" t="n"/>
      <c r="BH21" s="114" t="n"/>
      <c r="BI21" s="546" t="n"/>
      <c r="BJ21" s="511" t="n"/>
      <c r="BK21" s="114" t="n"/>
      <c r="BL21" s="546" t="n"/>
      <c r="BM21" s="511" t="n"/>
      <c r="BN21" s="114" t="n"/>
      <c r="BO21" s="546" t="n"/>
      <c r="BP21" s="546" t="n"/>
      <c r="BQ21" s="546" t="n"/>
      <c r="BR21" s="546" t="n"/>
      <c r="BS21" s="546" t="n"/>
      <c r="BT21" s="511" t="n"/>
      <c r="BU21" s="546" t="n"/>
      <c r="BV21" s="546" t="n"/>
      <c r="BW21" s="546" t="n"/>
      <c r="BX21" s="546" t="n"/>
      <c r="BY21" s="546" t="n"/>
      <c r="BZ21" s="546" t="n"/>
      <c r="CA21" s="546" t="n"/>
      <c r="CB21" s="15" t="n"/>
      <c r="CC21" s="546" t="n"/>
      <c r="CD21" s="546" t="n"/>
      <c r="CE21" s="546" t="n"/>
      <c r="CF21" s="546" t="n"/>
      <c r="CG21" s="546" t="n"/>
      <c r="CH21" s="15" t="n"/>
      <c r="CI21" s="546" t="n"/>
      <c r="CJ21" s="546" t="n"/>
      <c r="CK21" s="17" t="n"/>
      <c r="CL21" s="546" t="n"/>
      <c r="CM21" s="546" t="n"/>
      <c r="CN21" s="546" t="n"/>
      <c r="CO21" s="546" t="n"/>
      <c r="CP21" s="583" t="n"/>
      <c r="CQ21" s="15" t="n"/>
      <c r="CR21" s="15" t="n"/>
      <c r="CS21" s="15" t="n"/>
      <c r="CT21" s="15" t="n"/>
      <c r="CU21" s="546" t="n"/>
      <c r="CV21" s="17" t="n"/>
      <c r="CW21" s="74" t="n"/>
      <c r="CX21" s="75" t="n"/>
      <c r="CY21" s="76" t="n"/>
      <c r="CZ21" s="76" t="n"/>
      <c r="DA21" s="91" t="n"/>
      <c r="DB21" s="546" t="n"/>
      <c r="DC21" s="546" t="n"/>
      <c r="DD21" s="546" t="n"/>
      <c r="DE21" s="546" t="n"/>
      <c r="DF21" s="583" t="n"/>
      <c r="DG21" s="141" t="n"/>
      <c r="DH21" s="162" t="n"/>
      <c r="DI21" s="162" t="n"/>
      <c r="DJ21" s="512" t="n"/>
      <c r="DK21" s="491" t="n"/>
      <c r="DL21" s="141" t="n"/>
      <c r="DM21" s="139" t="n"/>
      <c r="DN21" s="139" t="n"/>
      <c r="DO21" s="139" t="n"/>
      <c r="DP21" s="347" t="n"/>
      <c r="DQ21" s="348" t="n"/>
      <c r="DR21" s="162" t="n"/>
      <c r="DS21" s="162" t="n"/>
      <c r="DT21" s="162" t="n"/>
      <c r="DU21" s="162" t="n"/>
      <c r="DV21" s="201" t="n"/>
      <c r="DW21" s="201" t="n"/>
      <c r="DX21" s="163" t="n"/>
      <c r="DY21" s="141" t="n"/>
      <c r="DZ21" s="139" t="n"/>
      <c r="EA21" s="139" t="n"/>
      <c r="EB21" s="139" t="n"/>
      <c r="EC21" s="140" t="n"/>
      <c r="ED21" s="347" t="n"/>
      <c r="EE21" s="147" t="n"/>
      <c r="EF21" s="31" t="n"/>
      <c r="EG21" s="349" t="n"/>
      <c r="EH21" s="349" t="n"/>
      <c r="EI21" s="45" t="n"/>
      <c r="EJ21" s="351" t="n"/>
      <c r="EK21" s="107" t="n"/>
      <c r="EL21" s="139" t="n"/>
      <c r="EM21" s="139" t="n"/>
      <c r="EN21" s="139" t="n"/>
      <c r="EO21" s="140" t="n"/>
      <c r="EP21" s="108" t="n"/>
      <c r="EQ21" s="141" t="n"/>
      <c r="ER21" s="140" t="n"/>
      <c r="ES21" s="140" t="n"/>
      <c r="ET21" s="140" t="n"/>
      <c r="EU21" s="347" t="n"/>
      <c r="EV21" s="348" t="n"/>
      <c r="EW21" s="107" t="n"/>
      <c r="EX21" s="140" t="n"/>
      <c r="EY21" s="140" t="n"/>
      <c r="EZ21" s="107" t="n"/>
      <c r="FA21" s="587" t="n"/>
      <c r="FB21" s="587" t="n"/>
      <c r="FC21" s="141" t="n"/>
      <c r="FD21" s="140" t="n"/>
      <c r="FE21" s="140" t="n"/>
      <c r="FF21" s="140" t="n"/>
      <c r="FG21" s="140" t="n"/>
      <c r="FH21" s="147" t="n"/>
      <c r="FI21" s="74" t="n"/>
      <c r="FJ21" s="75" t="n"/>
      <c r="FK21" s="76" t="n"/>
      <c r="FL21" s="76" t="n"/>
      <c r="FM21" s="91" t="n"/>
      <c r="FN21" s="92" t="n"/>
      <c r="FO21" s="91" t="n"/>
      <c r="FP21" s="74" t="n"/>
      <c r="FQ21" s="92" t="n"/>
      <c r="FR21" s="148" t="n"/>
      <c r="FS21" s="149" t="n"/>
      <c r="FT21" s="150" t="n"/>
      <c r="FU21" s="99" t="n"/>
      <c r="FV21" s="100" t="n"/>
      <c r="FW21" s="100" t="n"/>
      <c r="FX21" s="100" t="n"/>
      <c r="FY21" s="100" t="n"/>
      <c r="FZ21" s="100" t="n"/>
      <c r="GA21" s="100" t="n"/>
      <c r="GB21" s="100" t="n"/>
      <c r="GC21" s="100" t="n"/>
      <c r="GD21" s="100" t="n"/>
      <c r="GE21" s="100" t="n"/>
      <c r="GF21" s="102" t="n"/>
      <c r="GG21" s="15" t="n"/>
      <c r="GH21" s="546" t="n"/>
      <c r="GI21" s="546" t="n"/>
      <c r="GJ21" s="17" t="n"/>
      <c r="GK21" s="15" t="n"/>
      <c r="GL21" s="546" t="n"/>
      <c r="GM21" s="546" t="n"/>
      <c r="GN21" s="17" t="n"/>
      <c r="GO21" s="31" t="n"/>
      <c r="GP21" s="349" t="n"/>
      <c r="GQ21" s="349" t="n"/>
      <c r="GR21" s="45" t="n"/>
      <c r="GS21" s="351" t="n"/>
      <c r="GT21" s="31" t="n"/>
      <c r="GU21" s="45" t="n"/>
      <c r="GV21" s="45" t="n"/>
      <c r="GW21" s="350" t="n"/>
      <c r="GX21" s="351" t="n"/>
      <c r="GY21" s="107" t="n"/>
      <c r="GZ21" s="587" t="n"/>
      <c r="HA21" s="108" t="n"/>
      <c r="HB21" s="15" t="n"/>
      <c r="HC21" s="546" t="n"/>
      <c r="HD21" s="17" t="n"/>
      <c r="HE21" s="15" t="n"/>
      <c r="HF21" s="546" t="n"/>
      <c r="HG21" s="546" t="n"/>
      <c r="HH21" s="17" t="n"/>
      <c r="HI21" s="31" t="n"/>
      <c r="HJ21" s="45" t="n"/>
      <c r="HK21" s="45" t="n"/>
      <c r="HL21" s="45" t="n"/>
      <c r="HM21" s="45" t="n"/>
      <c r="HN21" s="45" t="n"/>
      <c r="HO21" s="45" t="n"/>
      <c r="HP21" s="45" t="n"/>
      <c r="HQ21" s="45" t="n"/>
      <c r="HR21" s="45" t="n"/>
      <c r="HS21" s="45" t="n"/>
      <c r="HT21" s="351" t="n"/>
      <c r="HU21" s="606" t="n"/>
      <c r="HV21" s="65">
        <f>AVERAGE(AX21,AU21,AQ21,AN21,Z21,R21,O21,J21)</f>
        <v/>
      </c>
      <c r="HW21" s="66">
        <f>AVERAGE(BB21,AR21,AH21,AD21,P21,H21,E21)</f>
        <v/>
      </c>
      <c r="HX21" s="66">
        <f>AVERAGE(BC21,AE21)</f>
        <v/>
      </c>
      <c r="HY21" s="66">
        <f>AVERAGE(AW21,AV21,AS21,AL21,AJ21,Q21)</f>
        <v/>
      </c>
      <c r="HZ21" s="66">
        <f>AVERAGE(AT21,AM21,AF21,T21,I21)</f>
        <v/>
      </c>
      <c r="IA21" s="66">
        <f>AVERAGE(AY21,AG21)</f>
        <v/>
      </c>
      <c r="IB21" s="66">
        <f>AVERAGE(AZ21,#REF!)</f>
        <v/>
      </c>
      <c r="IC21" s="66" t="n"/>
      <c r="ID21" s="66">
        <f>AVERAGE(BA21)</f>
        <v/>
      </c>
      <c r="IE21" s="66">
        <f>AVERAGE(AC21)</f>
        <v/>
      </c>
    </row>
    <row r="22" ht="18" customHeight="1" s="590">
      <c r="B22" s="12" t="n">
        <v>16</v>
      </c>
      <c r="C22" s="13" t="inlineStr">
        <is>
          <t>052-24-125113</t>
        </is>
      </c>
      <c r="D22" s="14" t="inlineStr">
        <is>
          <t>Abdul Hameed Satti</t>
        </is>
      </c>
      <c r="E22" s="526" t="n"/>
      <c r="F22" s="526" t="n"/>
      <c r="G22" s="526" t="n"/>
      <c r="H22" s="510" t="n"/>
      <c r="I22" s="526" t="n"/>
      <c r="J22" s="253" t="n"/>
      <c r="K22" s="249" t="n"/>
      <c r="L22" s="249" t="n"/>
      <c r="M22" s="249" t="n"/>
      <c r="N22" s="254" t="n"/>
      <c r="O22" s="524" t="n"/>
      <c r="P22" s="583" t="n"/>
      <c r="Q22" s="524" t="n"/>
      <c r="R22" s="115" t="n"/>
      <c r="S22" s="510" t="n"/>
      <c r="T22" s="117" t="n"/>
      <c r="U22" s="241" t="n"/>
      <c r="V22" s="241" t="n"/>
      <c r="W22" s="241" t="n"/>
      <c r="X22" s="241" t="n"/>
      <c r="Y22" s="241" t="n"/>
      <c r="Z22" s="114" t="n"/>
      <c r="AA22" s="546" t="n"/>
      <c r="AB22" s="115" t="n"/>
      <c r="AC22" s="117" t="n"/>
      <c r="AD22" s="117" t="n"/>
      <c r="AE22" s="114" t="n">
        <v>66.67</v>
      </c>
      <c r="AF22" s="583" t="n">
        <v>9.17</v>
      </c>
      <c r="AG22" s="117" t="n">
        <v>18.33</v>
      </c>
      <c r="AH22" s="115" t="n">
        <v>56.25</v>
      </c>
      <c r="AI22" s="665" t="n"/>
      <c r="AJ22" s="115" t="n">
        <v>63.3333333333333</v>
      </c>
      <c r="AK22" s="665" t="n"/>
      <c r="AL22" s="510" t="n">
        <v>72.22</v>
      </c>
      <c r="AM22" s="510" t="n">
        <v>68.48</v>
      </c>
      <c r="AN22" s="691" t="n">
        <v>72.95999999999999</v>
      </c>
      <c r="AO22" s="683" t="n"/>
      <c r="AP22" s="663" t="n"/>
      <c r="AQ22" s="127" t="n">
        <v>86.67</v>
      </c>
      <c r="AR22" s="128" t="n">
        <v>93.33</v>
      </c>
      <c r="AS22" s="128" t="n">
        <v>55.56</v>
      </c>
      <c r="AT22" s="131" t="n">
        <v>65</v>
      </c>
      <c r="AU22" s="127" t="n">
        <v>65</v>
      </c>
      <c r="AV22" s="128" t="n">
        <v>34.67</v>
      </c>
      <c r="AW22" s="128" t="n">
        <v>35</v>
      </c>
      <c r="AX22" s="128" t="n">
        <v>9.050000000000001</v>
      </c>
      <c r="AY22" s="543" t="n">
        <v>10</v>
      </c>
      <c r="AZ22" s="543" t="n">
        <v>2.86</v>
      </c>
      <c r="BA22" s="131" t="n">
        <v>6.67</v>
      </c>
      <c r="BB22" s="127" t="n">
        <v>83.33</v>
      </c>
      <c r="BC22" s="131" t="n">
        <v>74</v>
      </c>
      <c r="BD22" s="663" t="n"/>
      <c r="BE22" s="131" t="n"/>
      <c r="BF22" s="131" t="n"/>
      <c r="BG22" s="131" t="n"/>
      <c r="BH22" s="114" t="n"/>
      <c r="BI22" s="546" t="n"/>
      <c r="BJ22" s="511" t="n"/>
      <c r="BK22" s="114" t="n"/>
      <c r="BL22" s="546" t="n"/>
      <c r="BM22" s="511" t="n"/>
      <c r="BN22" s="114" t="n"/>
      <c r="BO22" s="546" t="n"/>
      <c r="BP22" s="546" t="n"/>
      <c r="BQ22" s="546" t="n"/>
      <c r="BR22" s="546" t="n"/>
      <c r="BS22" s="546" t="n"/>
      <c r="BT22" s="511" t="n"/>
      <c r="BU22" s="546" t="n"/>
      <c r="BV22" s="546" t="n"/>
      <c r="BW22" s="546" t="n"/>
      <c r="BX22" s="546" t="n"/>
      <c r="BY22" s="546" t="n"/>
      <c r="BZ22" s="546" t="n"/>
      <c r="CA22" s="546" t="n"/>
      <c r="CB22" s="15" t="n"/>
      <c r="CC22" s="546" t="n"/>
      <c r="CD22" s="546" t="n"/>
      <c r="CE22" s="546" t="n"/>
      <c r="CF22" s="546" t="n"/>
      <c r="CG22" s="546" t="n"/>
      <c r="CH22" s="15" t="n"/>
      <c r="CI22" s="546" t="n"/>
      <c r="CJ22" s="546" t="n"/>
      <c r="CK22" s="17" t="n"/>
      <c r="CL22" s="546" t="n"/>
      <c r="CM22" s="546" t="n"/>
      <c r="CN22" s="546" t="n"/>
      <c r="CO22" s="546" t="n"/>
      <c r="CP22" s="583" t="n"/>
      <c r="CQ22" s="15" t="n"/>
      <c r="CR22" s="15" t="n"/>
      <c r="CS22" s="15" t="n"/>
      <c r="CT22" s="15" t="n"/>
      <c r="CU22" s="546" t="n"/>
      <c r="CV22" s="17" t="n"/>
      <c r="CW22" s="74" t="n"/>
      <c r="CX22" s="75" t="n"/>
      <c r="CY22" s="76" t="n"/>
      <c r="CZ22" s="76" t="n"/>
      <c r="DA22" s="91" t="n"/>
      <c r="DB22" s="546" t="n"/>
      <c r="DC22" s="546" t="n"/>
      <c r="DD22" s="546" t="n"/>
      <c r="DE22" s="546" t="n"/>
      <c r="DF22" s="583" t="n"/>
      <c r="DG22" s="141" t="n"/>
      <c r="DH22" s="162" t="n"/>
      <c r="DI22" s="162" t="n"/>
      <c r="DJ22" s="512" t="n"/>
      <c r="DK22" s="491" t="n"/>
      <c r="DL22" s="141" t="n"/>
      <c r="DM22" s="139" t="n"/>
      <c r="DN22" s="139" t="n"/>
      <c r="DO22" s="139" t="n"/>
      <c r="DP22" s="347" t="n"/>
      <c r="DQ22" s="348" t="n"/>
      <c r="DR22" s="162" t="n"/>
      <c r="DS22" s="162" t="n"/>
      <c r="DT22" s="162" t="n"/>
      <c r="DU22" s="162" t="n"/>
      <c r="DV22" s="201" t="n"/>
      <c r="DW22" s="201" t="n"/>
      <c r="DX22" s="163" t="n"/>
      <c r="DY22" s="141" t="n"/>
      <c r="DZ22" s="139" t="n"/>
      <c r="EA22" s="139" t="n"/>
      <c r="EB22" s="139" t="n"/>
      <c r="EC22" s="140" t="n"/>
      <c r="ED22" s="347" t="n"/>
      <c r="EE22" s="147" t="n"/>
      <c r="EF22" s="31" t="n"/>
      <c r="EG22" s="349" t="n"/>
      <c r="EH22" s="349" t="n"/>
      <c r="EI22" s="45" t="n"/>
      <c r="EJ22" s="351" t="n"/>
      <c r="EK22" s="107" t="n"/>
      <c r="EL22" s="139" t="n"/>
      <c r="EM22" s="139" t="n"/>
      <c r="EN22" s="139" t="n"/>
      <c r="EO22" s="140" t="n"/>
      <c r="EP22" s="108" t="n"/>
      <c r="EQ22" s="141" t="n"/>
      <c r="ER22" s="140" t="n"/>
      <c r="ES22" s="140" t="n"/>
      <c r="ET22" s="140" t="n"/>
      <c r="EU22" s="347" t="n"/>
      <c r="EV22" s="348" t="n"/>
      <c r="EW22" s="107" t="n"/>
      <c r="EX22" s="140" t="n"/>
      <c r="EY22" s="140" t="n"/>
      <c r="EZ22" s="107" t="n"/>
      <c r="FA22" s="587" t="n"/>
      <c r="FB22" s="587" t="n"/>
      <c r="FC22" s="141" t="n"/>
      <c r="FD22" s="140" t="n"/>
      <c r="FE22" s="140" t="n"/>
      <c r="FF22" s="140" t="n"/>
      <c r="FG22" s="140" t="n"/>
      <c r="FH22" s="147" t="n"/>
      <c r="FI22" s="74" t="n"/>
      <c r="FJ22" s="75" t="n"/>
      <c r="FK22" s="76" t="n"/>
      <c r="FL22" s="76" t="n"/>
      <c r="FM22" s="91" t="n"/>
      <c r="FN22" s="92" t="n"/>
      <c r="FO22" s="91" t="n"/>
      <c r="FP22" s="74" t="n"/>
      <c r="FQ22" s="92" t="n"/>
      <c r="FR22" s="148" t="n"/>
      <c r="FS22" s="149" t="n"/>
      <c r="FT22" s="150" t="n"/>
      <c r="FU22" s="99" t="n"/>
      <c r="FV22" s="100" t="n"/>
      <c r="FW22" s="100" t="n"/>
      <c r="FX22" s="100" t="n"/>
      <c r="FY22" s="100" t="n"/>
      <c r="FZ22" s="100" t="n"/>
      <c r="GA22" s="100" t="n"/>
      <c r="GB22" s="100" t="n"/>
      <c r="GC22" s="100" t="n"/>
      <c r="GD22" s="100" t="n"/>
      <c r="GE22" s="100" t="n"/>
      <c r="GF22" s="102" t="n"/>
      <c r="GG22" s="15" t="n"/>
      <c r="GH22" s="546" t="n"/>
      <c r="GI22" s="546" t="n"/>
      <c r="GJ22" s="17" t="n"/>
      <c r="GK22" s="15" t="n"/>
      <c r="GL22" s="546" t="n"/>
      <c r="GM22" s="546" t="n"/>
      <c r="GN22" s="17" t="n"/>
      <c r="GO22" s="31" t="n"/>
      <c r="GP22" s="349" t="n"/>
      <c r="GQ22" s="349" t="n"/>
      <c r="GR22" s="45" t="n"/>
      <c r="GS22" s="351" t="n"/>
      <c r="GT22" s="31" t="n"/>
      <c r="GU22" s="45" t="n"/>
      <c r="GV22" s="45" t="n"/>
      <c r="GW22" s="350" t="n"/>
      <c r="GX22" s="351" t="n"/>
      <c r="GY22" s="107" t="n"/>
      <c r="GZ22" s="587" t="n"/>
      <c r="HA22" s="108" t="n"/>
      <c r="HB22" s="15" t="n"/>
      <c r="HC22" s="546" t="n"/>
      <c r="HD22" s="17" t="n"/>
      <c r="HE22" s="15" t="n"/>
      <c r="HF22" s="546" t="n"/>
      <c r="HG22" s="546" t="n"/>
      <c r="HH22" s="17" t="n"/>
      <c r="HI22" s="31" t="n"/>
      <c r="HJ22" s="45" t="n"/>
      <c r="HK22" s="45" t="n"/>
      <c r="HL22" s="45" t="n"/>
      <c r="HM22" s="45" t="n"/>
      <c r="HN22" s="45" t="n"/>
      <c r="HO22" s="45" t="n"/>
      <c r="HP22" s="45" t="n"/>
      <c r="HQ22" s="45" t="n"/>
      <c r="HR22" s="45" t="n"/>
      <c r="HS22" s="45" t="n"/>
      <c r="HT22" s="351" t="n"/>
      <c r="HU22" s="606" t="n"/>
      <c r="HV22" s="65">
        <f>AVERAGE(AX22,AU22,AQ22,AN22,Z22,R22,O22,J22)</f>
        <v/>
      </c>
      <c r="HW22" s="66">
        <f>AVERAGE(BB22,AR22,AH22,AD22,P22,H22,E22)</f>
        <v/>
      </c>
      <c r="HX22" s="66">
        <f>AVERAGE(BC22,AE22)</f>
        <v/>
      </c>
      <c r="HY22" s="66">
        <f>AVERAGE(AW22,AV22,AS22,AL22,AJ22,Q22)</f>
        <v/>
      </c>
      <c r="HZ22" s="66">
        <f>AVERAGE(AT22,AM22,AF22,T22,I22)</f>
        <v/>
      </c>
      <c r="IA22" s="66">
        <f>AVERAGE(AY22,AG22)</f>
        <v/>
      </c>
      <c r="IB22" s="66">
        <f>AVERAGE(AZ22,#REF!)</f>
        <v/>
      </c>
      <c r="IC22" s="66" t="n"/>
      <c r="ID22" s="66">
        <f>AVERAGE(BA22)</f>
        <v/>
      </c>
      <c r="IE22" s="66">
        <f>AVERAGE(AC22)</f>
        <v/>
      </c>
    </row>
    <row r="23" ht="18" customHeight="1" s="590">
      <c r="B23" s="12" t="n">
        <v>17</v>
      </c>
      <c r="C23" s="13" t="inlineStr">
        <is>
          <t>052-24-125357</t>
        </is>
      </c>
      <c r="D23" s="14" t="inlineStr">
        <is>
          <t>Shahbaz Sikander</t>
        </is>
      </c>
      <c r="E23" s="526" t="n"/>
      <c r="F23" s="526" t="n"/>
      <c r="G23" s="526" t="n"/>
      <c r="H23" s="510" t="n"/>
      <c r="I23" s="526" t="n"/>
      <c r="J23" s="253" t="n"/>
      <c r="K23" s="249" t="n"/>
      <c r="L23" s="249" t="n"/>
      <c r="M23" s="249" t="n"/>
      <c r="N23" s="254" t="n"/>
      <c r="O23" s="524" t="n"/>
      <c r="P23" s="583" t="n"/>
      <c r="Q23" s="524" t="n"/>
      <c r="R23" s="115" t="n"/>
      <c r="S23" s="510" t="n"/>
      <c r="T23" s="117" t="n"/>
      <c r="U23" s="241" t="n"/>
      <c r="V23" s="241" t="n"/>
      <c r="W23" s="241" t="n"/>
      <c r="X23" s="241" t="n"/>
      <c r="Y23" s="241" t="n"/>
      <c r="Z23" s="114" t="n"/>
      <c r="AA23" s="546" t="n"/>
      <c r="AB23" s="115" t="n"/>
      <c r="AC23" s="117" t="n"/>
      <c r="AD23" s="117" t="n"/>
      <c r="AE23" s="114" t="n">
        <v>40</v>
      </c>
      <c r="AF23" s="583" t="n">
        <v>62.5</v>
      </c>
      <c r="AG23" s="117" t="n">
        <v>71.67</v>
      </c>
      <c r="AH23" s="115" t="n">
        <v>45</v>
      </c>
      <c r="AI23" s="665" t="n"/>
      <c r="AJ23" s="115" t="n">
        <v>58.3333333333333</v>
      </c>
      <c r="AK23" s="665" t="n"/>
      <c r="AL23" s="510" t="n">
        <v>67.19</v>
      </c>
      <c r="AM23" s="510" t="n">
        <v>69.09</v>
      </c>
      <c r="AN23" s="691" t="n"/>
      <c r="AO23" s="683" t="n"/>
      <c r="AP23" s="663" t="n"/>
      <c r="AQ23" s="127" t="n"/>
      <c r="AR23" s="128" t="n"/>
      <c r="AS23" s="128" t="n"/>
      <c r="AT23" s="131" t="n"/>
      <c r="AU23" s="127" t="n">
        <v>20</v>
      </c>
      <c r="AV23" s="128" t="n">
        <v>0</v>
      </c>
      <c r="AW23" s="128" t="n">
        <v>0</v>
      </c>
      <c r="AX23" s="128" t="n"/>
      <c r="AY23" s="543" t="n"/>
      <c r="AZ23" s="543" t="n"/>
      <c r="BA23" s="131" t="n"/>
      <c r="BB23" s="127" t="n">
        <v>73.33</v>
      </c>
      <c r="BC23" s="131" t="n">
        <v>74.25</v>
      </c>
      <c r="BD23" s="663" t="n"/>
      <c r="BE23" s="131" t="n"/>
      <c r="BF23" s="131" t="n"/>
      <c r="BG23" s="131" t="n"/>
      <c r="BH23" s="114" t="n"/>
      <c r="BI23" s="546" t="n"/>
      <c r="BJ23" s="511" t="n"/>
      <c r="BK23" s="114" t="n"/>
      <c r="BL23" s="546" t="n"/>
      <c r="BM23" s="511" t="n"/>
      <c r="BN23" s="114" t="n"/>
      <c r="BO23" s="546" t="n"/>
      <c r="BP23" s="546" t="n"/>
      <c r="BQ23" s="546" t="n"/>
      <c r="BR23" s="546" t="n"/>
      <c r="BS23" s="546" t="n"/>
      <c r="BT23" s="511" t="n"/>
      <c r="BU23" s="546" t="n"/>
      <c r="BV23" s="546" t="n"/>
      <c r="BW23" s="546" t="n"/>
      <c r="BX23" s="546" t="n"/>
      <c r="BY23" s="546" t="n"/>
      <c r="BZ23" s="546" t="n"/>
      <c r="CA23" s="546" t="n"/>
      <c r="CB23" s="15" t="n"/>
      <c r="CC23" s="546" t="n"/>
      <c r="CD23" s="546" t="n"/>
      <c r="CE23" s="546" t="n"/>
      <c r="CF23" s="546" t="n"/>
      <c r="CG23" s="546" t="n"/>
      <c r="CH23" s="15" t="n"/>
      <c r="CI23" s="546" t="n"/>
      <c r="CJ23" s="546" t="n"/>
      <c r="CK23" s="17" t="n"/>
      <c r="CL23" s="546" t="n"/>
      <c r="CM23" s="546" t="n"/>
      <c r="CN23" s="546" t="n"/>
      <c r="CO23" s="546" t="n"/>
      <c r="CP23" s="583" t="n"/>
      <c r="CQ23" s="15" t="n"/>
      <c r="CR23" s="15" t="n"/>
      <c r="CS23" s="15" t="n"/>
      <c r="CT23" s="15" t="n"/>
      <c r="CU23" s="546" t="n"/>
      <c r="CV23" s="17" t="n"/>
      <c r="CW23" s="74" t="n"/>
      <c r="CX23" s="75" t="n"/>
      <c r="CY23" s="76" t="n"/>
      <c r="CZ23" s="76" t="n"/>
      <c r="DA23" s="91" t="n"/>
      <c r="DB23" s="546" t="n"/>
      <c r="DC23" s="546" t="n"/>
      <c r="DD23" s="546" t="n"/>
      <c r="DE23" s="546" t="n"/>
      <c r="DF23" s="583" t="n"/>
      <c r="DG23" s="141" t="n"/>
      <c r="DH23" s="162" t="n"/>
      <c r="DI23" s="162" t="n"/>
      <c r="DJ23" s="512" t="n"/>
      <c r="DK23" s="665" t="n"/>
      <c r="DL23" s="141" t="n"/>
      <c r="DM23" s="139" t="n"/>
      <c r="DN23" s="139" t="n"/>
      <c r="DO23" s="139" t="n"/>
      <c r="DP23" s="147" t="n"/>
      <c r="DQ23" s="664" t="n"/>
      <c r="DR23" s="162" t="n"/>
      <c r="DS23" s="162" t="n"/>
      <c r="DT23" s="162" t="n"/>
      <c r="DU23" s="162" t="n"/>
      <c r="DV23" s="201" t="n"/>
      <c r="DW23" s="201" t="n"/>
      <c r="DX23" s="163" t="n"/>
      <c r="DY23" s="141" t="n"/>
      <c r="DZ23" s="139" t="n"/>
      <c r="EA23" s="139" t="n"/>
      <c r="EB23" s="139" t="n"/>
      <c r="EC23" s="140" t="n"/>
      <c r="ED23" s="347" t="n"/>
      <c r="EE23" s="147" t="n"/>
      <c r="EF23" s="31" t="n"/>
      <c r="EG23" s="349" t="n"/>
      <c r="EH23" s="665" t="n"/>
      <c r="EI23" s="45" t="n"/>
      <c r="EJ23" s="351" t="n"/>
      <c r="EK23" s="107" t="n"/>
      <c r="EL23" s="139" t="n"/>
      <c r="EM23" s="139" t="n"/>
      <c r="EN23" s="139" t="n"/>
      <c r="EO23" s="140" t="n"/>
      <c r="EP23" s="108" t="n"/>
      <c r="EQ23" s="141" t="n"/>
      <c r="ER23" s="140" t="n"/>
      <c r="ES23" s="140" t="n"/>
      <c r="ET23" s="140" t="n"/>
      <c r="EU23" s="147" t="n"/>
      <c r="EV23" s="664" t="n"/>
      <c r="EW23" s="107" t="n"/>
      <c r="EX23" s="140" t="n"/>
      <c r="EY23" s="140" t="n"/>
      <c r="EZ23" s="107" t="n"/>
      <c r="FA23" s="587" t="n"/>
      <c r="FB23" s="587" t="n"/>
      <c r="FC23" s="141" t="n"/>
      <c r="FD23" s="140" t="n"/>
      <c r="FE23" s="140" t="n"/>
      <c r="FF23" s="140" t="n"/>
      <c r="FG23" s="140" t="n"/>
      <c r="FH23" s="147" t="n"/>
      <c r="FI23" s="74" t="n"/>
      <c r="FJ23" s="75" t="n"/>
      <c r="FK23" s="76" t="n"/>
      <c r="FL23" s="76" t="n"/>
      <c r="FM23" s="91" t="n"/>
      <c r="FN23" s="92" t="n"/>
      <c r="FO23" s="91" t="n"/>
      <c r="FP23" s="74" t="n"/>
      <c r="FQ23" s="92" t="n"/>
      <c r="FR23" s="148" t="n"/>
      <c r="FS23" s="149" t="n"/>
      <c r="FT23" s="150" t="n"/>
      <c r="FU23" s="99" t="n"/>
      <c r="FV23" s="100" t="n"/>
      <c r="FW23" s="100" t="n"/>
      <c r="FX23" s="100" t="n"/>
      <c r="FY23" s="100" t="n"/>
      <c r="FZ23" s="100" t="n"/>
      <c r="GA23" s="100" t="n"/>
      <c r="GB23" s="100" t="n"/>
      <c r="GC23" s="100" t="n"/>
      <c r="GD23" s="100" t="n"/>
      <c r="GE23" s="100" t="n"/>
      <c r="GF23" s="102" t="n"/>
      <c r="GG23" s="15" t="n"/>
      <c r="GH23" s="546" t="n"/>
      <c r="GI23" s="546" t="n"/>
      <c r="GJ23" s="17" t="n"/>
      <c r="GK23" s="15" t="n"/>
      <c r="GL23" s="546" t="n"/>
      <c r="GM23" s="546" t="n"/>
      <c r="GN23" s="17" t="n"/>
      <c r="GO23" s="31" t="n"/>
      <c r="GP23" s="349" t="n"/>
      <c r="GQ23" s="665" t="n"/>
      <c r="GR23" s="45" t="n"/>
      <c r="GS23" s="351" t="n"/>
      <c r="GT23" s="31" t="n"/>
      <c r="GU23" s="45" t="n"/>
      <c r="GV23" s="45" t="n"/>
      <c r="GW23" s="351" t="n"/>
      <c r="GX23" s="663" t="n"/>
      <c r="GY23" s="107" t="n"/>
      <c r="GZ23" s="587" t="n"/>
      <c r="HA23" s="108" t="n"/>
      <c r="HB23" s="15" t="n"/>
      <c r="HC23" s="546" t="n"/>
      <c r="HD23" s="17" t="n"/>
      <c r="HE23" s="15" t="n"/>
      <c r="HF23" s="546" t="n"/>
      <c r="HG23" s="546" t="n"/>
      <c r="HH23" s="17" t="n"/>
      <c r="HI23" s="31" t="n"/>
      <c r="HJ23" s="45" t="n"/>
      <c r="HK23" s="45" t="n"/>
      <c r="HL23" s="45" t="n"/>
      <c r="HM23" s="45" t="n"/>
      <c r="HN23" s="45" t="n"/>
      <c r="HO23" s="45" t="n"/>
      <c r="HP23" s="45" t="n"/>
      <c r="HQ23" s="45" t="n"/>
      <c r="HR23" s="45" t="n"/>
      <c r="HS23" s="45" t="n"/>
      <c r="HT23" s="351" t="n"/>
      <c r="HU23" s="606" t="n"/>
      <c r="HV23" s="65">
        <f>AVERAGE(AX23,AU23,AQ23,AN23,Z23,R23,O23,J23)</f>
        <v/>
      </c>
      <c r="HW23" s="66">
        <f>AVERAGE(BB23,AR23,AH23,AD23,P23,H23,E23)</f>
        <v/>
      </c>
      <c r="HX23" s="66">
        <f>AVERAGE(BC23,AE23)</f>
        <v/>
      </c>
      <c r="HY23" s="66">
        <f>AVERAGE(AW23,AV23,AS23,AL23,AJ23,Q23)</f>
        <v/>
      </c>
      <c r="HZ23" s="66">
        <f>AVERAGE(AT23,AM23,AF23,T23,I23)</f>
        <v/>
      </c>
      <c r="IA23" s="66">
        <f>AVERAGE(AY23,AG23)</f>
        <v/>
      </c>
      <c r="IB23" s="66" t="n"/>
      <c r="IC23" s="66" t="n"/>
      <c r="ID23" s="66" t="n"/>
      <c r="IE23" s="66">
        <f>AVERAGE(AC23)</f>
        <v/>
      </c>
    </row>
    <row r="24" ht="18" customHeight="1" s="590">
      <c r="B24" s="12" t="n">
        <v>18</v>
      </c>
      <c r="C24" s="13" t="inlineStr">
        <is>
          <t>052-24-125231</t>
        </is>
      </c>
      <c r="D24" s="14" t="inlineStr">
        <is>
          <t>Raja Fakhir Ayoub Khan</t>
        </is>
      </c>
      <c r="E24" s="526" t="n">
        <v>58</v>
      </c>
      <c r="F24" s="526" t="n">
        <v>67.5</v>
      </c>
      <c r="G24" s="526" t="n">
        <v>70</v>
      </c>
      <c r="H24" s="510" t="n"/>
      <c r="I24" s="526" t="n"/>
      <c r="J24" s="253" t="n">
        <v>64.69</v>
      </c>
      <c r="K24" s="249" t="n">
        <v>64</v>
      </c>
      <c r="L24" s="249" t="n">
        <v>70</v>
      </c>
      <c r="M24" s="249" t="n">
        <v>68.18000000000001</v>
      </c>
      <c r="N24" s="254" t="n">
        <v>60</v>
      </c>
      <c r="O24" s="524" t="n">
        <v>57.5</v>
      </c>
      <c r="P24" s="524" t="n">
        <v>56.67</v>
      </c>
      <c r="Q24" s="524" t="n">
        <v>73.5</v>
      </c>
      <c r="R24" s="115" t="n">
        <v>41.85</v>
      </c>
      <c r="S24" s="510" t="n">
        <v>52.96</v>
      </c>
      <c r="T24" s="117" t="n">
        <v>40</v>
      </c>
      <c r="U24" s="241" t="n">
        <v>73.33</v>
      </c>
      <c r="V24" s="241" t="n">
        <v>82.5</v>
      </c>
      <c r="W24" s="241" t="n">
        <v>77.62</v>
      </c>
      <c r="X24" s="241" t="n">
        <v>95.45</v>
      </c>
      <c r="Y24" s="241" t="n">
        <v>91.81999999999999</v>
      </c>
      <c r="Z24" s="114" t="n">
        <v>74.81</v>
      </c>
      <c r="AA24" s="546" t="n">
        <v>68.5</v>
      </c>
      <c r="AB24" s="115" t="n">
        <v>64.17</v>
      </c>
      <c r="AC24" s="117" t="n"/>
      <c r="AD24" s="117" t="n"/>
      <c r="AE24" s="114" t="n">
        <v>46.67</v>
      </c>
      <c r="AF24" s="583" t="n">
        <v>70</v>
      </c>
      <c r="AG24" s="117" t="n">
        <v>78.33</v>
      </c>
      <c r="AH24" s="115" t="n">
        <v>65.8333333333333</v>
      </c>
      <c r="AI24" s="665" t="n"/>
      <c r="AJ24" s="115" t="n">
        <v>73.3333333333333</v>
      </c>
      <c r="AK24" s="665" t="n"/>
      <c r="AL24" s="510" t="n">
        <v>71.39</v>
      </c>
      <c r="AM24" s="510" t="n">
        <v>70.3</v>
      </c>
      <c r="AN24" s="691" t="n">
        <v>78.15000000000001</v>
      </c>
      <c r="AO24" s="683" t="n"/>
      <c r="AP24" s="663" t="n"/>
      <c r="AQ24" s="127" t="n">
        <v>76.67</v>
      </c>
      <c r="AR24" s="128" t="n">
        <v>76.67</v>
      </c>
      <c r="AS24" s="128" t="n">
        <v>50</v>
      </c>
      <c r="AT24" s="131" t="n">
        <v>61.67</v>
      </c>
      <c r="AU24" s="127" t="n">
        <v>58.33</v>
      </c>
      <c r="AV24" s="128" t="n">
        <v>55</v>
      </c>
      <c r="AW24" s="128" t="n">
        <v>86</v>
      </c>
      <c r="AX24" s="128" t="n">
        <v>19.047619047619</v>
      </c>
      <c r="AY24" s="543" t="n">
        <v>33.3333333333333</v>
      </c>
      <c r="AZ24" s="543" t="n">
        <v>28.5714285714286</v>
      </c>
      <c r="BA24" s="131" t="n">
        <v>30</v>
      </c>
      <c r="BB24" s="127" t="n">
        <v>72.5</v>
      </c>
      <c r="BC24" s="131" t="n">
        <v>71</v>
      </c>
      <c r="BD24" s="663" t="n"/>
      <c r="BE24" s="131" t="n"/>
      <c r="BF24" s="131" t="n"/>
      <c r="BG24" s="131" t="n"/>
      <c r="BH24" s="114" t="n"/>
      <c r="BI24" s="546" t="n"/>
      <c r="BJ24" s="511" t="n"/>
      <c r="BK24" s="114" t="n"/>
      <c r="BL24" s="546" t="n"/>
      <c r="BM24" s="511" t="n"/>
      <c r="BN24" s="114" t="n"/>
      <c r="BO24" s="546" t="n"/>
      <c r="BP24" s="546" t="n"/>
      <c r="BQ24" s="546" t="n"/>
      <c r="BR24" s="546" t="n"/>
      <c r="BS24" s="546" t="n"/>
      <c r="BT24" s="511" t="n"/>
      <c r="BU24" s="546" t="n"/>
      <c r="BV24" s="546" t="n"/>
      <c r="BW24" s="546" t="n"/>
      <c r="BX24" s="546" t="n"/>
      <c r="BY24" s="546" t="n"/>
      <c r="BZ24" s="546" t="n"/>
      <c r="CA24" s="546" t="n"/>
      <c r="CB24" s="15" t="n"/>
      <c r="CC24" s="546" t="n"/>
      <c r="CD24" s="546" t="n"/>
      <c r="CE24" s="546" t="n"/>
      <c r="CF24" s="546" t="n"/>
      <c r="CG24" s="546" t="n"/>
      <c r="CH24" s="15" t="n"/>
      <c r="CI24" s="546" t="n"/>
      <c r="CJ24" s="546" t="n"/>
      <c r="CK24" s="17" t="n"/>
      <c r="CL24" s="546" t="n"/>
      <c r="CM24" s="546" t="n"/>
      <c r="CN24" s="546" t="n"/>
      <c r="CO24" s="546" t="n"/>
      <c r="CP24" s="583" t="n"/>
      <c r="CQ24" s="15" t="n"/>
      <c r="CR24" s="15" t="n"/>
      <c r="CS24" s="15" t="n"/>
      <c r="CT24" s="15" t="n"/>
      <c r="CU24" s="546" t="n"/>
      <c r="CV24" s="17" t="n"/>
      <c r="CW24" s="74" t="n"/>
      <c r="CX24" s="75" t="n"/>
      <c r="CY24" s="76" t="n"/>
      <c r="CZ24" s="76" t="n"/>
      <c r="DA24" s="91" t="n"/>
      <c r="DB24" s="546" t="n"/>
      <c r="DC24" s="546" t="n"/>
      <c r="DD24" s="546" t="n"/>
      <c r="DE24" s="546" t="n"/>
      <c r="DF24" s="583" t="n"/>
      <c r="DG24" s="141" t="n"/>
      <c r="DH24" s="162" t="n"/>
      <c r="DI24" s="162" t="n"/>
      <c r="DJ24" s="512" t="n"/>
      <c r="DK24" s="665" t="n"/>
      <c r="DL24" s="141" t="n"/>
      <c r="DM24" s="139" t="n"/>
      <c r="DN24" s="139" t="n"/>
      <c r="DO24" s="139" t="n"/>
      <c r="DP24" s="147" t="n"/>
      <c r="DQ24" s="664" t="n"/>
      <c r="DR24" s="162" t="n"/>
      <c r="DS24" s="162" t="n"/>
      <c r="DT24" s="162" t="n"/>
      <c r="DU24" s="162" t="n"/>
      <c r="DV24" s="201" t="n"/>
      <c r="DW24" s="201" t="n"/>
      <c r="DX24" s="163" t="n"/>
      <c r="DY24" s="141" t="n"/>
      <c r="DZ24" s="139" t="n"/>
      <c r="EA24" s="139" t="n"/>
      <c r="EB24" s="139" t="n"/>
      <c r="EC24" s="140" t="n"/>
      <c r="ED24" s="347" t="n"/>
      <c r="EE24" s="147" t="n"/>
      <c r="EF24" s="31" t="n"/>
      <c r="EG24" s="349" t="n"/>
      <c r="EH24" s="665" t="n"/>
      <c r="EI24" s="45" t="n"/>
      <c r="EJ24" s="351" t="n"/>
      <c r="EK24" s="107" t="n"/>
      <c r="EL24" s="139" t="n"/>
      <c r="EM24" s="139" t="n"/>
      <c r="EN24" s="139" t="n"/>
      <c r="EO24" s="140" t="n"/>
      <c r="EP24" s="108" t="n"/>
      <c r="EQ24" s="141" t="n"/>
      <c r="ER24" s="140" t="n"/>
      <c r="ES24" s="140" t="n"/>
      <c r="ET24" s="140" t="n"/>
      <c r="EU24" s="147" t="n"/>
      <c r="EV24" s="664" t="n"/>
      <c r="EW24" s="107" t="n"/>
      <c r="EX24" s="140" t="n"/>
      <c r="EY24" s="140" t="n"/>
      <c r="EZ24" s="107" t="n"/>
      <c r="FA24" s="587" t="n"/>
      <c r="FB24" s="587" t="n"/>
      <c r="FC24" s="141" t="n"/>
      <c r="FD24" s="140" t="n"/>
      <c r="FE24" s="140" t="n"/>
      <c r="FF24" s="140" t="n"/>
      <c r="FG24" s="140" t="n"/>
      <c r="FH24" s="147" t="n"/>
      <c r="FI24" s="74" t="n"/>
      <c r="FJ24" s="75" t="n"/>
      <c r="FK24" s="76" t="n"/>
      <c r="FL24" s="76" t="n"/>
      <c r="FM24" s="91" t="n"/>
      <c r="FN24" s="92" t="n"/>
      <c r="FO24" s="91" t="n"/>
      <c r="FP24" s="74" t="n"/>
      <c r="FQ24" s="92" t="n"/>
      <c r="FR24" s="148" t="n"/>
      <c r="FS24" s="149" t="n"/>
      <c r="FT24" s="150" t="n"/>
      <c r="FU24" s="99" t="n"/>
      <c r="FV24" s="100" t="n"/>
      <c r="FW24" s="100" t="n"/>
      <c r="FX24" s="100" t="n"/>
      <c r="FY24" s="100" t="n"/>
      <c r="FZ24" s="100" t="n"/>
      <c r="GA24" s="100" t="n"/>
      <c r="GB24" s="100" t="n"/>
      <c r="GC24" s="100" t="n"/>
      <c r="GD24" s="100" t="n"/>
      <c r="GE24" s="100" t="n"/>
      <c r="GF24" s="102" t="n"/>
      <c r="GG24" s="15" t="n"/>
      <c r="GH24" s="546" t="n"/>
      <c r="GI24" s="546" t="n"/>
      <c r="GJ24" s="17" t="n"/>
      <c r="GK24" s="15" t="n"/>
      <c r="GL24" s="546" t="n"/>
      <c r="GM24" s="546" t="n"/>
      <c r="GN24" s="17" t="n"/>
      <c r="GO24" s="31" t="n"/>
      <c r="GP24" s="349" t="n"/>
      <c r="GQ24" s="665" t="n"/>
      <c r="GR24" s="45" t="n"/>
      <c r="GS24" s="351" t="n"/>
      <c r="GT24" s="31" t="n"/>
      <c r="GU24" s="45" t="n"/>
      <c r="GV24" s="45" t="n"/>
      <c r="GW24" s="351" t="n"/>
      <c r="GX24" s="663" t="n"/>
      <c r="GY24" s="107" t="n"/>
      <c r="GZ24" s="587" t="n"/>
      <c r="HA24" s="108" t="n"/>
      <c r="HB24" s="15" t="n"/>
      <c r="HC24" s="546" t="n"/>
      <c r="HD24" s="17" t="n"/>
      <c r="HE24" s="15" t="n"/>
      <c r="HF24" s="546" t="n"/>
      <c r="HG24" s="546" t="n"/>
      <c r="HH24" s="17" t="n"/>
      <c r="HI24" s="31" t="n"/>
      <c r="HJ24" s="45" t="n"/>
      <c r="HK24" s="45" t="n"/>
      <c r="HL24" s="45" t="n"/>
      <c r="HM24" s="45" t="n"/>
      <c r="HN24" s="45" t="n"/>
      <c r="HO24" s="45" t="n"/>
      <c r="HP24" s="45" t="n"/>
      <c r="HQ24" s="45" t="n"/>
      <c r="HR24" s="45" t="n"/>
      <c r="HS24" s="45" t="n"/>
      <c r="HT24" s="351" t="n"/>
      <c r="HU24" s="606" t="n"/>
      <c r="HV24" s="65">
        <f>AVERAGE(AX24,AU24,AQ24,AN24,Z24,R24,O24,J24)</f>
        <v/>
      </c>
      <c r="HW24" s="66">
        <f>AVERAGE(BB24,AR24,AH24,AD24,P24,H24,E24)</f>
        <v/>
      </c>
      <c r="HX24" s="66">
        <f>AVERAGE(BC24,AE24)</f>
        <v/>
      </c>
      <c r="HY24" s="66">
        <f>AVERAGE(AW24,AV24,AS24,AL24,AJ24,Q24)</f>
        <v/>
      </c>
      <c r="HZ24" s="66">
        <f>AVERAGE(AT24,AM24,AF24,T24,I24)</f>
        <v/>
      </c>
      <c r="IA24" s="66">
        <f>AVERAGE(AY24,AG24)</f>
        <v/>
      </c>
      <c r="IB24" s="66">
        <f>AVERAGE(AZ24,#REF!)</f>
        <v/>
      </c>
      <c r="IC24" s="66" t="n"/>
      <c r="ID24" s="66">
        <f>AVERAGE(BA24)</f>
        <v/>
      </c>
      <c r="IE24" s="66">
        <f>AVERAGE(AC24)</f>
        <v/>
      </c>
    </row>
    <row r="25" ht="18" customHeight="1" s="590">
      <c r="B25" s="12" t="n">
        <v>19</v>
      </c>
      <c r="C25" s="13" t="inlineStr">
        <is>
          <t>052-24-125411</t>
        </is>
      </c>
      <c r="D25" s="14" t="inlineStr">
        <is>
          <t>Mahnoor Safdar</t>
        </is>
      </c>
      <c r="E25" s="526" t="n">
        <v>86</v>
      </c>
      <c r="F25" s="526" t="n">
        <v>83.33</v>
      </c>
      <c r="G25" s="526" t="n">
        <v>90</v>
      </c>
      <c r="H25" s="526" t="n">
        <v>80.16</v>
      </c>
      <c r="I25" s="526" t="n">
        <v>70.53</v>
      </c>
      <c r="J25" s="253" t="n">
        <v>81.25</v>
      </c>
      <c r="K25" s="249" t="n">
        <v>84.67</v>
      </c>
      <c r="L25" s="249" t="n">
        <v>85.56</v>
      </c>
      <c r="M25" s="249" t="n">
        <v>81.20999999999999</v>
      </c>
      <c r="N25" s="254" t="n">
        <v>87.5</v>
      </c>
      <c r="O25" s="524" t="n">
        <v>65.83</v>
      </c>
      <c r="P25" s="524" t="n">
        <v>83.33</v>
      </c>
      <c r="Q25" s="524" t="n">
        <v>78</v>
      </c>
      <c r="R25" s="115" t="n">
        <v>65.19</v>
      </c>
      <c r="S25" s="510" t="n">
        <v>71.84999999999999</v>
      </c>
      <c r="T25" s="117" t="n">
        <v>88</v>
      </c>
      <c r="U25" s="241" t="n">
        <v>36.67</v>
      </c>
      <c r="V25" s="241" t="n">
        <v>65</v>
      </c>
      <c r="W25" s="241" t="n">
        <v>60.71</v>
      </c>
      <c r="X25" s="241" t="n">
        <v>89.7</v>
      </c>
      <c r="Y25" s="241" t="n">
        <v>89.09</v>
      </c>
      <c r="Z25" s="114" t="n">
        <v>78.52</v>
      </c>
      <c r="AA25" s="546" t="n">
        <v>77</v>
      </c>
      <c r="AB25" s="115" t="n">
        <v>77.92</v>
      </c>
      <c r="AC25" s="117" t="n"/>
      <c r="AD25" s="117" t="n"/>
      <c r="AE25" s="114" t="n">
        <v>60</v>
      </c>
      <c r="AF25" s="583" t="n">
        <v>85</v>
      </c>
      <c r="AG25" s="117" t="n">
        <v>93.33</v>
      </c>
      <c r="AH25" s="115" t="n">
        <v>93.75</v>
      </c>
      <c r="AI25" s="665" t="n"/>
      <c r="AJ25" s="115" t="n">
        <v>85</v>
      </c>
      <c r="AK25" s="665" t="n"/>
      <c r="AL25" s="510" t="n">
        <v>92.78</v>
      </c>
      <c r="AM25" s="510" t="n">
        <v>90.61</v>
      </c>
      <c r="AN25" s="691" t="n">
        <v>83.7</v>
      </c>
      <c r="AO25" s="683" t="n"/>
      <c r="AP25" s="663" t="n"/>
      <c r="AQ25" s="127" t="n">
        <v>93.33</v>
      </c>
      <c r="AR25" s="128" t="n">
        <v>90</v>
      </c>
      <c r="AS25" s="128" t="n">
        <v>83.33</v>
      </c>
      <c r="AT25" s="131" t="n">
        <v>73.33</v>
      </c>
      <c r="AU25" s="127" t="n">
        <v>71.67</v>
      </c>
      <c r="AV25" s="128" t="n">
        <v>82.67</v>
      </c>
      <c r="AW25" s="128" t="n">
        <v>95</v>
      </c>
      <c r="AX25" s="128" t="n">
        <v>58.5714285714286</v>
      </c>
      <c r="AY25" s="543" t="n">
        <v>86.6666666666667</v>
      </c>
      <c r="AZ25" s="543" t="n">
        <v>90</v>
      </c>
      <c r="BA25" s="131" t="n">
        <v>75</v>
      </c>
      <c r="BB25" s="127" t="n">
        <v>90</v>
      </c>
      <c r="BC25" s="131" t="n">
        <v>91</v>
      </c>
      <c r="BD25" s="663" t="n"/>
      <c r="BE25" s="131" t="n"/>
      <c r="BF25" s="131" t="n"/>
      <c r="BG25" s="131" t="n"/>
      <c r="BH25" s="114" t="n"/>
      <c r="BI25" s="546" t="n"/>
      <c r="BJ25" s="511" t="n"/>
      <c r="BK25" s="114" t="n"/>
      <c r="BL25" s="546" t="n"/>
      <c r="BM25" s="511" t="n"/>
      <c r="BN25" s="114" t="n"/>
      <c r="BO25" s="546" t="n"/>
      <c r="BP25" s="546" t="n"/>
      <c r="BQ25" s="546" t="n"/>
      <c r="BR25" s="546" t="n"/>
      <c r="BS25" s="546" t="n"/>
      <c r="BT25" s="511" t="n"/>
      <c r="BU25" s="546" t="n"/>
      <c r="BV25" s="546" t="n"/>
      <c r="BW25" s="546" t="n"/>
      <c r="BX25" s="546" t="n"/>
      <c r="BY25" s="546" t="n"/>
      <c r="BZ25" s="546" t="n"/>
      <c r="CA25" s="546" t="n"/>
      <c r="CB25" s="15" t="n"/>
      <c r="CC25" s="546" t="n"/>
      <c r="CD25" s="546" t="n"/>
      <c r="CE25" s="546" t="n"/>
      <c r="CF25" s="546" t="n"/>
      <c r="CG25" s="546" t="n"/>
      <c r="CH25" s="15" t="n"/>
      <c r="CI25" s="546" t="n"/>
      <c r="CJ25" s="546" t="n"/>
      <c r="CK25" s="17" t="n"/>
      <c r="CL25" s="546" t="n"/>
      <c r="CM25" s="546" t="n"/>
      <c r="CN25" s="546" t="n"/>
      <c r="CO25" s="546" t="n"/>
      <c r="CP25" s="583" t="n"/>
      <c r="CQ25" s="15" t="n"/>
      <c r="CR25" s="15" t="n"/>
      <c r="CS25" s="15" t="n"/>
      <c r="CT25" s="15" t="n"/>
      <c r="CU25" s="546" t="n"/>
      <c r="CV25" s="17" t="n"/>
      <c r="CW25" s="74" t="n"/>
      <c r="CX25" s="75" t="n"/>
      <c r="CY25" s="76" t="n"/>
      <c r="CZ25" s="76" t="n"/>
      <c r="DA25" s="91" t="n"/>
      <c r="DB25" s="546" t="n"/>
      <c r="DC25" s="546" t="n"/>
      <c r="DD25" s="546" t="n"/>
      <c r="DE25" s="546" t="n"/>
      <c r="DF25" s="583" t="n"/>
      <c r="DG25" s="141" t="n"/>
      <c r="DH25" s="162" t="n"/>
      <c r="DI25" s="162" t="n"/>
      <c r="DJ25" s="512" t="n"/>
      <c r="DK25" s="665" t="n"/>
      <c r="DL25" s="141" t="n"/>
      <c r="DM25" s="139" t="n"/>
      <c r="DN25" s="139" t="n"/>
      <c r="DO25" s="139" t="n"/>
      <c r="DP25" s="147" t="n"/>
      <c r="DQ25" s="664" t="n"/>
      <c r="DR25" s="162" t="n"/>
      <c r="DS25" s="162" t="n"/>
      <c r="DT25" s="162" t="n"/>
      <c r="DU25" s="162" t="n"/>
      <c r="DV25" s="201" t="n"/>
      <c r="DW25" s="201" t="n"/>
      <c r="DX25" s="163" t="n"/>
      <c r="DY25" s="141" t="n"/>
      <c r="DZ25" s="139" t="n"/>
      <c r="EA25" s="139" t="n"/>
      <c r="EB25" s="139" t="n"/>
      <c r="EC25" s="140" t="n"/>
      <c r="ED25" s="347" t="n"/>
      <c r="EE25" s="147" t="n"/>
      <c r="EF25" s="31" t="n"/>
      <c r="EG25" s="349" t="n"/>
      <c r="EH25" s="665" t="n"/>
      <c r="EI25" s="45" t="n"/>
      <c r="EJ25" s="351" t="n"/>
      <c r="EK25" s="107" t="n"/>
      <c r="EL25" s="139" t="n"/>
      <c r="EM25" s="139" t="n"/>
      <c r="EN25" s="139" t="n"/>
      <c r="EO25" s="140" t="n"/>
      <c r="EP25" s="108" t="n"/>
      <c r="EQ25" s="141" t="n"/>
      <c r="ER25" s="140" t="n"/>
      <c r="ES25" s="140" t="n"/>
      <c r="ET25" s="140" t="n"/>
      <c r="EU25" s="147" t="n"/>
      <c r="EV25" s="664" t="n"/>
      <c r="EW25" s="107" t="n"/>
      <c r="EX25" s="140" t="n"/>
      <c r="EY25" s="140" t="n"/>
      <c r="EZ25" s="107" t="n"/>
      <c r="FA25" s="587" t="n"/>
      <c r="FB25" s="587" t="n"/>
      <c r="FC25" s="141" t="n"/>
      <c r="FD25" s="140" t="n"/>
      <c r="FE25" s="140" t="n"/>
      <c r="FF25" s="140" t="n"/>
      <c r="FG25" s="140" t="n"/>
      <c r="FH25" s="147" t="n"/>
      <c r="FI25" s="74" t="n"/>
      <c r="FJ25" s="75" t="n"/>
      <c r="FK25" s="76" t="n"/>
      <c r="FL25" s="76" t="n"/>
      <c r="FM25" s="91" t="n"/>
      <c r="FN25" s="92" t="n"/>
      <c r="FO25" s="91" t="n"/>
      <c r="FP25" s="74" t="n"/>
      <c r="FQ25" s="92" t="n"/>
      <c r="FR25" s="148" t="n"/>
      <c r="FS25" s="149" t="n"/>
      <c r="FT25" s="150" t="n"/>
      <c r="FU25" s="99" t="n"/>
      <c r="FV25" s="100" t="n"/>
      <c r="FW25" s="100" t="n"/>
      <c r="FX25" s="100" t="n"/>
      <c r="FY25" s="100" t="n"/>
      <c r="FZ25" s="100" t="n"/>
      <c r="GA25" s="100" t="n"/>
      <c r="GB25" s="100" t="n"/>
      <c r="GC25" s="100" t="n"/>
      <c r="GD25" s="100" t="n"/>
      <c r="GE25" s="100" t="n"/>
      <c r="GF25" s="102" t="n"/>
      <c r="GG25" s="15" t="n"/>
      <c r="GH25" s="546" t="n"/>
      <c r="GI25" s="546" t="n"/>
      <c r="GJ25" s="17" t="n"/>
      <c r="GK25" s="15" t="n"/>
      <c r="GL25" s="546" t="n"/>
      <c r="GM25" s="546" t="n"/>
      <c r="GN25" s="17" t="n"/>
      <c r="GO25" s="31" t="n"/>
      <c r="GP25" s="349" t="n"/>
      <c r="GQ25" s="665" t="n"/>
      <c r="GR25" s="45" t="n"/>
      <c r="GS25" s="351" t="n"/>
      <c r="GT25" s="31" t="n"/>
      <c r="GU25" s="45" t="n"/>
      <c r="GV25" s="45" t="n"/>
      <c r="GW25" s="351" t="n"/>
      <c r="GX25" s="663" t="n"/>
      <c r="GY25" s="107" t="n"/>
      <c r="GZ25" s="587" t="n"/>
      <c r="HA25" s="108" t="n"/>
      <c r="HB25" s="15" t="n"/>
      <c r="HC25" s="546" t="n"/>
      <c r="HD25" s="17" t="n"/>
      <c r="HE25" s="15" t="n"/>
      <c r="HF25" s="546" t="n"/>
      <c r="HG25" s="546" t="n"/>
      <c r="HH25" s="17" t="n"/>
      <c r="HI25" s="31" t="n"/>
      <c r="HJ25" s="45" t="n"/>
      <c r="HK25" s="45" t="n"/>
      <c r="HL25" s="45" t="n"/>
      <c r="HM25" s="45" t="n"/>
      <c r="HN25" s="45" t="n"/>
      <c r="HO25" s="45" t="n"/>
      <c r="HP25" s="45" t="n"/>
      <c r="HQ25" s="45" t="n"/>
      <c r="HR25" s="45" t="n"/>
      <c r="HS25" s="45" t="n"/>
      <c r="HT25" s="351" t="n"/>
      <c r="HU25" s="606" t="n"/>
      <c r="HV25" s="65">
        <f>AVERAGE(AX25,AU25,AQ25,AN25,Z25,R25,O25,J25)</f>
        <v/>
      </c>
      <c r="HW25" s="66">
        <f>AVERAGE(BB25,AR25,AH25,AD25,P25,H25,E25)</f>
        <v/>
      </c>
      <c r="HX25" s="66">
        <f>AVERAGE(BC25,AE25)</f>
        <v/>
      </c>
      <c r="HY25" s="66">
        <f>AVERAGE(AW25,AV25,AS25,AL25,AJ25,Q25)</f>
        <v/>
      </c>
      <c r="HZ25" s="66">
        <f>AVERAGE(AT25,AM25,AF25,T25,I25)</f>
        <v/>
      </c>
      <c r="IA25" s="66">
        <f>AVERAGE(AY25,AG25)</f>
        <v/>
      </c>
      <c r="IB25" s="66">
        <f>AVERAGE(AZ25,#REF!)</f>
        <v/>
      </c>
      <c r="IC25" s="66" t="n"/>
      <c r="ID25" s="66">
        <f>AVERAGE(BA25)</f>
        <v/>
      </c>
      <c r="IE25" s="66">
        <f>AVERAGE(AC25)</f>
        <v/>
      </c>
    </row>
    <row r="26" ht="18" customHeight="1" s="590">
      <c r="B26" s="12" t="n">
        <v>20</v>
      </c>
      <c r="C26" s="13" t="inlineStr">
        <is>
          <t>052-24-125098</t>
        </is>
      </c>
      <c r="D26" s="14" t="inlineStr">
        <is>
          <t>Muhammad Ahmad Mujtaba</t>
        </is>
      </c>
      <c r="E26" s="526" t="n">
        <v>74</v>
      </c>
      <c r="F26" s="526" t="n">
        <v>66.67</v>
      </c>
      <c r="G26" s="526" t="n">
        <v>74.17</v>
      </c>
      <c r="H26" s="526" t="n">
        <v>60</v>
      </c>
      <c r="I26" s="526" t="n">
        <v>63.07</v>
      </c>
      <c r="J26" s="253" t="n">
        <v>76.25</v>
      </c>
      <c r="K26" s="249" t="n">
        <v>60</v>
      </c>
      <c r="L26" s="249" t="n">
        <v>73.33</v>
      </c>
      <c r="M26" s="249" t="n">
        <v>75.61</v>
      </c>
      <c r="N26" s="254" t="n">
        <v>80.83</v>
      </c>
      <c r="O26" s="524" t="n">
        <v>60</v>
      </c>
      <c r="P26" s="524" t="n">
        <v>50.42</v>
      </c>
      <c r="Q26" s="524" t="n">
        <v>78</v>
      </c>
      <c r="R26" s="115" t="n">
        <v>65.73999999999999</v>
      </c>
      <c r="S26" s="510" t="n">
        <v>78.52</v>
      </c>
      <c r="T26" s="117" t="n">
        <v>88</v>
      </c>
      <c r="U26" s="241" t="n">
        <v>90</v>
      </c>
      <c r="V26" s="241" t="n">
        <v>95</v>
      </c>
      <c r="W26" s="241" t="n">
        <v>71.43000000000001</v>
      </c>
      <c r="X26" s="241" t="n">
        <v>95.45</v>
      </c>
      <c r="Y26" s="241" t="n">
        <v>95.27</v>
      </c>
      <c r="Z26" s="114" t="n">
        <v>89.63</v>
      </c>
      <c r="AA26" s="546" t="n">
        <v>83</v>
      </c>
      <c r="AB26" s="115" t="n">
        <v>95.83</v>
      </c>
      <c r="AC26" s="117" t="n"/>
      <c r="AD26" s="117" t="n"/>
      <c r="AE26" s="114" t="n">
        <v>60</v>
      </c>
      <c r="AF26" s="583" t="n">
        <v>63.33</v>
      </c>
      <c r="AG26" s="117" t="n">
        <v>66.67</v>
      </c>
      <c r="AH26" s="115" t="n">
        <v>71.6666666666667</v>
      </c>
      <c r="AI26" s="665" t="n"/>
      <c r="AJ26" s="115" t="n">
        <v>71.6666666666667</v>
      </c>
      <c r="AK26" s="665" t="n"/>
      <c r="AL26" s="510" t="n">
        <v>83.33</v>
      </c>
      <c r="AM26" s="510" t="n">
        <v>82.42</v>
      </c>
      <c r="AN26" s="691" t="n">
        <v>77.78</v>
      </c>
      <c r="AO26" s="683" t="n"/>
      <c r="AP26" s="663" t="n"/>
      <c r="AQ26" s="127" t="n">
        <v>73.33</v>
      </c>
      <c r="AR26" s="128" t="n">
        <v>83.33</v>
      </c>
      <c r="AS26" s="128" t="n">
        <v>67.78</v>
      </c>
      <c r="AT26" s="131" t="n">
        <v>83.33</v>
      </c>
      <c r="AU26" s="127" t="n">
        <v>81.67</v>
      </c>
      <c r="AV26" s="128" t="n">
        <v>78.33</v>
      </c>
      <c r="AW26" s="128" t="n">
        <v>93</v>
      </c>
      <c r="AX26" s="128" t="n">
        <v>78.89</v>
      </c>
      <c r="AY26" s="543" t="n">
        <v>90.67</v>
      </c>
      <c r="AZ26" s="543" t="n">
        <v>92.86</v>
      </c>
      <c r="BA26" s="131" t="n">
        <v>86.67</v>
      </c>
      <c r="BB26" s="127" t="n">
        <v>84.17</v>
      </c>
      <c r="BC26" s="131" t="n">
        <v>85.75</v>
      </c>
      <c r="BD26" s="663" t="n"/>
      <c r="BE26" s="131" t="n"/>
      <c r="BF26" s="131" t="n"/>
      <c r="BG26" s="131" t="n"/>
      <c r="BH26" s="114" t="n"/>
      <c r="BI26" s="546" t="n"/>
      <c r="BJ26" s="511" t="n"/>
      <c r="BK26" s="114" t="n"/>
      <c r="BL26" s="546" t="n"/>
      <c r="BM26" s="511" t="n"/>
      <c r="BN26" s="114" t="n"/>
      <c r="BO26" s="546" t="n"/>
      <c r="BP26" s="546" t="n"/>
      <c r="BQ26" s="546" t="n"/>
      <c r="BR26" s="546" t="n"/>
      <c r="BS26" s="546" t="n"/>
      <c r="BT26" s="511" t="n"/>
      <c r="BU26" s="546" t="n"/>
      <c r="BV26" s="546" t="n"/>
      <c r="BW26" s="546" t="n"/>
      <c r="BX26" s="546" t="n"/>
      <c r="BY26" s="546" t="n"/>
      <c r="BZ26" s="546" t="n"/>
      <c r="CA26" s="546" t="n"/>
      <c r="CB26" s="15" t="n"/>
      <c r="CC26" s="546" t="n"/>
      <c r="CD26" s="546" t="n"/>
      <c r="CE26" s="546" t="n"/>
      <c r="CF26" s="546" t="n"/>
      <c r="CG26" s="546" t="n"/>
      <c r="CH26" s="15" t="n"/>
      <c r="CI26" s="546" t="n"/>
      <c r="CJ26" s="546" t="n"/>
      <c r="CK26" s="17" t="n"/>
      <c r="CL26" s="546" t="n"/>
      <c r="CM26" s="546" t="n"/>
      <c r="CN26" s="546" t="n"/>
      <c r="CO26" s="546" t="n"/>
      <c r="CP26" s="583" t="n"/>
      <c r="CQ26" s="15" t="n"/>
      <c r="CR26" s="15" t="n"/>
      <c r="CS26" s="15" t="n"/>
      <c r="CT26" s="15" t="n"/>
      <c r="CU26" s="546" t="n"/>
      <c r="CV26" s="17" t="n"/>
      <c r="CW26" s="74" t="n"/>
      <c r="CX26" s="75" t="n"/>
      <c r="CY26" s="76" t="n"/>
      <c r="CZ26" s="76" t="n"/>
      <c r="DA26" s="91" t="n"/>
      <c r="DB26" s="546" t="n"/>
      <c r="DC26" s="546" t="n"/>
      <c r="DD26" s="546" t="n"/>
      <c r="DE26" s="546" t="n"/>
      <c r="DF26" s="583" t="n"/>
      <c r="DG26" s="141" t="n"/>
      <c r="DH26" s="162" t="n"/>
      <c r="DI26" s="162" t="n"/>
      <c r="DJ26" s="512" t="n"/>
      <c r="DK26" s="491" t="n"/>
      <c r="DL26" s="141" t="n"/>
      <c r="DM26" s="139" t="n"/>
      <c r="DN26" s="139" t="n"/>
      <c r="DO26" s="139" t="n"/>
      <c r="DP26" s="347" t="n"/>
      <c r="DQ26" s="348" t="n"/>
      <c r="DR26" s="162" t="n"/>
      <c r="DS26" s="162" t="n"/>
      <c r="DT26" s="162" t="n"/>
      <c r="DU26" s="162" t="n"/>
      <c r="DV26" s="201" t="n"/>
      <c r="DW26" s="201" t="n"/>
      <c r="DX26" s="163" t="n"/>
      <c r="DY26" s="141" t="n"/>
      <c r="DZ26" s="139" t="n"/>
      <c r="EA26" s="139" t="n"/>
      <c r="EB26" s="139" t="n"/>
      <c r="EC26" s="140" t="n"/>
      <c r="ED26" s="347" t="n"/>
      <c r="EE26" s="147" t="n"/>
      <c r="EF26" s="31" t="n"/>
      <c r="EG26" s="349" t="n"/>
      <c r="EH26" s="349" t="n"/>
      <c r="EI26" s="349" t="n"/>
      <c r="EJ26" s="351" t="n"/>
      <c r="EK26" s="107" t="n"/>
      <c r="EL26" s="139" t="n"/>
      <c r="EM26" s="139" t="n"/>
      <c r="EN26" s="139" t="n"/>
      <c r="EO26" s="140" t="n"/>
      <c r="EP26" s="108" t="n"/>
      <c r="EQ26" s="141" t="n"/>
      <c r="ER26" s="140" t="n"/>
      <c r="ES26" s="140" t="n"/>
      <c r="ET26" s="140" t="n"/>
      <c r="EU26" s="347" t="n"/>
      <c r="EV26" s="348" t="n"/>
      <c r="EW26" s="107" t="n"/>
      <c r="EX26" s="140" t="n"/>
      <c r="EY26" s="347" t="n"/>
      <c r="EZ26" s="107" t="n"/>
      <c r="FA26" s="587" t="n"/>
      <c r="FB26" s="587" t="n"/>
      <c r="FC26" s="141" t="n"/>
      <c r="FD26" s="140" t="n"/>
      <c r="FE26" s="140" t="n"/>
      <c r="FF26" s="140" t="n"/>
      <c r="FG26" s="140" t="n"/>
      <c r="FH26" s="147" t="n"/>
      <c r="FI26" s="74" t="n"/>
      <c r="FJ26" s="75" t="n"/>
      <c r="FK26" s="76" t="n"/>
      <c r="FL26" s="76" t="n"/>
      <c r="FM26" s="91" t="n"/>
      <c r="FN26" s="92" t="n"/>
      <c r="FO26" s="91" t="n"/>
      <c r="FP26" s="74" t="n"/>
      <c r="FQ26" s="92" t="n"/>
      <c r="FR26" s="148" t="n"/>
      <c r="FS26" s="149" t="n"/>
      <c r="FT26" s="150" t="n"/>
      <c r="FU26" s="99" t="n"/>
      <c r="FV26" s="100" t="n"/>
      <c r="FW26" s="100" t="n"/>
      <c r="FX26" s="100" t="n"/>
      <c r="FY26" s="100" t="n"/>
      <c r="FZ26" s="100" t="n"/>
      <c r="GA26" s="100" t="n"/>
      <c r="GB26" s="100" t="n"/>
      <c r="GC26" s="100" t="n"/>
      <c r="GD26" s="100" t="n"/>
      <c r="GE26" s="100" t="n"/>
      <c r="GF26" s="102" t="n"/>
      <c r="GG26" s="15" t="n"/>
      <c r="GH26" s="546" t="n"/>
      <c r="GI26" s="546" t="n"/>
      <c r="GJ26" s="17" t="n"/>
      <c r="GK26" s="15" t="n"/>
      <c r="GL26" s="546" t="n"/>
      <c r="GM26" s="546" t="n"/>
      <c r="GN26" s="17" t="n"/>
      <c r="GO26" s="31" t="n"/>
      <c r="GP26" s="349" t="n"/>
      <c r="GQ26" s="349" t="n"/>
      <c r="GR26" s="45" t="n"/>
      <c r="GS26" s="351" t="n"/>
      <c r="GT26" s="31" t="n"/>
      <c r="GU26" s="45" t="n"/>
      <c r="GV26" s="45" t="n"/>
      <c r="GW26" s="350" t="n"/>
      <c r="GX26" s="351" t="n"/>
      <c r="GY26" s="107" t="n"/>
      <c r="GZ26" s="587" t="n"/>
      <c r="HA26" s="108" t="n"/>
      <c r="HB26" s="15" t="n"/>
      <c r="HC26" s="546" t="n"/>
      <c r="HD26" s="17" t="n"/>
      <c r="HE26" s="15" t="n"/>
      <c r="HF26" s="546" t="n"/>
      <c r="HG26" s="546" t="n"/>
      <c r="HH26" s="17" t="n"/>
      <c r="HI26" s="31" t="n"/>
      <c r="HJ26" s="45" t="n"/>
      <c r="HK26" s="45" t="n"/>
      <c r="HL26" s="45" t="n"/>
      <c r="HM26" s="45" t="n"/>
      <c r="HN26" s="45" t="n"/>
      <c r="HO26" s="45" t="n"/>
      <c r="HP26" s="45" t="n"/>
      <c r="HQ26" s="45" t="n"/>
      <c r="HR26" s="45" t="n"/>
      <c r="HS26" s="45" t="n"/>
      <c r="HT26" s="351" t="n"/>
      <c r="HU26" s="606" t="n"/>
      <c r="HV26" s="65">
        <f>AVERAGE(AX26,AU26,AQ26,AN26,Z26,R26,O26,J26)</f>
        <v/>
      </c>
      <c r="HW26" s="66">
        <f>AVERAGE(BB26,AR26,AH26,AD26,P26,H26,E26)</f>
        <v/>
      </c>
      <c r="HX26" s="66">
        <f>AVERAGE(BC26,AE26)</f>
        <v/>
      </c>
      <c r="HY26" s="66">
        <f>AVERAGE(AW26,AV26,AS26,AL26,AJ26,Q26)</f>
        <v/>
      </c>
      <c r="HZ26" s="66">
        <f>AVERAGE(AT26,AM26,AF26,T26,I26)</f>
        <v/>
      </c>
      <c r="IA26" s="66">
        <f>AVERAGE(AY26,AG26)</f>
        <v/>
      </c>
      <c r="IB26" s="66">
        <f>AVERAGE(AZ26,#REF!)</f>
        <v/>
      </c>
      <c r="IC26" s="66" t="n"/>
      <c r="ID26" s="66">
        <f>AVERAGE(BA26)</f>
        <v/>
      </c>
      <c r="IE26" s="66">
        <f>AVERAGE(AC26)</f>
        <v/>
      </c>
    </row>
    <row r="27" ht="18" customHeight="1" s="590">
      <c r="B27" s="12" t="n">
        <v>21</v>
      </c>
      <c r="C27" s="13" t="inlineStr">
        <is>
          <t>052-24-125155</t>
        </is>
      </c>
      <c r="D27" s="14" t="inlineStr">
        <is>
          <t>Muhammad Suleman</t>
        </is>
      </c>
      <c r="E27" s="526" t="n"/>
      <c r="F27" s="526" t="n"/>
      <c r="G27" s="526" t="n"/>
      <c r="H27" s="510" t="n"/>
      <c r="I27" s="526" t="n"/>
      <c r="J27" s="253" t="n"/>
      <c r="K27" s="249" t="n"/>
      <c r="L27" s="249" t="n"/>
      <c r="M27" s="249" t="n"/>
      <c r="N27" s="254" t="n"/>
      <c r="O27" s="524" t="n"/>
      <c r="P27" s="583" t="n"/>
      <c r="Q27" s="524" t="n"/>
      <c r="R27" s="115" t="n"/>
      <c r="S27" s="510" t="n"/>
      <c r="T27" s="117" t="n"/>
      <c r="U27" s="241" t="n"/>
      <c r="V27" s="241" t="n"/>
      <c r="W27" s="241" t="n"/>
      <c r="X27" s="241" t="n"/>
      <c r="Y27" s="241" t="n"/>
      <c r="Z27" s="114" t="n"/>
      <c r="AA27" s="546" t="n"/>
      <c r="AB27" s="115" t="n"/>
      <c r="AC27" s="117" t="n"/>
      <c r="AD27" s="117" t="n"/>
      <c r="AE27" s="114" t="n">
        <v>33.33</v>
      </c>
      <c r="AF27" s="583" t="n">
        <v>80</v>
      </c>
      <c r="AG27" s="117" t="n">
        <v>83.33</v>
      </c>
      <c r="AH27" s="115" t="n">
        <v>85</v>
      </c>
      <c r="AI27" s="665" t="n"/>
      <c r="AJ27" s="115" t="n">
        <v>80</v>
      </c>
      <c r="AK27" s="665" t="n"/>
      <c r="AL27" s="510" t="n">
        <v>77.5</v>
      </c>
      <c r="AM27" s="510" t="n">
        <v>75.76000000000001</v>
      </c>
      <c r="AN27" s="691" t="n">
        <v>82.95999999999999</v>
      </c>
      <c r="AO27" s="683" t="n"/>
      <c r="AP27" s="663" t="n"/>
      <c r="AQ27" s="127" t="n">
        <v>80</v>
      </c>
      <c r="AR27" s="128" t="n">
        <v>86.67</v>
      </c>
      <c r="AS27" s="128" t="n">
        <v>71.11</v>
      </c>
      <c r="AT27" s="131" t="n">
        <v>80</v>
      </c>
      <c r="AU27" s="127" t="n">
        <v>71.67</v>
      </c>
      <c r="AV27" s="128" t="n">
        <v>53.33</v>
      </c>
      <c r="AW27" s="128" t="n">
        <v>66</v>
      </c>
      <c r="AX27" s="128" t="n">
        <v>32.06</v>
      </c>
      <c r="AY27" s="543" t="n">
        <v>42.67</v>
      </c>
      <c r="AZ27" s="543" t="n">
        <v>35.71</v>
      </c>
      <c r="BA27" s="131" t="n">
        <v>38.33</v>
      </c>
      <c r="BB27" s="127" t="n">
        <v>86.67</v>
      </c>
      <c r="BC27" s="131" t="n">
        <v>90.25</v>
      </c>
      <c r="BD27" s="663" t="n"/>
      <c r="BE27" s="131" t="n"/>
      <c r="BF27" s="131" t="n"/>
      <c r="BG27" s="131" t="n"/>
      <c r="BH27" s="114" t="n"/>
      <c r="BI27" s="546" t="n"/>
      <c r="BJ27" s="511" t="n"/>
      <c r="BK27" s="114" t="n"/>
      <c r="BL27" s="546" t="n"/>
      <c r="BM27" s="511" t="n"/>
      <c r="BN27" s="114" t="n"/>
      <c r="BO27" s="546" t="n"/>
      <c r="BP27" s="546" t="n"/>
      <c r="BQ27" s="546" t="n"/>
      <c r="BR27" s="546" t="n"/>
      <c r="BS27" s="546" t="n"/>
      <c r="BT27" s="511" t="n"/>
      <c r="BU27" s="546" t="n"/>
      <c r="BV27" s="546" t="n"/>
      <c r="BW27" s="546" t="n"/>
      <c r="BX27" s="546" t="n"/>
      <c r="BY27" s="546" t="n"/>
      <c r="BZ27" s="546" t="n"/>
      <c r="CA27" s="546" t="n"/>
      <c r="CB27" s="15" t="n"/>
      <c r="CC27" s="546" t="n"/>
      <c r="CD27" s="546" t="n"/>
      <c r="CE27" s="546" t="n"/>
      <c r="CF27" s="546" t="n"/>
      <c r="CG27" s="546" t="n"/>
      <c r="CH27" s="15" t="n"/>
      <c r="CI27" s="546" t="n"/>
      <c r="CJ27" s="546" t="n"/>
      <c r="CK27" s="17" t="n"/>
      <c r="CL27" s="546" t="n"/>
      <c r="CM27" s="546" t="n"/>
      <c r="CN27" s="546" t="n"/>
      <c r="CO27" s="546" t="n"/>
      <c r="CP27" s="583" t="n"/>
      <c r="CQ27" s="15" t="n"/>
      <c r="CR27" s="15" t="n"/>
      <c r="CS27" s="15" t="n"/>
      <c r="CT27" s="15" t="n"/>
      <c r="CU27" s="546" t="n"/>
      <c r="CV27" s="17" t="n"/>
      <c r="CW27" s="74" t="n"/>
      <c r="CX27" s="75" t="n"/>
      <c r="CY27" s="76" t="n"/>
      <c r="CZ27" s="76" t="n"/>
      <c r="DA27" s="91" t="n"/>
      <c r="DB27" s="546" t="n"/>
      <c r="DC27" s="546" t="n"/>
      <c r="DD27" s="546" t="n"/>
      <c r="DE27" s="546" t="n"/>
      <c r="DF27" s="583" t="n"/>
      <c r="DG27" s="141" t="n"/>
      <c r="DH27" s="162" t="n"/>
      <c r="DI27" s="162" t="n"/>
      <c r="DJ27" s="512" t="n"/>
      <c r="DK27" s="491" t="n"/>
      <c r="DL27" s="141" t="n"/>
      <c r="DM27" s="139" t="n"/>
      <c r="DN27" s="139" t="n"/>
      <c r="DO27" s="139" t="n"/>
      <c r="DP27" s="347" t="n"/>
      <c r="DQ27" s="348" t="n"/>
      <c r="DR27" s="162" t="n"/>
      <c r="DS27" s="162" t="n"/>
      <c r="DT27" s="162" t="n"/>
      <c r="DU27" s="162" t="n"/>
      <c r="DV27" s="201" t="n"/>
      <c r="DW27" s="201" t="n"/>
      <c r="DX27" s="163" t="n"/>
      <c r="DY27" s="141" t="n"/>
      <c r="DZ27" s="139" t="n"/>
      <c r="EA27" s="139" t="n"/>
      <c r="EB27" s="139" t="n"/>
      <c r="EC27" s="140" t="n"/>
      <c r="ED27" s="347" t="n"/>
      <c r="EE27" s="147" t="n"/>
      <c r="EF27" s="31" t="n"/>
      <c r="EG27" s="349" t="n"/>
      <c r="EH27" s="349" t="n"/>
      <c r="EI27" s="349" t="n"/>
      <c r="EJ27" s="351" t="n"/>
      <c r="EK27" s="107" t="n"/>
      <c r="EL27" s="139" t="n"/>
      <c r="EM27" s="139" t="n"/>
      <c r="EN27" s="139" t="n"/>
      <c r="EO27" s="140" t="n"/>
      <c r="EP27" s="108" t="n"/>
      <c r="EQ27" s="141" t="n"/>
      <c r="ER27" s="140" t="n"/>
      <c r="ES27" s="140" t="n"/>
      <c r="ET27" s="140" t="n"/>
      <c r="EU27" s="347" t="n"/>
      <c r="EV27" s="348" t="n"/>
      <c r="EW27" s="107" t="n"/>
      <c r="EX27" s="140" t="n"/>
      <c r="EY27" s="347" t="n"/>
      <c r="EZ27" s="107" t="n"/>
      <c r="FA27" s="587" t="n"/>
      <c r="FB27" s="587" t="n"/>
      <c r="FC27" s="141" t="n"/>
      <c r="FD27" s="140" t="n"/>
      <c r="FE27" s="140" t="n"/>
      <c r="FF27" s="140" t="n"/>
      <c r="FG27" s="140" t="n"/>
      <c r="FH27" s="147" t="n"/>
      <c r="FI27" s="74" t="n"/>
      <c r="FJ27" s="75" t="n"/>
      <c r="FK27" s="76" t="n"/>
      <c r="FL27" s="76" t="n"/>
      <c r="FM27" s="91" t="n"/>
      <c r="FN27" s="92" t="n"/>
      <c r="FO27" s="91" t="n"/>
      <c r="FP27" s="74" t="n"/>
      <c r="FQ27" s="92" t="n"/>
      <c r="FR27" s="148" t="n"/>
      <c r="FS27" s="149" t="n"/>
      <c r="FT27" s="150" t="n"/>
      <c r="FU27" s="99" t="n"/>
      <c r="FV27" s="100" t="n"/>
      <c r="FW27" s="100" t="n"/>
      <c r="FX27" s="100" t="n"/>
      <c r="FY27" s="100" t="n"/>
      <c r="FZ27" s="100" t="n"/>
      <c r="GA27" s="100" t="n"/>
      <c r="GB27" s="100" t="n"/>
      <c r="GC27" s="100" t="n"/>
      <c r="GD27" s="100" t="n"/>
      <c r="GE27" s="100" t="n"/>
      <c r="GF27" s="102" t="n"/>
      <c r="GG27" s="15" t="n"/>
      <c r="GH27" s="546" t="n"/>
      <c r="GI27" s="546" t="n"/>
      <c r="GJ27" s="17" t="n"/>
      <c r="GK27" s="15" t="n"/>
      <c r="GL27" s="546" t="n"/>
      <c r="GM27" s="546" t="n"/>
      <c r="GN27" s="17" t="n"/>
      <c r="GO27" s="31" t="n"/>
      <c r="GP27" s="349" t="n"/>
      <c r="GQ27" s="349" t="n"/>
      <c r="GR27" s="45" t="n"/>
      <c r="GS27" s="351" t="n"/>
      <c r="GT27" s="31" t="n"/>
      <c r="GU27" s="45" t="n"/>
      <c r="GV27" s="45" t="n"/>
      <c r="GW27" s="350" t="n"/>
      <c r="GX27" s="351" t="n"/>
      <c r="GY27" s="107" t="n"/>
      <c r="GZ27" s="587" t="n"/>
      <c r="HA27" s="108" t="n"/>
      <c r="HB27" s="15" t="n"/>
      <c r="HC27" s="546" t="n"/>
      <c r="HD27" s="17" t="n"/>
      <c r="HE27" s="15" t="n"/>
      <c r="HF27" s="546" t="n"/>
      <c r="HG27" s="546" t="n"/>
      <c r="HH27" s="17" t="n"/>
      <c r="HI27" s="31" t="n"/>
      <c r="HJ27" s="45" t="n"/>
      <c r="HK27" s="45" t="n"/>
      <c r="HL27" s="45" t="n"/>
      <c r="HM27" s="45" t="n"/>
      <c r="HN27" s="45" t="n"/>
      <c r="HO27" s="45" t="n"/>
      <c r="HP27" s="45" t="n"/>
      <c r="HQ27" s="45" t="n"/>
      <c r="HR27" s="45" t="n"/>
      <c r="HS27" s="45" t="n"/>
      <c r="HT27" s="351" t="n"/>
      <c r="HU27" s="606" t="n"/>
      <c r="HV27" s="65">
        <f>AVERAGE(AX27,AU27,AQ27,AN27,Z27,R27,O27,J27)</f>
        <v/>
      </c>
      <c r="HW27" s="66">
        <f>AVERAGE(BB27,AR27,AH27,AD27,P27,H27,E27)</f>
        <v/>
      </c>
      <c r="HX27" s="66">
        <f>AVERAGE(BC27,AE27)</f>
        <v/>
      </c>
      <c r="HY27" s="66">
        <f>AVERAGE(AW27,AV27,AS27,AL27,AJ27,Q27)</f>
        <v/>
      </c>
      <c r="HZ27" s="66">
        <f>AVERAGE(AT27,AM27,AF27,T27,I27)</f>
        <v/>
      </c>
      <c r="IA27" s="66">
        <f>AVERAGE(AY27,AG27)</f>
        <v/>
      </c>
      <c r="IB27" s="66">
        <f>AVERAGE(AZ27,#REF!)</f>
        <v/>
      </c>
      <c r="IC27" s="66" t="n"/>
      <c r="ID27" s="66">
        <f>AVERAGE(BA27)</f>
        <v/>
      </c>
      <c r="IE27" s="66">
        <f>AVERAGE(AC27)</f>
        <v/>
      </c>
    </row>
    <row r="28" ht="18" customHeight="1" s="590">
      <c r="B28" s="12" t="n">
        <v>22</v>
      </c>
      <c r="C28" s="13" t="inlineStr">
        <is>
          <t>052-24-125420</t>
        </is>
      </c>
      <c r="D28" s="14" t="inlineStr">
        <is>
          <t>Nouman Shahid</t>
        </is>
      </c>
      <c r="E28" s="526" t="n"/>
      <c r="F28" s="526" t="n"/>
      <c r="G28" s="526" t="n"/>
      <c r="H28" s="510" t="n"/>
      <c r="I28" s="526" t="n"/>
      <c r="J28" s="253" t="n"/>
      <c r="K28" s="249" t="n"/>
      <c r="L28" s="249" t="n"/>
      <c r="M28" s="249" t="n"/>
      <c r="N28" s="254" t="n"/>
      <c r="O28" s="524" t="n"/>
      <c r="P28" s="583" t="n"/>
      <c r="Q28" s="524" t="n"/>
      <c r="R28" s="115" t="n"/>
      <c r="S28" s="510" t="n"/>
      <c r="T28" s="117" t="n"/>
      <c r="U28" s="241" t="n"/>
      <c r="V28" s="241" t="n"/>
      <c r="W28" s="241" t="n"/>
      <c r="X28" s="241" t="n"/>
      <c r="Y28" s="241" t="n"/>
      <c r="Z28" s="114" t="n"/>
      <c r="AA28" s="546" t="n"/>
      <c r="AB28" s="115" t="n"/>
      <c r="AC28" s="117" t="n"/>
      <c r="AD28" s="117" t="n"/>
      <c r="AE28" s="114" t="n">
        <v>40</v>
      </c>
      <c r="AF28" s="583" t="n"/>
      <c r="AG28" s="117" t="n"/>
      <c r="AH28" s="115" t="n">
        <v>0</v>
      </c>
      <c r="AI28" s="665" t="n"/>
      <c r="AJ28" s="115" t="n">
        <v>5.83333333333333</v>
      </c>
      <c r="AK28" s="665" t="n"/>
      <c r="AL28" s="510" t="n">
        <v>10.83</v>
      </c>
      <c r="AM28" s="510" t="n">
        <v>7.27</v>
      </c>
      <c r="AN28" s="691" t="n"/>
      <c r="AO28" s="683" t="n"/>
      <c r="AP28" s="663" t="n"/>
      <c r="AQ28" s="127" t="n"/>
      <c r="AR28" s="128" t="n"/>
      <c r="AS28" s="128" t="n"/>
      <c r="AT28" s="131" t="n"/>
      <c r="AU28" s="127" t="n">
        <v>0</v>
      </c>
      <c r="AV28" s="128" t="n">
        <v>0</v>
      </c>
      <c r="AW28" s="128" t="n">
        <v>10</v>
      </c>
      <c r="AX28" s="128" t="n">
        <v>0</v>
      </c>
      <c r="AY28" s="543" t="n">
        <v>0</v>
      </c>
      <c r="AZ28" s="543" t="n">
        <v>0</v>
      </c>
      <c r="BA28" s="131" t="n">
        <v>0</v>
      </c>
      <c r="BB28" s="127" t="n">
        <v>0</v>
      </c>
      <c r="BC28" s="128" t="n">
        <v>0</v>
      </c>
      <c r="BD28" s="131" t="n"/>
      <c r="BE28" s="131" t="n"/>
      <c r="BF28" s="131" t="n"/>
      <c r="BG28" s="131" t="n"/>
      <c r="BH28" s="114" t="n"/>
      <c r="BI28" s="546" t="n"/>
      <c r="BJ28" s="511" t="n"/>
      <c r="BK28" s="114" t="n"/>
      <c r="BL28" s="546" t="n"/>
      <c r="BM28" s="511" t="n"/>
      <c r="BN28" s="114" t="n"/>
      <c r="BO28" s="546" t="n"/>
      <c r="BP28" s="546" t="n"/>
      <c r="BQ28" s="546" t="n"/>
      <c r="BR28" s="546" t="n"/>
      <c r="BS28" s="546" t="n"/>
      <c r="BT28" s="511" t="n"/>
      <c r="BU28" s="546" t="n"/>
      <c r="BV28" s="546" t="n"/>
      <c r="BW28" s="546" t="n"/>
      <c r="BX28" s="546" t="n"/>
      <c r="BY28" s="546" t="n"/>
      <c r="BZ28" s="546" t="n"/>
      <c r="CA28" s="546" t="n"/>
      <c r="CB28" s="15" t="n"/>
      <c r="CC28" s="546" t="n"/>
      <c r="CD28" s="546" t="n"/>
      <c r="CE28" s="546" t="n"/>
      <c r="CF28" s="546" t="n"/>
      <c r="CG28" s="546" t="n"/>
      <c r="CH28" s="15" t="n"/>
      <c r="CI28" s="546" t="n"/>
      <c r="CJ28" s="546" t="n"/>
      <c r="CK28" s="17" t="n"/>
      <c r="CL28" s="546" t="n"/>
      <c r="CM28" s="546" t="n"/>
      <c r="CN28" s="546" t="n"/>
      <c r="CO28" s="546" t="n"/>
      <c r="CP28" s="583" t="n"/>
      <c r="CQ28" s="15" t="n"/>
      <c r="CR28" s="15" t="n"/>
      <c r="CS28" s="15" t="n"/>
      <c r="CT28" s="15" t="n"/>
      <c r="CU28" s="546" t="n"/>
      <c r="CV28" s="17" t="n"/>
      <c r="CW28" s="74" t="n"/>
      <c r="CX28" s="75" t="n"/>
      <c r="CY28" s="76" t="n"/>
      <c r="CZ28" s="76" t="n"/>
      <c r="DA28" s="91" t="n"/>
      <c r="DB28" s="546" t="n"/>
      <c r="DC28" s="546" t="n"/>
      <c r="DD28" s="546" t="n"/>
      <c r="DE28" s="546" t="n"/>
      <c r="DF28" s="583" t="n"/>
      <c r="DG28" s="141" t="n"/>
      <c r="DH28" s="162" t="n"/>
      <c r="DI28" s="162" t="n"/>
      <c r="DJ28" s="512" t="n"/>
      <c r="DK28" s="491" t="n"/>
      <c r="DL28" s="141" t="n"/>
      <c r="DM28" s="139" t="n"/>
      <c r="DN28" s="139" t="n"/>
      <c r="DO28" s="139" t="n"/>
      <c r="DP28" s="347" t="n"/>
      <c r="DQ28" s="348" t="n"/>
      <c r="DR28" s="162" t="n"/>
      <c r="DS28" s="162" t="n"/>
      <c r="DT28" s="162" t="n"/>
      <c r="DU28" s="162" t="n"/>
      <c r="DV28" s="201" t="n"/>
      <c r="DW28" s="201" t="n"/>
      <c r="DX28" s="163" t="n"/>
      <c r="DY28" s="141" t="n"/>
      <c r="DZ28" s="139" t="n"/>
      <c r="EA28" s="139" t="n"/>
      <c r="EB28" s="139" t="n"/>
      <c r="EC28" s="140" t="n"/>
      <c r="ED28" s="347" t="n"/>
      <c r="EE28" s="147" t="n"/>
      <c r="EF28" s="31" t="n"/>
      <c r="EG28" s="349" t="n"/>
      <c r="EH28" s="349" t="n"/>
      <c r="EI28" s="349" t="n"/>
      <c r="EJ28" s="351" t="n"/>
      <c r="EK28" s="107" t="n"/>
      <c r="EL28" s="139" t="n"/>
      <c r="EM28" s="139" t="n"/>
      <c r="EN28" s="139" t="n"/>
      <c r="EO28" s="140" t="n"/>
      <c r="EP28" s="108" t="n"/>
      <c r="EQ28" s="141" t="n"/>
      <c r="ER28" s="140" t="n"/>
      <c r="ES28" s="140" t="n"/>
      <c r="ET28" s="140" t="n"/>
      <c r="EU28" s="347" t="n"/>
      <c r="EV28" s="348" t="n"/>
      <c r="EW28" s="107" t="n"/>
      <c r="EX28" s="140" t="n"/>
      <c r="EY28" s="347" t="n"/>
      <c r="EZ28" s="107" t="n"/>
      <c r="FA28" s="587" t="n"/>
      <c r="FB28" s="587" t="n"/>
      <c r="FC28" s="141" t="n"/>
      <c r="FD28" s="140" t="n"/>
      <c r="FE28" s="140" t="n"/>
      <c r="FF28" s="140" t="n"/>
      <c r="FG28" s="140" t="n"/>
      <c r="FH28" s="147" t="n"/>
      <c r="FI28" s="74" t="n"/>
      <c r="FJ28" s="75" t="n"/>
      <c r="FK28" s="76" t="n"/>
      <c r="FL28" s="76" t="n"/>
      <c r="FM28" s="91" t="n"/>
      <c r="FN28" s="92" t="n"/>
      <c r="FO28" s="91" t="n"/>
      <c r="FP28" s="74" t="n"/>
      <c r="FQ28" s="92" t="n"/>
      <c r="FR28" s="148" t="n"/>
      <c r="FS28" s="149" t="n"/>
      <c r="FT28" s="150" t="n"/>
      <c r="FU28" s="99" t="n"/>
      <c r="FV28" s="100" t="n"/>
      <c r="FW28" s="100" t="n"/>
      <c r="FX28" s="100" t="n"/>
      <c r="FY28" s="100" t="n"/>
      <c r="FZ28" s="100" t="n"/>
      <c r="GA28" s="100" t="n"/>
      <c r="GB28" s="100" t="n"/>
      <c r="GC28" s="100" t="n"/>
      <c r="GD28" s="100" t="n"/>
      <c r="GE28" s="100" t="n"/>
      <c r="GF28" s="102" t="n"/>
      <c r="GG28" s="15" t="n"/>
      <c r="GH28" s="546" t="n"/>
      <c r="GI28" s="546" t="n"/>
      <c r="GJ28" s="17" t="n"/>
      <c r="GK28" s="15" t="n"/>
      <c r="GL28" s="546" t="n"/>
      <c r="GM28" s="546" t="n"/>
      <c r="GN28" s="17" t="n"/>
      <c r="GO28" s="31" t="n"/>
      <c r="GP28" s="349" t="n"/>
      <c r="GQ28" s="349" t="n"/>
      <c r="GR28" s="45" t="n"/>
      <c r="GS28" s="351" t="n"/>
      <c r="GT28" s="31" t="n"/>
      <c r="GU28" s="45" t="n"/>
      <c r="GV28" s="45" t="n"/>
      <c r="GW28" s="350" t="n"/>
      <c r="GX28" s="351" t="n"/>
      <c r="GY28" s="107" t="n"/>
      <c r="GZ28" s="587" t="n"/>
      <c r="HA28" s="108" t="n"/>
      <c r="HB28" s="15" t="n"/>
      <c r="HC28" s="546" t="n"/>
      <c r="HD28" s="17" t="n"/>
      <c r="HE28" s="15" t="n"/>
      <c r="HF28" s="546" t="n"/>
      <c r="HG28" s="546" t="n"/>
      <c r="HH28" s="17" t="n"/>
      <c r="HI28" s="31" t="n"/>
      <c r="HJ28" s="45" t="n"/>
      <c r="HK28" s="45" t="n"/>
      <c r="HL28" s="45" t="n"/>
      <c r="HM28" s="45" t="n"/>
      <c r="HN28" s="45" t="n"/>
      <c r="HO28" s="45" t="n"/>
      <c r="HP28" s="45" t="n"/>
      <c r="HQ28" s="45" t="n"/>
      <c r="HR28" s="45" t="n"/>
      <c r="HS28" s="45" t="n"/>
      <c r="HT28" s="351" t="n"/>
      <c r="HU28" s="606" t="n"/>
      <c r="HV28" s="65">
        <f>AVERAGE(AX28,AU28,AQ28,AN28,Z28,R28,O28,J28)</f>
        <v/>
      </c>
      <c r="HW28" s="66">
        <f>AVERAGE(BB28,AR28,AH28,AD28,P28,H28,E28)</f>
        <v/>
      </c>
      <c r="HX28" s="66">
        <f>AVERAGE(BC28,AE28)</f>
        <v/>
      </c>
      <c r="HY28" s="66">
        <f>AVERAGE(AW28,AV28,AS28,AL28,AJ28,Q28)</f>
        <v/>
      </c>
      <c r="HZ28" s="66">
        <f>AVERAGE(AT28,AM28,AF28,T28,I28)</f>
        <v/>
      </c>
      <c r="IA28" s="66" t="n"/>
      <c r="IB28" s="66">
        <f>AVERAGE(AZ28,#REF!)</f>
        <v/>
      </c>
      <c r="IC28" s="66" t="n"/>
      <c r="ID28" s="66" t="n"/>
      <c r="IE28" s="66">
        <f>AVERAGE(AC28)</f>
        <v/>
      </c>
    </row>
    <row r="29" ht="18" customHeight="1" s="590">
      <c r="B29" s="12" t="n">
        <v>23</v>
      </c>
      <c r="C29" s="13" t="inlineStr">
        <is>
          <t>052-24-125291</t>
        </is>
      </c>
      <c r="D29" s="14" t="inlineStr">
        <is>
          <t>Ghulam Ali</t>
        </is>
      </c>
      <c r="E29" s="526" t="n">
        <v>70</v>
      </c>
      <c r="F29" s="526" t="n">
        <v>63.33</v>
      </c>
      <c r="G29" s="526" t="n">
        <v>72.5</v>
      </c>
      <c r="H29" s="526" t="n">
        <v>65.81999999999999</v>
      </c>
      <c r="I29" s="526" t="n">
        <v>65.8</v>
      </c>
      <c r="J29" s="253" t="n">
        <v>67.5</v>
      </c>
      <c r="K29" s="249" t="n">
        <v>60</v>
      </c>
      <c r="L29" s="249" t="n">
        <v>75</v>
      </c>
      <c r="M29" s="249" t="n">
        <v>54.55</v>
      </c>
      <c r="N29" s="254" t="n">
        <v>49.17</v>
      </c>
      <c r="O29" s="524" t="n">
        <v>52.92</v>
      </c>
      <c r="P29" s="524" t="n">
        <v>51.67</v>
      </c>
      <c r="Q29" s="524" t="n">
        <v>84</v>
      </c>
      <c r="R29" s="115" t="n">
        <v>63.52</v>
      </c>
      <c r="S29" s="510" t="n">
        <v>70.19</v>
      </c>
      <c r="T29" s="117" t="n">
        <v>60</v>
      </c>
      <c r="U29" s="241" t="n">
        <v>73.33</v>
      </c>
      <c r="V29" s="241" t="n">
        <v>92.5</v>
      </c>
      <c r="W29" s="241" t="n">
        <v>75</v>
      </c>
      <c r="X29" s="241" t="n">
        <v>92.73</v>
      </c>
      <c r="Y29" s="241" t="n">
        <v>92.18000000000001</v>
      </c>
      <c r="Z29" s="114" t="n">
        <v>74.81</v>
      </c>
      <c r="AA29" s="546" t="n">
        <v>66.5</v>
      </c>
      <c r="AB29" s="115" t="n">
        <v>70</v>
      </c>
      <c r="AC29" s="117" t="n"/>
      <c r="AD29" s="117" t="n"/>
      <c r="AE29" s="114" t="n">
        <v>40</v>
      </c>
      <c r="AF29" s="583" t="n">
        <v>57.5</v>
      </c>
      <c r="AG29" s="117" t="n">
        <v>56.67</v>
      </c>
      <c r="AH29" s="115" t="n">
        <v>65</v>
      </c>
      <c r="AI29" s="665" t="n"/>
      <c r="AJ29" s="115" t="n">
        <v>73.3333333333333</v>
      </c>
      <c r="AK29" s="665" t="n"/>
      <c r="AL29" s="510" t="n">
        <v>65.28</v>
      </c>
      <c r="AM29" s="510" t="n">
        <v>68.18000000000001</v>
      </c>
      <c r="AN29" s="691" t="n">
        <v>53.7</v>
      </c>
      <c r="AO29" s="683" t="n"/>
      <c r="AP29" s="663" t="n"/>
      <c r="AQ29" s="127" t="n">
        <v>90</v>
      </c>
      <c r="AR29" s="128" t="n">
        <v>83.33</v>
      </c>
      <c r="AS29" s="128" t="n">
        <v>61.11</v>
      </c>
      <c r="AT29" s="131" t="n">
        <v>68.33</v>
      </c>
      <c r="AU29" s="127" t="n">
        <v>53.33</v>
      </c>
      <c r="AV29" s="128" t="n">
        <v>57.67</v>
      </c>
      <c r="AW29" s="128" t="n">
        <v>90.5</v>
      </c>
      <c r="AX29" s="128" t="n">
        <v>50.1587301587302</v>
      </c>
      <c r="AY29" s="543" t="n">
        <v>84.6666666666667</v>
      </c>
      <c r="AZ29" s="543" t="n">
        <v>85.2380952380953</v>
      </c>
      <c r="BA29" s="131" t="n">
        <v>76.6666666666667</v>
      </c>
      <c r="BB29" s="127" t="n">
        <v>72.5</v>
      </c>
      <c r="BC29" s="131" t="n">
        <v>70.75</v>
      </c>
      <c r="BD29" s="663" t="n"/>
      <c r="BE29" s="131" t="n"/>
      <c r="BF29" s="131" t="n"/>
      <c r="BG29" s="131" t="n"/>
      <c r="BH29" s="114" t="n"/>
      <c r="BI29" s="546" t="n"/>
      <c r="BJ29" s="511" t="n"/>
      <c r="BK29" s="114" t="n"/>
      <c r="BL29" s="546" t="n"/>
      <c r="BM29" s="511" t="n"/>
      <c r="BN29" s="114" t="n"/>
      <c r="BO29" s="546" t="n"/>
      <c r="BP29" s="546" t="n"/>
      <c r="BQ29" s="546" t="n"/>
      <c r="BR29" s="546" t="n"/>
      <c r="BS29" s="546" t="n"/>
      <c r="BT29" s="511" t="n"/>
      <c r="BU29" s="546" t="n"/>
      <c r="BV29" s="546" t="n"/>
      <c r="BW29" s="546" t="n"/>
      <c r="BX29" s="546" t="n"/>
      <c r="BY29" s="546" t="n"/>
      <c r="BZ29" s="546" t="n"/>
      <c r="CA29" s="546" t="n"/>
      <c r="CB29" s="15" t="n"/>
      <c r="CC29" s="546" t="n"/>
      <c r="CD29" s="546" t="n"/>
      <c r="CE29" s="546" t="n"/>
      <c r="CF29" s="546" t="n"/>
      <c r="CG29" s="546" t="n"/>
      <c r="CH29" s="15" t="n"/>
      <c r="CI29" s="546" t="n"/>
      <c r="CJ29" s="546" t="n"/>
      <c r="CK29" s="17" t="n"/>
      <c r="CL29" s="546" t="n"/>
      <c r="CM29" s="546" t="n"/>
      <c r="CN29" s="546" t="n"/>
      <c r="CO29" s="546" t="n"/>
      <c r="CP29" s="583" t="n"/>
      <c r="CQ29" s="15" t="n"/>
      <c r="CR29" s="15" t="n"/>
      <c r="CS29" s="15" t="n"/>
      <c r="CT29" s="15" t="n"/>
      <c r="CU29" s="546" t="n"/>
      <c r="CV29" s="17" t="n"/>
      <c r="CW29" s="74" t="n"/>
      <c r="CX29" s="75" t="n"/>
      <c r="CY29" s="76" t="n"/>
      <c r="CZ29" s="76" t="n"/>
      <c r="DA29" s="91" t="n"/>
      <c r="DB29" s="141" t="n"/>
      <c r="DC29" s="162" t="n"/>
      <c r="DD29" s="162" t="n"/>
      <c r="DE29" s="162" t="n"/>
      <c r="DF29" s="163" t="n"/>
      <c r="DG29" s="141" t="n"/>
      <c r="DH29" s="162" t="n"/>
      <c r="DI29" s="162" t="n"/>
      <c r="DJ29" s="512" t="n"/>
      <c r="DK29" s="665" t="n"/>
      <c r="DL29" s="141" t="n"/>
      <c r="DM29" s="139" t="n"/>
      <c r="DN29" s="139" t="n"/>
      <c r="DO29" s="139" t="n"/>
      <c r="DP29" s="147" t="n"/>
      <c r="DQ29" s="664" t="n"/>
      <c r="DR29" s="162" t="n"/>
      <c r="DS29" s="162" t="n"/>
      <c r="DT29" s="162" t="n"/>
      <c r="DU29" s="162" t="n"/>
      <c r="DV29" s="201" t="n"/>
      <c r="DW29" s="201" t="n"/>
      <c r="DX29" s="163" t="n"/>
      <c r="DY29" s="141" t="n"/>
      <c r="DZ29" s="139" t="n"/>
      <c r="EA29" s="139" t="n"/>
      <c r="EB29" s="139" t="n"/>
      <c r="EC29" s="140" t="n"/>
      <c r="ED29" s="347" t="n"/>
      <c r="EE29" s="147" t="n"/>
      <c r="EF29" s="141" t="n"/>
      <c r="EG29" s="349" t="n"/>
      <c r="EH29" s="665" t="n"/>
      <c r="EI29" s="139" t="n"/>
      <c r="EJ29" s="147" t="n"/>
      <c r="EK29" s="141" t="n"/>
      <c r="EL29" s="139" t="n"/>
      <c r="EM29" s="139" t="n"/>
      <c r="EN29" s="139" t="n"/>
      <c r="EO29" s="140" t="n"/>
      <c r="EP29" s="147" t="n"/>
      <c r="EQ29" s="141" t="n"/>
      <c r="ER29" s="140" t="n"/>
      <c r="ES29" s="140" t="n"/>
      <c r="ET29" s="140" t="n"/>
      <c r="EU29" s="147" t="n"/>
      <c r="EV29" s="664" t="n"/>
      <c r="EW29" s="141" t="n"/>
      <c r="EX29" s="140" t="n"/>
      <c r="EY29" s="147" t="n"/>
      <c r="EZ29" s="107" t="n"/>
      <c r="FA29" s="587" t="n"/>
      <c r="FB29" s="587" t="n"/>
      <c r="FC29" s="141" t="n"/>
      <c r="FD29" s="140" t="n"/>
      <c r="FE29" s="140" t="n"/>
      <c r="FF29" s="140" t="n"/>
      <c r="FG29" s="140" t="n"/>
      <c r="FH29" s="147" t="n"/>
      <c r="FI29" s="74" t="n"/>
      <c r="FJ29" s="148" t="n"/>
      <c r="FK29" s="148" t="n"/>
      <c r="FL29" s="148" t="n"/>
      <c r="FM29" s="150" t="n"/>
      <c r="FN29" s="92" t="n"/>
      <c r="FO29" s="91" t="n"/>
      <c r="FP29" s="74" t="n"/>
      <c r="FQ29" s="92" t="n"/>
      <c r="FR29" s="148" t="n"/>
      <c r="FS29" s="149" t="n"/>
      <c r="FT29" s="150" t="n"/>
      <c r="FU29" s="99" t="n"/>
      <c r="FV29" s="100" t="n"/>
      <c r="FW29" s="100" t="n"/>
      <c r="FX29" s="100" t="n"/>
      <c r="FY29" s="100" t="n"/>
      <c r="FZ29" s="100" t="n"/>
      <c r="GA29" s="100" t="n"/>
      <c r="GB29" s="100" t="n"/>
      <c r="GC29" s="100" t="n"/>
      <c r="GD29" s="100" t="n"/>
      <c r="GE29" s="100" t="n"/>
      <c r="GF29" s="102" t="n"/>
      <c r="GG29" s="15" t="n"/>
      <c r="GH29" s="546" t="n"/>
      <c r="GI29" s="546" t="n"/>
      <c r="GJ29" s="17" t="n"/>
      <c r="GK29" s="15" t="n"/>
      <c r="GL29" s="546" t="n"/>
      <c r="GM29" s="546" t="n"/>
      <c r="GN29" s="17" t="n"/>
      <c r="GO29" s="31" t="n"/>
      <c r="GP29" s="349" t="n"/>
      <c r="GQ29" s="665" t="n"/>
      <c r="GR29" s="45" t="n"/>
      <c r="GS29" s="351" t="n"/>
      <c r="GT29" s="31" t="n"/>
      <c r="GU29" s="45" t="n"/>
      <c r="GV29" s="45" t="n"/>
      <c r="GW29" s="351" t="n"/>
      <c r="GX29" s="663" t="n"/>
      <c r="GY29" s="107" t="n"/>
      <c r="GZ29" s="587" t="n"/>
      <c r="HA29" s="108" t="n"/>
      <c r="HB29" s="15" t="n"/>
      <c r="HC29" s="546" t="n"/>
      <c r="HD29" s="17" t="n"/>
      <c r="HE29" s="15" t="n"/>
      <c r="HF29" s="546" t="n"/>
      <c r="HG29" s="546" t="n"/>
      <c r="HH29" s="17" t="n"/>
      <c r="HI29" s="31" t="n"/>
      <c r="HJ29" s="45" t="n"/>
      <c r="HK29" s="45" t="n"/>
      <c r="HL29" s="45" t="n"/>
      <c r="HM29" s="45" t="n"/>
      <c r="HN29" s="45" t="n"/>
      <c r="HO29" s="45" t="n"/>
      <c r="HP29" s="45" t="n"/>
      <c r="HQ29" s="45" t="n"/>
      <c r="HR29" s="45" t="n"/>
      <c r="HS29" s="45" t="n"/>
      <c r="HT29" s="351" t="n"/>
      <c r="HU29" s="606" t="n"/>
      <c r="HV29" s="65">
        <f>AVERAGE(AX29,AU29,AQ29,AN29,Z29,R29,O29,J29)</f>
        <v/>
      </c>
      <c r="HW29" s="66">
        <f>AVERAGE(BB29,AR29,AH29,AD29,P29,H29,E29)</f>
        <v/>
      </c>
      <c r="HX29" s="66">
        <f>AVERAGE(BC29,AE29)</f>
        <v/>
      </c>
      <c r="HY29" s="66">
        <f>AVERAGE(AW29,AV29,AS29,AL29,AJ29,Q29)</f>
        <v/>
      </c>
      <c r="HZ29" s="66">
        <f>AVERAGE(AT29,AM29,AF29,T29,I29)</f>
        <v/>
      </c>
      <c r="IA29" s="66">
        <f>AVERAGE(AY29,AG29)</f>
        <v/>
      </c>
      <c r="IB29" s="66">
        <f>AVERAGE(AZ29,#REF!)</f>
        <v/>
      </c>
      <c r="IC29" s="66" t="n"/>
      <c r="ID29" s="66">
        <f>AVERAGE(BA29)</f>
        <v/>
      </c>
      <c r="IE29" s="66">
        <f>AVERAGE(AC29)</f>
        <v/>
      </c>
    </row>
    <row r="30" ht="18" customHeight="1" s="590">
      <c r="B30" s="12" t="n">
        <v>24</v>
      </c>
      <c r="C30" s="13" t="inlineStr">
        <is>
          <t>052-24-125240</t>
        </is>
      </c>
      <c r="D30" s="14" t="inlineStr">
        <is>
          <t>Umer Farooq</t>
        </is>
      </c>
      <c r="E30" s="526" t="n">
        <v>34</v>
      </c>
      <c r="F30" s="526" t="n">
        <v>44.17</v>
      </c>
      <c r="G30" s="526" t="n">
        <v>63.33</v>
      </c>
      <c r="H30" s="510" t="n"/>
      <c r="I30" s="526" t="n"/>
      <c r="J30" s="253" t="n">
        <v>47.5</v>
      </c>
      <c r="K30" s="249" t="n">
        <v>30.33</v>
      </c>
      <c r="L30" s="249" t="n">
        <v>60</v>
      </c>
      <c r="M30" s="249" t="n"/>
      <c r="N30" s="254" t="n"/>
      <c r="O30" s="524" t="n"/>
      <c r="P30" s="583" t="n"/>
      <c r="Q30" s="524" t="n"/>
      <c r="R30" s="115" t="n">
        <v>60.19</v>
      </c>
      <c r="S30" s="510" t="n">
        <v>65.73999999999999</v>
      </c>
      <c r="T30" s="117" t="n">
        <v>60</v>
      </c>
      <c r="U30" s="241" t="n">
        <v>23.33</v>
      </c>
      <c r="V30" s="241" t="n">
        <v>42.5</v>
      </c>
      <c r="W30" s="241" t="n">
        <v>26.19</v>
      </c>
      <c r="X30" s="241" t="n">
        <v>86.97</v>
      </c>
      <c r="Y30" s="241" t="n">
        <v>82.73</v>
      </c>
      <c r="Z30" s="114" t="n">
        <v>37.41</v>
      </c>
      <c r="AA30" s="546" t="n">
        <v>43</v>
      </c>
      <c r="AB30" s="115" t="n">
        <v>44.17</v>
      </c>
      <c r="AC30" s="117" t="n"/>
      <c r="AD30" s="117" t="n"/>
      <c r="AE30" s="114" t="n">
        <v>53.33</v>
      </c>
      <c r="AF30" s="583" t="n">
        <v>58.33</v>
      </c>
      <c r="AG30" s="117" t="n">
        <v>73.33</v>
      </c>
      <c r="AH30" s="115" t="n">
        <v>41.6666666666667</v>
      </c>
      <c r="AI30" s="665" t="n"/>
      <c r="AJ30" s="115" t="n">
        <v>65</v>
      </c>
      <c r="AK30" s="665" t="n"/>
      <c r="AL30" s="510" t="n">
        <v>68.61</v>
      </c>
      <c r="AM30" s="510" t="n">
        <v>65.76000000000001</v>
      </c>
      <c r="AN30" s="691" t="n">
        <v>73.7</v>
      </c>
      <c r="AO30" s="683" t="n"/>
      <c r="AP30" s="663" t="n"/>
      <c r="AQ30" s="127" t="n">
        <v>83.33</v>
      </c>
      <c r="AR30" s="128" t="n">
        <v>83.33</v>
      </c>
      <c r="AS30" s="128" t="n">
        <v>63.33</v>
      </c>
      <c r="AT30" s="131" t="n">
        <v>81.67</v>
      </c>
      <c r="AU30" s="127" t="n">
        <v>71.67</v>
      </c>
      <c r="AV30" s="128" t="n">
        <v>79.33</v>
      </c>
      <c r="AW30" s="128" t="n">
        <v>69.5</v>
      </c>
      <c r="AX30" s="128" t="n">
        <v>31.9047619047619</v>
      </c>
      <c r="AY30" s="543" t="n">
        <v>42.6666666666667</v>
      </c>
      <c r="AZ30" s="543" t="n">
        <v>40.9523809523809</v>
      </c>
      <c r="BA30" s="131" t="n">
        <v>48.8888888888889</v>
      </c>
      <c r="BB30" s="127" t="n">
        <v>83.33</v>
      </c>
      <c r="BC30" s="131" t="n">
        <v>79</v>
      </c>
      <c r="BD30" s="663" t="n"/>
      <c r="BE30" s="131" t="n"/>
      <c r="BF30" s="131" t="n"/>
      <c r="BG30" s="131" t="n"/>
      <c r="BH30" s="114" t="n"/>
      <c r="BI30" s="546" t="n"/>
      <c r="BJ30" s="511" t="n"/>
      <c r="BK30" s="114" t="n"/>
      <c r="BL30" s="546" t="n"/>
      <c r="BM30" s="511" t="n"/>
      <c r="BN30" s="114" t="n"/>
      <c r="BO30" s="546" t="n"/>
      <c r="BP30" s="546" t="n"/>
      <c r="BQ30" s="546" t="n"/>
      <c r="BR30" s="546" t="n"/>
      <c r="BS30" s="546" t="n"/>
      <c r="BT30" s="511" t="n"/>
      <c r="BU30" s="546" t="n"/>
      <c r="BV30" s="546" t="n"/>
      <c r="BW30" s="546" t="n"/>
      <c r="BX30" s="546" t="n"/>
      <c r="BY30" s="546" t="n"/>
      <c r="BZ30" s="546" t="n"/>
      <c r="CA30" s="546" t="n"/>
      <c r="CB30" s="15" t="n"/>
      <c r="CC30" s="546" t="n"/>
      <c r="CD30" s="546" t="n"/>
      <c r="CE30" s="546" t="n"/>
      <c r="CF30" s="546" t="n"/>
      <c r="CG30" s="546" t="n"/>
      <c r="CH30" s="15" t="n"/>
      <c r="CI30" s="546" t="n"/>
      <c r="CJ30" s="546" t="n"/>
      <c r="CK30" s="17" t="n"/>
      <c r="CL30" s="546" t="n"/>
      <c r="CM30" s="546" t="n"/>
      <c r="CN30" s="546" t="n"/>
      <c r="CO30" s="546" t="n"/>
      <c r="CP30" s="583" t="n"/>
      <c r="CQ30" s="15" t="n"/>
      <c r="CR30" s="15" t="n"/>
      <c r="CS30" s="15" t="n"/>
      <c r="CT30" s="15" t="n"/>
      <c r="CU30" s="546" t="n"/>
      <c r="CV30" s="17" t="n"/>
      <c r="CW30" s="74" t="n"/>
      <c r="CX30" s="75" t="n"/>
      <c r="CY30" s="76" t="n"/>
      <c r="CZ30" s="76" t="n"/>
      <c r="DA30" s="91" t="n"/>
      <c r="DB30" s="141" t="n"/>
      <c r="DC30" s="162" t="n"/>
      <c r="DD30" s="162" t="n"/>
      <c r="DE30" s="162" t="n"/>
      <c r="DF30" s="163" t="n"/>
      <c r="DG30" s="141" t="n"/>
      <c r="DH30" s="162" t="n"/>
      <c r="DI30" s="162" t="n"/>
      <c r="DJ30" s="512" t="n"/>
      <c r="DK30" s="491" t="n"/>
      <c r="DL30" s="141" t="n"/>
      <c r="DM30" s="139" t="n"/>
      <c r="DN30" s="139" t="n"/>
      <c r="DO30" s="139" t="n"/>
      <c r="DP30" s="347" t="n"/>
      <c r="DQ30" s="348" t="n"/>
      <c r="DR30" s="162" t="n"/>
      <c r="DS30" s="162" t="n"/>
      <c r="DT30" s="162" t="n"/>
      <c r="DU30" s="162" t="n"/>
      <c r="DV30" s="201" t="n"/>
      <c r="DW30" s="201" t="n"/>
      <c r="DX30" s="163" t="n"/>
      <c r="DY30" s="141" t="n"/>
      <c r="DZ30" s="139" t="n"/>
      <c r="EA30" s="139" t="n"/>
      <c r="EB30" s="139" t="n"/>
      <c r="EC30" s="140" t="n"/>
      <c r="ED30" s="347" t="n"/>
      <c r="EE30" s="147" t="n"/>
      <c r="EF30" s="141" t="n"/>
      <c r="EG30" s="349" t="n"/>
      <c r="EH30" s="349" t="n"/>
      <c r="EI30" s="139" t="n"/>
      <c r="EJ30" s="147" t="n"/>
      <c r="EK30" s="141" t="n"/>
      <c r="EL30" s="139" t="n"/>
      <c r="EM30" s="139" t="n"/>
      <c r="EN30" s="139" t="n"/>
      <c r="EO30" s="140" t="n"/>
      <c r="EP30" s="147" t="n"/>
      <c r="EQ30" s="141" t="n"/>
      <c r="ER30" s="140" t="n"/>
      <c r="ES30" s="140" t="n"/>
      <c r="ET30" s="140" t="n"/>
      <c r="EU30" s="347" t="n"/>
      <c r="EV30" s="348" t="n"/>
      <c r="EW30" s="141" t="n"/>
      <c r="EX30" s="140" t="n"/>
      <c r="EY30" s="147" t="n"/>
      <c r="EZ30" s="107" t="n"/>
      <c r="FA30" s="587" t="n"/>
      <c r="FB30" s="587" t="n"/>
      <c r="FC30" s="141" t="n"/>
      <c r="FD30" s="140" t="n"/>
      <c r="FE30" s="140" t="n"/>
      <c r="FF30" s="140" t="n"/>
      <c r="FG30" s="140" t="n"/>
      <c r="FH30" s="147" t="n"/>
      <c r="FI30" s="74" t="n"/>
      <c r="FJ30" s="148" t="n"/>
      <c r="FK30" s="148" t="n"/>
      <c r="FL30" s="148" t="n"/>
      <c r="FM30" s="150" t="n"/>
      <c r="FN30" s="92" t="n"/>
      <c r="FO30" s="91" t="n"/>
      <c r="FP30" s="74" t="n"/>
      <c r="FQ30" s="92" t="n"/>
      <c r="FR30" s="148" t="n"/>
      <c r="FS30" s="149" t="n"/>
      <c r="FT30" s="150" t="n"/>
      <c r="FU30" s="99" t="n"/>
      <c r="FV30" s="100" t="n"/>
      <c r="FW30" s="100" t="n"/>
      <c r="FX30" s="100" t="n"/>
      <c r="FY30" s="100" t="n"/>
      <c r="FZ30" s="100" t="n"/>
      <c r="GA30" s="100" t="n"/>
      <c r="GB30" s="100" t="n"/>
      <c r="GC30" s="100" t="n"/>
      <c r="GD30" s="100" t="n"/>
      <c r="GE30" s="100" t="n"/>
      <c r="GF30" s="102" t="n"/>
      <c r="GG30" s="15" t="n"/>
      <c r="GH30" s="546" t="n"/>
      <c r="GI30" s="546" t="n"/>
      <c r="GJ30" s="17" t="n"/>
      <c r="GK30" s="15" t="n"/>
      <c r="GL30" s="546" t="n"/>
      <c r="GM30" s="546" t="n"/>
      <c r="GN30" s="17" t="n"/>
      <c r="GO30" s="31" t="n"/>
      <c r="GP30" s="349" t="n"/>
      <c r="GQ30" s="349" t="n"/>
      <c r="GR30" s="45" t="n"/>
      <c r="GS30" s="351" t="n"/>
      <c r="GT30" s="31" t="n"/>
      <c r="GU30" s="45" t="n"/>
      <c r="GV30" s="45" t="n"/>
      <c r="GW30" s="350" t="n"/>
      <c r="GX30" s="351" t="n"/>
      <c r="GY30" s="107" t="n"/>
      <c r="GZ30" s="587" t="n"/>
      <c r="HA30" s="108" t="n"/>
      <c r="HB30" s="15" t="n"/>
      <c r="HC30" s="546" t="n"/>
      <c r="HD30" s="17" t="n"/>
      <c r="HE30" s="15" t="n"/>
      <c r="HF30" s="546" t="n"/>
      <c r="HG30" s="546" t="n"/>
      <c r="HH30" s="17" t="n"/>
      <c r="HI30" s="31" t="n"/>
      <c r="HJ30" s="45" t="n"/>
      <c r="HK30" s="45" t="n"/>
      <c r="HL30" s="45" t="n"/>
      <c r="HM30" s="45" t="n"/>
      <c r="HN30" s="45" t="n"/>
      <c r="HO30" s="45" t="n"/>
      <c r="HP30" s="45" t="n"/>
      <c r="HQ30" s="45" t="n"/>
      <c r="HR30" s="45" t="n"/>
      <c r="HS30" s="45" t="n"/>
      <c r="HT30" s="351" t="n"/>
      <c r="HU30" s="606" t="n"/>
      <c r="HV30" s="65">
        <f>AVERAGE(AX30,AU30,AQ30,AN30,Z30,R30,O30,J30)</f>
        <v/>
      </c>
      <c r="HW30" s="66">
        <f>AVERAGE(BB30,AR30,AH30,AD30,P30,H30,E30)</f>
        <v/>
      </c>
      <c r="HX30" s="66">
        <f>AVERAGE(BC30,AE30)</f>
        <v/>
      </c>
      <c r="HY30" s="66">
        <f>AVERAGE(AW30,AV30,AS30,AL30,AJ30,Q30)</f>
        <v/>
      </c>
      <c r="HZ30" s="66">
        <f>AVERAGE(AT30,AM30,AF30,T30,I30)</f>
        <v/>
      </c>
      <c r="IA30" s="66">
        <f>AVERAGE(AY30,AG30)</f>
        <v/>
      </c>
      <c r="IB30" s="66">
        <f>AVERAGE(AZ30,#REF!)</f>
        <v/>
      </c>
      <c r="IC30" s="66" t="n"/>
      <c r="ID30" s="66">
        <f>AVERAGE(BA30)</f>
        <v/>
      </c>
      <c r="IE30" s="66">
        <f>AVERAGE(AC30)</f>
        <v/>
      </c>
    </row>
    <row r="31" ht="18" customHeight="1" s="590">
      <c r="B31" s="12" t="n">
        <v>25</v>
      </c>
      <c r="C31" s="13" t="inlineStr">
        <is>
          <t>052-24-125443</t>
        </is>
      </c>
      <c r="D31" s="14" t="inlineStr">
        <is>
          <t>Annan Khalid</t>
        </is>
      </c>
      <c r="E31" s="526" t="n">
        <v>68</v>
      </c>
      <c r="F31" s="526" t="n">
        <v>68.33</v>
      </c>
      <c r="G31" s="526" t="n">
        <v>68.33</v>
      </c>
      <c r="H31" s="526" t="n">
        <v>62.8</v>
      </c>
      <c r="I31" s="526" t="n">
        <v>56.13</v>
      </c>
      <c r="J31" s="253" t="n">
        <v>65.63</v>
      </c>
      <c r="K31" s="249" t="n">
        <v>60</v>
      </c>
      <c r="L31" s="249" t="n">
        <v>70</v>
      </c>
      <c r="M31" s="249" t="n">
        <v>74.84999999999999</v>
      </c>
      <c r="N31" s="254" t="n">
        <v>79.17</v>
      </c>
      <c r="O31" s="524" t="n">
        <v>52.5</v>
      </c>
      <c r="P31" s="524" t="n">
        <v>62.92</v>
      </c>
      <c r="Q31" s="524" t="n">
        <v>66</v>
      </c>
      <c r="R31" s="115" t="n">
        <v>61.67</v>
      </c>
      <c r="S31" s="510" t="n">
        <v>64.81</v>
      </c>
      <c r="T31" s="117" t="n">
        <v>40</v>
      </c>
      <c r="U31" s="241" t="n">
        <v>80</v>
      </c>
      <c r="V31" s="241" t="n">
        <v>85</v>
      </c>
      <c r="W31" s="241" t="n">
        <v>56.55</v>
      </c>
      <c r="X31" s="241" t="n">
        <v>95.15000000000001</v>
      </c>
      <c r="Y31" s="241" t="n">
        <v>90</v>
      </c>
      <c r="Z31" s="114" t="n">
        <v>76.3</v>
      </c>
      <c r="AA31" s="546" t="n">
        <v>66</v>
      </c>
      <c r="AB31" s="115" t="n">
        <v>66.67</v>
      </c>
      <c r="AC31" s="117" t="n"/>
      <c r="AD31" s="117" t="n"/>
      <c r="AE31" s="114" t="n">
        <v>60</v>
      </c>
      <c r="AF31" s="583" t="n">
        <v>63.33</v>
      </c>
      <c r="AG31" s="117" t="n">
        <v>71.67</v>
      </c>
      <c r="AH31" s="115" t="n">
        <v>61.6666666666667</v>
      </c>
      <c r="AI31" s="665" t="n"/>
      <c r="AJ31" s="115" t="n">
        <v>79.1666666666667</v>
      </c>
      <c r="AK31" s="665" t="n"/>
      <c r="AL31" s="510" t="n">
        <v>69.44</v>
      </c>
      <c r="AM31" s="510" t="n">
        <v>71.52</v>
      </c>
      <c r="AN31" s="691" t="n">
        <v>71.48</v>
      </c>
      <c r="AO31" s="683" t="n"/>
      <c r="AP31" s="663" t="n"/>
      <c r="AQ31" s="127" t="n">
        <v>83.33</v>
      </c>
      <c r="AR31" s="128" t="n">
        <v>83.33</v>
      </c>
      <c r="AS31" s="128" t="n">
        <v>72.22</v>
      </c>
      <c r="AT31" s="131" t="n">
        <v>68.33</v>
      </c>
      <c r="AU31" s="127" t="n">
        <v>53.33</v>
      </c>
      <c r="AV31" s="128" t="n">
        <v>75</v>
      </c>
      <c r="AW31" s="128" t="n">
        <v>91</v>
      </c>
      <c r="AX31" s="128" t="n">
        <v>40.3174603174603</v>
      </c>
      <c r="AY31" s="543" t="n">
        <v>35.3333333333333</v>
      </c>
      <c r="AZ31" s="543" t="n">
        <v>56.6666666666667</v>
      </c>
      <c r="BA31" s="131" t="n">
        <v>49.4444444444444</v>
      </c>
      <c r="BB31" s="127" t="n">
        <v>79.17</v>
      </c>
      <c r="BC31" s="131" t="n">
        <v>75.25</v>
      </c>
      <c r="BD31" s="663" t="n"/>
      <c r="BE31" s="131" t="n"/>
      <c r="BF31" s="131" t="n"/>
      <c r="BG31" s="131" t="n"/>
      <c r="BH31" s="114" t="n"/>
      <c r="BI31" s="546" t="n"/>
      <c r="BJ31" s="511" t="n"/>
      <c r="BK31" s="114" t="n"/>
      <c r="BL31" s="546" t="n"/>
      <c r="BM31" s="511" t="n"/>
      <c r="BN31" s="114" t="n"/>
      <c r="BO31" s="546" t="n"/>
      <c r="BP31" s="546" t="n"/>
      <c r="BQ31" s="546" t="n"/>
      <c r="BR31" s="546" t="n"/>
      <c r="BS31" s="546" t="n"/>
      <c r="BT31" s="511" t="n"/>
      <c r="BU31" s="546" t="n"/>
      <c r="BV31" s="546" t="n"/>
      <c r="BW31" s="546" t="n"/>
      <c r="BX31" s="546" t="n"/>
      <c r="BY31" s="546" t="n"/>
      <c r="BZ31" s="546" t="n"/>
      <c r="CA31" s="546" t="n"/>
      <c r="CB31" s="15" t="n"/>
      <c r="CC31" s="546" t="n"/>
      <c r="CD31" s="546" t="n"/>
      <c r="CE31" s="546" t="n"/>
      <c r="CF31" s="546" t="n"/>
      <c r="CG31" s="546" t="n"/>
      <c r="CH31" s="15" t="n"/>
      <c r="CI31" s="546" t="n"/>
      <c r="CJ31" s="546" t="n"/>
      <c r="CK31" s="17" t="n"/>
      <c r="CL31" s="546" t="n"/>
      <c r="CM31" s="546" t="n"/>
      <c r="CN31" s="546" t="n"/>
      <c r="CO31" s="546" t="n"/>
      <c r="CP31" s="583" t="n"/>
      <c r="CQ31" s="15" t="n"/>
      <c r="CR31" s="15" t="n"/>
      <c r="CS31" s="15" t="n"/>
      <c r="CT31" s="15" t="n"/>
      <c r="CU31" s="546" t="n"/>
      <c r="CV31" s="17" t="n"/>
      <c r="CW31" s="74" t="n"/>
      <c r="CX31" s="75" t="n"/>
      <c r="CY31" s="76" t="n"/>
      <c r="CZ31" s="76" t="n"/>
      <c r="DA31" s="91" t="n"/>
      <c r="DB31" s="141" t="n"/>
      <c r="DC31" s="162" t="n"/>
      <c r="DD31" s="162" t="n"/>
      <c r="DE31" s="162" t="n"/>
      <c r="DF31" s="163" t="n"/>
      <c r="DG31" s="141" t="n"/>
      <c r="DH31" s="162" t="n"/>
      <c r="DI31" s="162" t="n"/>
      <c r="DJ31" s="512" t="n"/>
      <c r="DK31" s="491" t="n"/>
      <c r="DL31" s="141" t="n"/>
      <c r="DM31" s="139" t="n"/>
      <c r="DN31" s="139" t="n"/>
      <c r="DO31" s="139" t="n"/>
      <c r="DP31" s="347" t="n"/>
      <c r="DQ31" s="348" t="n"/>
      <c r="DR31" s="162" t="n"/>
      <c r="DS31" s="162" t="n"/>
      <c r="DT31" s="162" t="n"/>
      <c r="DU31" s="162" t="n"/>
      <c r="DV31" s="201" t="n"/>
      <c r="DW31" s="201" t="n"/>
      <c r="DX31" s="163" t="n"/>
      <c r="DY31" s="141" t="n"/>
      <c r="DZ31" s="139" t="n"/>
      <c r="EA31" s="139" t="n"/>
      <c r="EB31" s="139" t="n"/>
      <c r="EC31" s="140" t="n"/>
      <c r="ED31" s="347" t="n"/>
      <c r="EE31" s="147" t="n"/>
      <c r="EF31" s="141" t="n"/>
      <c r="EG31" s="349" t="n"/>
      <c r="EH31" s="349" t="n"/>
      <c r="EI31" s="139" t="n"/>
      <c r="EJ31" s="147" t="n"/>
      <c r="EK31" s="141" t="n"/>
      <c r="EL31" s="139" t="n"/>
      <c r="EM31" s="139" t="n"/>
      <c r="EN31" s="139" t="n"/>
      <c r="EO31" s="140" t="n"/>
      <c r="EP31" s="147" t="n"/>
      <c r="EQ31" s="141" t="n"/>
      <c r="ER31" s="140" t="n"/>
      <c r="ES31" s="140" t="n"/>
      <c r="ET31" s="140" t="n"/>
      <c r="EU31" s="347" t="n"/>
      <c r="EV31" s="348" t="n"/>
      <c r="EW31" s="141" t="n"/>
      <c r="EX31" s="140" t="n"/>
      <c r="EY31" s="147" t="n"/>
      <c r="EZ31" s="107" t="n"/>
      <c r="FA31" s="587" t="n"/>
      <c r="FB31" s="587" t="n"/>
      <c r="FC31" s="141" t="n"/>
      <c r="FD31" s="140" t="n"/>
      <c r="FE31" s="140" t="n"/>
      <c r="FF31" s="140" t="n"/>
      <c r="FG31" s="140" t="n"/>
      <c r="FH31" s="147" t="n"/>
      <c r="FI31" s="74" t="n"/>
      <c r="FJ31" s="148" t="n"/>
      <c r="FK31" s="148" t="n"/>
      <c r="FL31" s="148" t="n"/>
      <c r="FM31" s="150" t="n"/>
      <c r="FN31" s="92" t="n"/>
      <c r="FO31" s="91" t="n"/>
      <c r="FP31" s="74" t="n"/>
      <c r="FQ31" s="92" t="n"/>
      <c r="FR31" s="148" t="n"/>
      <c r="FS31" s="149" t="n"/>
      <c r="FT31" s="150" t="n"/>
      <c r="FU31" s="99" t="n"/>
      <c r="FV31" s="100" t="n"/>
      <c r="FW31" s="100" t="n"/>
      <c r="FX31" s="100" t="n"/>
      <c r="FY31" s="100" t="n"/>
      <c r="FZ31" s="100" t="n"/>
      <c r="GA31" s="100" t="n"/>
      <c r="GB31" s="100" t="n"/>
      <c r="GC31" s="100" t="n"/>
      <c r="GD31" s="100" t="n"/>
      <c r="GE31" s="100" t="n"/>
      <c r="GF31" s="102" t="n"/>
      <c r="GG31" s="15" t="n"/>
      <c r="GH31" s="546" t="n"/>
      <c r="GI31" s="546" t="n"/>
      <c r="GJ31" s="17" t="n"/>
      <c r="GK31" s="15" t="n"/>
      <c r="GL31" s="546" t="n"/>
      <c r="GM31" s="546" t="n"/>
      <c r="GN31" s="17" t="n"/>
      <c r="GO31" s="31" t="n"/>
      <c r="GP31" s="349" t="n"/>
      <c r="GQ31" s="349" t="n"/>
      <c r="GR31" s="45" t="n"/>
      <c r="GS31" s="351" t="n"/>
      <c r="GT31" s="31" t="n"/>
      <c r="GU31" s="45" t="n"/>
      <c r="GV31" s="45" t="n"/>
      <c r="GW31" s="350" t="n"/>
      <c r="GX31" s="351" t="n"/>
      <c r="GY31" s="107" t="n"/>
      <c r="GZ31" s="587" t="n"/>
      <c r="HA31" s="108" t="n"/>
      <c r="HB31" s="15" t="n"/>
      <c r="HC31" s="546" t="n"/>
      <c r="HD31" s="17" t="n"/>
      <c r="HE31" s="15" t="n"/>
      <c r="HF31" s="546" t="n"/>
      <c r="HG31" s="546" t="n"/>
      <c r="HH31" s="17" t="n"/>
      <c r="HI31" s="31" t="n"/>
      <c r="HJ31" s="45" t="n"/>
      <c r="HK31" s="45" t="n"/>
      <c r="HL31" s="45" t="n"/>
      <c r="HM31" s="45" t="n"/>
      <c r="HN31" s="45" t="n"/>
      <c r="HO31" s="45" t="n"/>
      <c r="HP31" s="45" t="n"/>
      <c r="HQ31" s="45" t="n"/>
      <c r="HR31" s="45" t="n"/>
      <c r="HS31" s="45" t="n"/>
      <c r="HT31" s="351" t="n"/>
      <c r="HU31" s="606" t="n"/>
      <c r="HV31" s="65">
        <f>AVERAGE(AX31,AU31,AQ31,AN31,Z31,R31,O31,J31)</f>
        <v/>
      </c>
      <c r="HW31" s="66">
        <f>AVERAGE(BB31,AR31,AH31,AD31,P31,H31,E31)</f>
        <v/>
      </c>
      <c r="HX31" s="66">
        <f>AVERAGE(BC31,AE31)</f>
        <v/>
      </c>
      <c r="HY31" s="66">
        <f>AVERAGE(AW31,AV31,AS31,AL31,AJ31,Q31)</f>
        <v/>
      </c>
      <c r="HZ31" s="66">
        <f>AVERAGE(AT31,AM31,AF31,T31,I31)</f>
        <v/>
      </c>
      <c r="IA31" s="66">
        <f>AVERAGE(AY31,AG31)</f>
        <v/>
      </c>
      <c r="IB31" s="66">
        <f>AVERAGE(AZ31,#REF!)</f>
        <v/>
      </c>
      <c r="IC31" s="66" t="n"/>
      <c r="ID31" s="66">
        <f>AVERAGE(BA31)</f>
        <v/>
      </c>
      <c r="IE31" s="66">
        <f>AVERAGE(AC31)</f>
        <v/>
      </c>
    </row>
    <row r="32" ht="18" customHeight="1" s="590">
      <c r="B32" s="12" t="n">
        <v>26</v>
      </c>
      <c r="C32" s="13" t="inlineStr">
        <is>
          <t>052-24-125016</t>
        </is>
      </c>
      <c r="D32" s="14" t="inlineStr">
        <is>
          <t>Tanseela Mureed</t>
        </is>
      </c>
      <c r="E32" s="526" t="n">
        <v>94</v>
      </c>
      <c r="F32" s="526" t="n">
        <v>93.33</v>
      </c>
      <c r="G32" s="526" t="n">
        <v>82.5</v>
      </c>
      <c r="H32" s="526" t="n">
        <v>84.81</v>
      </c>
      <c r="I32" s="526" t="n">
        <v>79</v>
      </c>
      <c r="J32" s="253" t="n">
        <v>95.94</v>
      </c>
      <c r="K32" s="249" t="n">
        <v>84.33</v>
      </c>
      <c r="L32" s="249" t="n">
        <v>85</v>
      </c>
      <c r="M32" s="249" t="n">
        <v>96.20999999999999</v>
      </c>
      <c r="N32" s="254" t="n">
        <v>99.17</v>
      </c>
      <c r="O32" s="524" t="n">
        <v>93.33</v>
      </c>
      <c r="P32" s="524" t="n">
        <v>80.83</v>
      </c>
      <c r="Q32" s="524" t="n">
        <v>69.5</v>
      </c>
      <c r="R32" s="115" t="n">
        <v>92.78</v>
      </c>
      <c r="S32" s="510" t="n">
        <v>99</v>
      </c>
      <c r="T32" s="117" t="n">
        <v>99.90000000000001</v>
      </c>
      <c r="U32" s="241" t="n">
        <v>60</v>
      </c>
      <c r="V32" s="241" t="n">
        <v>100</v>
      </c>
      <c r="W32" s="241" t="n">
        <v>86.90000000000001</v>
      </c>
      <c r="X32" s="241" t="n">
        <v>96.36</v>
      </c>
      <c r="Y32" s="241" t="n">
        <v>96.36</v>
      </c>
      <c r="Z32" s="114" t="n">
        <v>95.19</v>
      </c>
      <c r="AA32" s="546" t="n">
        <v>93</v>
      </c>
      <c r="AB32" s="115" t="n">
        <v>91.45999999999999</v>
      </c>
      <c r="AC32" s="117" t="n"/>
      <c r="AD32" s="117" t="n"/>
      <c r="AE32" s="114" t="n">
        <v>80</v>
      </c>
      <c r="AF32" s="583" t="n">
        <v>82.5</v>
      </c>
      <c r="AG32" s="117" t="n">
        <v>86.67</v>
      </c>
      <c r="AH32" s="115" t="n">
        <v>88.3333333333333</v>
      </c>
      <c r="AI32" s="665" t="n"/>
      <c r="AJ32" s="115" t="n">
        <v>85</v>
      </c>
      <c r="AK32" s="665" t="n"/>
      <c r="AL32" s="510" t="n">
        <v>90.28</v>
      </c>
      <c r="AM32" s="510" t="n">
        <v>90.91</v>
      </c>
      <c r="AN32" s="691" t="n">
        <v>88.15000000000001</v>
      </c>
      <c r="AO32" s="683" t="n"/>
      <c r="AP32" s="663" t="n"/>
      <c r="AQ32" s="127" t="n">
        <v>93.33</v>
      </c>
      <c r="AR32" s="128" t="n">
        <v>96.67</v>
      </c>
      <c r="AS32" s="128" t="n">
        <v>82.22</v>
      </c>
      <c r="AT32" s="131" t="n">
        <v>76.67</v>
      </c>
      <c r="AU32" s="127" t="n">
        <v>82.5</v>
      </c>
      <c r="AV32" s="128" t="n">
        <v>92.67</v>
      </c>
      <c r="AW32" s="128" t="n">
        <v>90</v>
      </c>
      <c r="AX32" s="128" t="n">
        <v>86.6666666666667</v>
      </c>
      <c r="AY32" s="543" t="n">
        <v>84.6666666666667</v>
      </c>
      <c r="AZ32" s="543" t="n">
        <v>79.5238095238095</v>
      </c>
      <c r="BA32" s="131" t="n">
        <v>91.6666666666667</v>
      </c>
      <c r="BB32" s="127" t="n">
        <v>95</v>
      </c>
      <c r="BC32" s="131" t="n">
        <v>84.25</v>
      </c>
      <c r="BD32" s="663" t="n"/>
      <c r="BE32" s="131" t="n"/>
      <c r="BF32" s="131" t="n"/>
      <c r="BG32" s="131" t="n"/>
      <c r="BH32" s="114" t="n"/>
      <c r="BI32" s="546" t="n"/>
      <c r="BJ32" s="511" t="n"/>
      <c r="BK32" s="114" t="n"/>
      <c r="BL32" s="546" t="n"/>
      <c r="BM32" s="511" t="n"/>
      <c r="BN32" s="114" t="n"/>
      <c r="BO32" s="546" t="n"/>
      <c r="BP32" s="546" t="n"/>
      <c r="BQ32" s="546" t="n"/>
      <c r="BR32" s="546" t="n"/>
      <c r="BS32" s="546" t="n"/>
      <c r="BT32" s="511" t="n"/>
      <c r="BU32" s="546" t="n"/>
      <c r="BV32" s="546" t="n"/>
      <c r="BW32" s="546" t="n"/>
      <c r="BX32" s="546" t="n"/>
      <c r="BY32" s="546" t="n"/>
      <c r="BZ32" s="546" t="n"/>
      <c r="CA32" s="546" t="n"/>
      <c r="CB32" s="15" t="n"/>
      <c r="CC32" s="546" t="n"/>
      <c r="CD32" s="546" t="n"/>
      <c r="CE32" s="546" t="n"/>
      <c r="CF32" s="546" t="n"/>
      <c r="CG32" s="546" t="n"/>
      <c r="CH32" s="15" t="n"/>
      <c r="CI32" s="546" t="n"/>
      <c r="CJ32" s="546" t="n"/>
      <c r="CK32" s="17" t="n"/>
      <c r="CL32" s="546" t="n"/>
      <c r="CM32" s="546" t="n"/>
      <c r="CN32" s="546" t="n"/>
      <c r="CO32" s="546" t="n"/>
      <c r="CP32" s="583" t="n"/>
      <c r="CQ32" s="15" t="n"/>
      <c r="CR32" s="15" t="n"/>
      <c r="CS32" s="15" t="n"/>
      <c r="CT32" s="15" t="n"/>
      <c r="CU32" s="546" t="n"/>
      <c r="CV32" s="17" t="n"/>
      <c r="CW32" s="74" t="n"/>
      <c r="CX32" s="75" t="n"/>
      <c r="CY32" s="76" t="n"/>
      <c r="CZ32" s="76" t="n"/>
      <c r="DA32" s="91" t="n"/>
      <c r="DB32" s="141" t="n"/>
      <c r="DC32" s="162" t="n"/>
      <c r="DD32" s="162" t="n"/>
      <c r="DE32" s="162" t="n"/>
      <c r="DF32" s="163" t="n"/>
      <c r="DG32" s="141" t="n"/>
      <c r="DH32" s="162" t="n"/>
      <c r="DI32" s="162" t="n"/>
      <c r="DJ32" s="512" t="n"/>
      <c r="DK32" s="665" t="n"/>
      <c r="DL32" s="141" t="n"/>
      <c r="DM32" s="139" t="n"/>
      <c r="DN32" s="139" t="n"/>
      <c r="DO32" s="139" t="n"/>
      <c r="DP32" s="147" t="n"/>
      <c r="DQ32" s="664" t="n"/>
      <c r="DR32" s="162" t="n"/>
      <c r="DS32" s="162" t="n"/>
      <c r="DT32" s="162" t="n"/>
      <c r="DU32" s="162" t="n"/>
      <c r="DV32" s="201" t="n"/>
      <c r="DW32" s="201" t="n"/>
      <c r="DX32" s="163" t="n"/>
      <c r="DY32" s="141" t="n"/>
      <c r="DZ32" s="139" t="n"/>
      <c r="EA32" s="139" t="n"/>
      <c r="EB32" s="139" t="n"/>
      <c r="EC32" s="140" t="n"/>
      <c r="ED32" s="347" t="n"/>
      <c r="EE32" s="147" t="n"/>
      <c r="EF32" s="141" t="n"/>
      <c r="EG32" s="349" t="n"/>
      <c r="EH32" s="665" t="n"/>
      <c r="EI32" s="139" t="n"/>
      <c r="EJ32" s="147" t="n"/>
      <c r="EK32" s="141" t="n"/>
      <c r="EL32" s="139" t="n"/>
      <c r="EM32" s="139" t="n"/>
      <c r="EN32" s="139" t="n"/>
      <c r="EO32" s="140" t="n"/>
      <c r="EP32" s="147" t="n"/>
      <c r="EQ32" s="141" t="n"/>
      <c r="ER32" s="140" t="n"/>
      <c r="ES32" s="140" t="n"/>
      <c r="ET32" s="140" t="n"/>
      <c r="EU32" s="147" t="n"/>
      <c r="EV32" s="664" t="n"/>
      <c r="EW32" s="141" t="n"/>
      <c r="EX32" s="140" t="n"/>
      <c r="EY32" s="147" t="n"/>
      <c r="EZ32" s="107" t="n"/>
      <c r="FA32" s="587" t="n"/>
      <c r="FB32" s="587" t="n"/>
      <c r="FC32" s="141" t="n"/>
      <c r="FD32" s="140" t="n"/>
      <c r="FE32" s="140" t="n"/>
      <c r="FF32" s="140" t="n"/>
      <c r="FG32" s="140" t="n"/>
      <c r="FH32" s="147" t="n"/>
      <c r="FI32" s="74" t="n"/>
      <c r="FJ32" s="148" t="n"/>
      <c r="FK32" s="148" t="n"/>
      <c r="FL32" s="148" t="n"/>
      <c r="FM32" s="150" t="n"/>
      <c r="FN32" s="92" t="n"/>
      <c r="FO32" s="91" t="n"/>
      <c r="FP32" s="74" t="n"/>
      <c r="FQ32" s="92" t="n"/>
      <c r="FR32" s="148" t="n"/>
      <c r="FS32" s="149" t="n"/>
      <c r="FT32" s="150" t="n"/>
      <c r="FU32" s="99" t="n"/>
      <c r="FV32" s="100" t="n"/>
      <c r="FW32" s="100" t="n"/>
      <c r="FX32" s="100" t="n"/>
      <c r="FY32" s="100" t="n"/>
      <c r="FZ32" s="100" t="n"/>
      <c r="GA32" s="100" t="n"/>
      <c r="GB32" s="100" t="n"/>
      <c r="GC32" s="100" t="n"/>
      <c r="GD32" s="100" t="n"/>
      <c r="GE32" s="100" t="n"/>
      <c r="GF32" s="102" t="n"/>
      <c r="GG32" s="15" t="n"/>
      <c r="GH32" s="546" t="n"/>
      <c r="GI32" s="546" t="n"/>
      <c r="GJ32" s="17" t="n"/>
      <c r="GK32" s="15" t="n"/>
      <c r="GL32" s="546" t="n"/>
      <c r="GM32" s="546" t="n"/>
      <c r="GN32" s="17" t="n"/>
      <c r="GO32" s="31" t="n"/>
      <c r="GP32" s="349" t="n"/>
      <c r="GQ32" s="665" t="n"/>
      <c r="GR32" s="45" t="n"/>
      <c r="GS32" s="351" t="n"/>
      <c r="GT32" s="31" t="n"/>
      <c r="GU32" s="45" t="n"/>
      <c r="GV32" s="45" t="n"/>
      <c r="GW32" s="351" t="n"/>
      <c r="GX32" s="663" t="n"/>
      <c r="GY32" s="107" t="n"/>
      <c r="GZ32" s="587" t="n"/>
      <c r="HA32" s="108" t="n"/>
      <c r="HB32" s="15" t="n"/>
      <c r="HC32" s="546" t="n"/>
      <c r="HD32" s="17" t="n"/>
      <c r="HE32" s="15" t="n"/>
      <c r="HF32" s="546" t="n"/>
      <c r="HG32" s="546" t="n"/>
      <c r="HH32" s="17" t="n"/>
      <c r="HI32" s="31" t="n"/>
      <c r="HJ32" s="45" t="n"/>
      <c r="HK32" s="45" t="n"/>
      <c r="HL32" s="45" t="n"/>
      <c r="HM32" s="45" t="n"/>
      <c r="HN32" s="45" t="n"/>
      <c r="HO32" s="45" t="n"/>
      <c r="HP32" s="45" t="n"/>
      <c r="HQ32" s="45" t="n"/>
      <c r="HR32" s="45" t="n"/>
      <c r="HS32" s="45" t="n"/>
      <c r="HT32" s="351" t="n"/>
      <c r="HU32" s="606" t="n"/>
      <c r="HV32" s="65">
        <f>AVERAGE(AX32,AU32,AQ32,AN32,Z32,R32,O32,J32)</f>
        <v/>
      </c>
      <c r="HW32" s="66">
        <f>AVERAGE(BB32,AR32,AH32,AD32,P32,H32,E32)</f>
        <v/>
      </c>
      <c r="HX32" s="66">
        <f>AVERAGE(BC32,AE32)</f>
        <v/>
      </c>
      <c r="HY32" s="66">
        <f>AVERAGE(AW32,AV32,AS32,AL32,AJ32,Q32)</f>
        <v/>
      </c>
      <c r="HZ32" s="66">
        <f>AVERAGE(AT32,AM32,AF32,T32,I32)</f>
        <v/>
      </c>
      <c r="IA32" s="66">
        <f>AVERAGE(AY32,AG32)</f>
        <v/>
      </c>
      <c r="IB32" s="66">
        <f>AVERAGE(AZ32,#REF!)</f>
        <v/>
      </c>
      <c r="IC32" s="66" t="n"/>
      <c r="ID32" s="66">
        <f>AVERAGE(BA32)</f>
        <v/>
      </c>
      <c r="IE32" s="66">
        <f>AVERAGE(AC32)</f>
        <v/>
      </c>
    </row>
    <row r="33" ht="18" customHeight="1" s="590">
      <c r="B33" s="12" t="n">
        <v>27</v>
      </c>
      <c r="C33" s="13" t="inlineStr">
        <is>
          <t>052-24-125441</t>
        </is>
      </c>
      <c r="D33" s="14" t="inlineStr">
        <is>
          <t>Danish Ghauri</t>
        </is>
      </c>
      <c r="E33" s="526" t="n">
        <v>68</v>
      </c>
      <c r="F33" s="526" t="n">
        <v>65.83</v>
      </c>
      <c r="G33" s="526" t="n">
        <v>70.83</v>
      </c>
      <c r="H33" s="526" t="n">
        <v>40.43</v>
      </c>
      <c r="I33" s="526" t="n">
        <v>18.27</v>
      </c>
      <c r="J33" s="253" t="n">
        <v>65.63</v>
      </c>
      <c r="K33" s="249" t="n">
        <v>68.67</v>
      </c>
      <c r="L33" s="249" t="n">
        <v>72.22</v>
      </c>
      <c r="M33" s="249" t="n">
        <v>50.61</v>
      </c>
      <c r="N33" s="254" t="n">
        <v>47.5</v>
      </c>
      <c r="O33" s="524" t="n">
        <v>57.08</v>
      </c>
      <c r="P33" s="524" t="n">
        <v>60.83</v>
      </c>
      <c r="Q33" s="524" t="n">
        <v>63.5</v>
      </c>
      <c r="R33" s="115" t="n">
        <v>44.63</v>
      </c>
      <c r="S33" s="510" t="n">
        <v>51.85</v>
      </c>
      <c r="T33" s="117" t="n">
        <v>48</v>
      </c>
      <c r="U33" s="241" t="n">
        <v>63.33</v>
      </c>
      <c r="V33" s="241" t="n">
        <v>57.5</v>
      </c>
      <c r="W33" s="241" t="n">
        <v>65.36</v>
      </c>
      <c r="X33" s="241" t="n">
        <v>93.33</v>
      </c>
      <c r="Y33" s="241" t="n">
        <v>86.36</v>
      </c>
      <c r="Z33" s="114" t="n">
        <v>78.52</v>
      </c>
      <c r="AA33" s="546" t="n">
        <v>69</v>
      </c>
      <c r="AB33" s="115" t="n">
        <v>63.33</v>
      </c>
      <c r="AC33" s="117" t="n"/>
      <c r="AD33" s="117" t="n"/>
      <c r="AE33" s="114" t="n">
        <v>66.67</v>
      </c>
      <c r="AF33" s="583" t="n">
        <v>70</v>
      </c>
      <c r="AG33" s="117" t="n">
        <v>83.33</v>
      </c>
      <c r="AH33" s="115" t="n">
        <v>69.5833333333333</v>
      </c>
      <c r="AI33" s="665" t="n"/>
      <c r="AJ33" s="115" t="n">
        <v>80.8333333333333</v>
      </c>
      <c r="AK33" s="665" t="n"/>
      <c r="AL33" s="510" t="n">
        <v>78.61</v>
      </c>
      <c r="AM33" s="510" t="n">
        <v>75.15000000000001</v>
      </c>
      <c r="AN33" s="691" t="n">
        <v>71.48</v>
      </c>
      <c r="AO33" s="683" t="n"/>
      <c r="AP33" s="663" t="n"/>
      <c r="AQ33" s="127" t="n">
        <v>70</v>
      </c>
      <c r="AR33" s="128" t="n">
        <v>73.33</v>
      </c>
      <c r="AS33" s="128" t="n">
        <v>68.89</v>
      </c>
      <c r="AT33" s="131" t="n">
        <v>55</v>
      </c>
      <c r="AU33" s="127" t="n">
        <v>70.83</v>
      </c>
      <c r="AV33" s="128" t="n">
        <v>79.33</v>
      </c>
      <c r="AW33" s="128" t="n">
        <v>96</v>
      </c>
      <c r="AX33" s="128" t="n">
        <v>57.6190476190476</v>
      </c>
      <c r="AY33" s="543" t="n">
        <v>72.6666666666667</v>
      </c>
      <c r="AZ33" s="543" t="n">
        <v>83.3333333333333</v>
      </c>
      <c r="BA33" s="131" t="n">
        <v>75</v>
      </c>
      <c r="BB33" s="127" t="n">
        <v>80.83</v>
      </c>
      <c r="BC33" s="131" t="n">
        <v>80.5</v>
      </c>
      <c r="BD33" s="663" t="n"/>
      <c r="BE33" s="131" t="n"/>
      <c r="BF33" s="131" t="n"/>
      <c r="BG33" s="131" t="n"/>
      <c r="BH33" s="114" t="n"/>
      <c r="BI33" s="546" t="n"/>
      <c r="BJ33" s="511" t="n"/>
      <c r="BK33" s="114" t="n"/>
      <c r="BL33" s="546" t="n"/>
      <c r="BM33" s="511" t="n"/>
      <c r="BN33" s="114" t="n"/>
      <c r="BO33" s="546" t="n"/>
      <c r="BP33" s="546" t="n"/>
      <c r="BQ33" s="546" t="n"/>
      <c r="BR33" s="546" t="n"/>
      <c r="BS33" s="546" t="n"/>
      <c r="BT33" s="511" t="n"/>
      <c r="BU33" s="546" t="n"/>
      <c r="BV33" s="546" t="n"/>
      <c r="BW33" s="546" t="n"/>
      <c r="BX33" s="546" t="n"/>
      <c r="BY33" s="546" t="n"/>
      <c r="BZ33" s="546" t="n"/>
      <c r="CA33" s="546" t="n"/>
      <c r="CB33" s="15" t="n"/>
      <c r="CC33" s="546" t="n"/>
      <c r="CD33" s="546" t="n"/>
      <c r="CE33" s="546" t="n"/>
      <c r="CF33" s="546" t="n"/>
      <c r="CG33" s="546" t="n"/>
      <c r="CH33" s="15" t="n"/>
      <c r="CI33" s="546" t="n"/>
      <c r="CJ33" s="546" t="n"/>
      <c r="CK33" s="17" t="n"/>
      <c r="CL33" s="546" t="n"/>
      <c r="CM33" s="546" t="n"/>
      <c r="CN33" s="546" t="n"/>
      <c r="CO33" s="546" t="n"/>
      <c r="CP33" s="583" t="n"/>
      <c r="CQ33" s="15" t="n"/>
      <c r="CR33" s="15" t="n"/>
      <c r="CS33" s="15" t="n"/>
      <c r="CT33" s="15" t="n"/>
      <c r="CU33" s="546" t="n"/>
      <c r="CV33" s="17" t="n"/>
      <c r="CW33" s="74" t="n"/>
      <c r="CX33" s="75" t="n"/>
      <c r="CY33" s="76" t="n"/>
      <c r="CZ33" s="76" t="n"/>
      <c r="DA33" s="91" t="n"/>
      <c r="DB33" s="141" t="n"/>
      <c r="DC33" s="162" t="n"/>
      <c r="DD33" s="162" t="n"/>
      <c r="DE33" s="162" t="n"/>
      <c r="DF33" s="163" t="n"/>
      <c r="DG33" s="141" t="n"/>
      <c r="DH33" s="162" t="n"/>
      <c r="DI33" s="162" t="n"/>
      <c r="DJ33" s="512" t="n"/>
      <c r="DK33" s="491" t="n"/>
      <c r="DL33" s="141" t="n"/>
      <c r="DM33" s="139" t="n"/>
      <c r="DN33" s="139" t="n"/>
      <c r="DO33" s="139" t="n"/>
      <c r="DP33" s="347" t="n"/>
      <c r="DQ33" s="348" t="n"/>
      <c r="DR33" s="162" t="n"/>
      <c r="DS33" s="162" t="n"/>
      <c r="DT33" s="162" t="n"/>
      <c r="DU33" s="162" t="n"/>
      <c r="DV33" s="201" t="n"/>
      <c r="DW33" s="201" t="n"/>
      <c r="DX33" s="163" t="n"/>
      <c r="DY33" s="141" t="n"/>
      <c r="DZ33" s="139" t="n"/>
      <c r="EA33" s="139" t="n"/>
      <c r="EB33" s="139" t="n"/>
      <c r="EC33" s="140" t="n"/>
      <c r="ED33" s="347" t="n"/>
      <c r="EE33" s="147" t="n"/>
      <c r="EF33" s="141" t="n"/>
      <c r="EG33" s="349" t="n"/>
      <c r="EH33" s="349" t="n"/>
      <c r="EI33" s="139" t="n"/>
      <c r="EJ33" s="147" t="n"/>
      <c r="EK33" s="141" t="n"/>
      <c r="EL33" s="139" t="n"/>
      <c r="EM33" s="139" t="n"/>
      <c r="EN33" s="139" t="n"/>
      <c r="EO33" s="140" t="n"/>
      <c r="EP33" s="147" t="n"/>
      <c r="EQ33" s="141" t="n"/>
      <c r="ER33" s="140" t="n"/>
      <c r="ES33" s="140" t="n"/>
      <c r="ET33" s="140" t="n"/>
      <c r="EU33" s="347" t="n"/>
      <c r="EV33" s="348" t="n"/>
      <c r="EW33" s="141" t="n"/>
      <c r="EX33" s="140" t="n"/>
      <c r="EY33" s="147" t="n"/>
      <c r="EZ33" s="107" t="n"/>
      <c r="FA33" s="587" t="n"/>
      <c r="FB33" s="587" t="n"/>
      <c r="FC33" s="141" t="n"/>
      <c r="FD33" s="140" t="n"/>
      <c r="FE33" s="140" t="n"/>
      <c r="FF33" s="140" t="n"/>
      <c r="FG33" s="140" t="n"/>
      <c r="FH33" s="147" t="n"/>
      <c r="FI33" s="74" t="n"/>
      <c r="FJ33" s="148" t="n"/>
      <c r="FK33" s="148" t="n"/>
      <c r="FL33" s="148" t="n"/>
      <c r="FM33" s="150" t="n"/>
      <c r="FN33" s="92" t="n"/>
      <c r="FO33" s="91" t="n"/>
      <c r="FP33" s="74" t="n"/>
      <c r="FQ33" s="92" t="n"/>
      <c r="FR33" s="148" t="n"/>
      <c r="FS33" s="149" t="n"/>
      <c r="FT33" s="150" t="n"/>
      <c r="FU33" s="99" t="n"/>
      <c r="FV33" s="100" t="n"/>
      <c r="FW33" s="100" t="n"/>
      <c r="FX33" s="100" t="n"/>
      <c r="FY33" s="100" t="n"/>
      <c r="FZ33" s="100" t="n"/>
      <c r="GA33" s="100" t="n"/>
      <c r="GB33" s="100" t="n"/>
      <c r="GC33" s="100" t="n"/>
      <c r="GD33" s="100" t="n"/>
      <c r="GE33" s="100" t="n"/>
      <c r="GF33" s="102" t="n"/>
      <c r="GG33" s="15" t="n"/>
      <c r="GH33" s="546" t="n"/>
      <c r="GI33" s="546" t="n"/>
      <c r="GJ33" s="17" t="n"/>
      <c r="GK33" s="15" t="n"/>
      <c r="GL33" s="546" t="n"/>
      <c r="GM33" s="546" t="n"/>
      <c r="GN33" s="17" t="n"/>
      <c r="GO33" s="31" t="n"/>
      <c r="GP33" s="349" t="n"/>
      <c r="GQ33" s="349" t="n"/>
      <c r="GR33" s="45" t="n"/>
      <c r="GS33" s="351" t="n"/>
      <c r="GT33" s="31" t="n"/>
      <c r="GU33" s="45" t="n"/>
      <c r="GV33" s="45" t="n"/>
      <c r="GW33" s="350" t="n"/>
      <c r="GX33" s="351" t="n"/>
      <c r="GY33" s="107" t="n"/>
      <c r="GZ33" s="587" t="n"/>
      <c r="HA33" s="108" t="n"/>
      <c r="HB33" s="15" t="n"/>
      <c r="HC33" s="546" t="n"/>
      <c r="HD33" s="17" t="n"/>
      <c r="HE33" s="15" t="n"/>
      <c r="HF33" s="546" t="n"/>
      <c r="HG33" s="546" t="n"/>
      <c r="HH33" s="17" t="n"/>
      <c r="HI33" s="31" t="n"/>
      <c r="HJ33" s="45" t="n"/>
      <c r="HK33" s="45" t="n"/>
      <c r="HL33" s="45" t="n"/>
      <c r="HM33" s="45" t="n"/>
      <c r="HN33" s="45" t="n"/>
      <c r="HO33" s="45" t="n"/>
      <c r="HP33" s="45" t="n"/>
      <c r="HQ33" s="45" t="n"/>
      <c r="HR33" s="45" t="n"/>
      <c r="HS33" s="45" t="n"/>
      <c r="HT33" s="351" t="n"/>
      <c r="HU33" s="606" t="n"/>
      <c r="HV33" s="65">
        <f>AVERAGE(AX33,AU33,AQ33,AN33,Z33,R33,O33,J33)</f>
        <v/>
      </c>
      <c r="HW33" s="66">
        <f>AVERAGE(BB33,AR33,AH33,AD33,P33,H33,E33)</f>
        <v/>
      </c>
      <c r="HX33" s="66">
        <f>AVERAGE(BC33,AE33)</f>
        <v/>
      </c>
      <c r="HY33" s="66">
        <f>AVERAGE(AW33,AV33,AS33,AL33,AJ33,Q33)</f>
        <v/>
      </c>
      <c r="HZ33" s="66">
        <f>AVERAGE(AT33,AM33,AF33,T33,I33)</f>
        <v/>
      </c>
      <c r="IA33" s="66">
        <f>AVERAGE(AY33,AG33)</f>
        <v/>
      </c>
      <c r="IB33" s="66">
        <f>AVERAGE(AZ33,#REF!)</f>
        <v/>
      </c>
      <c r="IC33" s="66" t="n"/>
      <c r="ID33" s="66">
        <f>AVERAGE(BA33)</f>
        <v/>
      </c>
      <c r="IE33" s="66">
        <f>AVERAGE(AC33)</f>
        <v/>
      </c>
    </row>
    <row r="34" ht="18" customHeight="1" s="590">
      <c r="B34" s="12" t="n">
        <v>28</v>
      </c>
      <c r="C34" s="13" t="inlineStr">
        <is>
          <t>052-24-125416</t>
        </is>
      </c>
      <c r="D34" s="14" t="inlineStr">
        <is>
          <t>Khubaib akhtar</t>
        </is>
      </c>
      <c r="E34" s="526" t="n">
        <v>62</v>
      </c>
      <c r="F34" s="526" t="n">
        <v>62.5</v>
      </c>
      <c r="G34" s="526" t="n">
        <v>79.17</v>
      </c>
      <c r="H34" s="526" t="n">
        <v>37.06</v>
      </c>
      <c r="I34" s="526" t="n">
        <v>17.67</v>
      </c>
      <c r="J34" s="253" t="n">
        <v>72.19</v>
      </c>
      <c r="K34" s="249" t="n">
        <v>64.67</v>
      </c>
      <c r="L34" s="249" t="n">
        <v>71.67</v>
      </c>
      <c r="M34" s="249" t="n">
        <v>41.97</v>
      </c>
      <c r="N34" s="254" t="n">
        <v>42.5</v>
      </c>
      <c r="O34" s="524" t="n">
        <v>52.08</v>
      </c>
      <c r="P34" s="524" t="n">
        <v>64.58</v>
      </c>
      <c r="Q34" s="524" t="n">
        <v>67</v>
      </c>
      <c r="R34" s="115" t="n">
        <v>45.19</v>
      </c>
      <c r="S34" s="510" t="n">
        <v>51.3</v>
      </c>
      <c r="T34" s="117" t="n">
        <v>48</v>
      </c>
      <c r="U34" s="241" t="n">
        <v>83.33</v>
      </c>
      <c r="V34" s="241" t="n">
        <v>60</v>
      </c>
      <c r="W34" s="241" t="n">
        <v>50.36</v>
      </c>
      <c r="X34" s="241" t="n">
        <v>90.61</v>
      </c>
      <c r="Y34" s="241" t="n">
        <v>87.27</v>
      </c>
      <c r="Z34" s="114" t="n">
        <v>74.81</v>
      </c>
      <c r="AA34" s="546" t="n">
        <v>60</v>
      </c>
      <c r="AB34" s="115" t="n">
        <v>76.25</v>
      </c>
      <c r="AC34" s="117" t="n"/>
      <c r="AD34" s="117" t="n"/>
      <c r="AE34" s="114" t="n"/>
      <c r="AF34" s="583" t="n">
        <v>69.17</v>
      </c>
      <c r="AG34" s="117" t="n">
        <v>65</v>
      </c>
      <c r="AH34" s="115" t="n">
        <v>66.6666666666667</v>
      </c>
      <c r="AI34" s="665" t="n"/>
      <c r="AJ34" s="115" t="n">
        <v>74.1666666666667</v>
      </c>
      <c r="AK34" s="665" t="n"/>
      <c r="AL34" s="510" t="n">
        <v>72.78</v>
      </c>
      <c r="AM34" s="510" t="n">
        <v>74.23999999999999</v>
      </c>
      <c r="AN34" s="691" t="n">
        <v>72.04000000000001</v>
      </c>
      <c r="AO34" s="683" t="n"/>
      <c r="AP34" s="663" t="n"/>
      <c r="AQ34" s="127" t="n">
        <v>80</v>
      </c>
      <c r="AR34" s="128" t="n">
        <v>80</v>
      </c>
      <c r="AS34" s="128" t="n">
        <v>74.44</v>
      </c>
      <c r="AT34" s="131" t="n">
        <v>65</v>
      </c>
      <c r="AU34" s="127" t="n">
        <v>78.33</v>
      </c>
      <c r="AV34" s="128" t="n">
        <v>72</v>
      </c>
      <c r="AW34" s="128" t="n">
        <v>76</v>
      </c>
      <c r="AX34" s="128" t="n">
        <v>52.8571428571429</v>
      </c>
      <c r="AY34" s="543" t="n">
        <v>85.3333333333333</v>
      </c>
      <c r="AZ34" s="543" t="n">
        <v>88.5714285714286</v>
      </c>
      <c r="BA34" s="131" t="n">
        <v>75.5555555555556</v>
      </c>
      <c r="BB34" s="127" t="n">
        <v>87.5</v>
      </c>
      <c r="BC34" s="131" t="n">
        <v>81.75</v>
      </c>
      <c r="BD34" s="663" t="n"/>
      <c r="BE34" s="131" t="n"/>
      <c r="BF34" s="131" t="n"/>
      <c r="BG34" s="131" t="n"/>
      <c r="BH34" s="114" t="n"/>
      <c r="BI34" s="546" t="n"/>
      <c r="BJ34" s="511" t="n"/>
      <c r="BK34" s="114" t="n"/>
      <c r="BL34" s="546" t="n"/>
      <c r="BM34" s="511" t="n"/>
      <c r="BN34" s="114" t="n"/>
      <c r="BO34" s="546" t="n"/>
      <c r="BP34" s="546" t="n"/>
      <c r="BQ34" s="546" t="n"/>
      <c r="BR34" s="546" t="n"/>
      <c r="BS34" s="546" t="n"/>
      <c r="BT34" s="511" t="n"/>
      <c r="BU34" s="546" t="n"/>
      <c r="BV34" s="546" t="n"/>
      <c r="BW34" s="546" t="n"/>
      <c r="BX34" s="546" t="n"/>
      <c r="BY34" s="546" t="n"/>
      <c r="BZ34" s="546" t="n"/>
      <c r="CA34" s="546" t="n"/>
      <c r="CB34" s="15" t="n"/>
      <c r="CC34" s="546" t="n"/>
      <c r="CD34" s="546" t="n"/>
      <c r="CE34" s="546" t="n"/>
      <c r="CF34" s="546" t="n"/>
      <c r="CG34" s="546" t="n"/>
      <c r="CH34" s="15" t="n"/>
      <c r="CI34" s="546" t="n"/>
      <c r="CJ34" s="546" t="n"/>
      <c r="CK34" s="17" t="n"/>
      <c r="CL34" s="546" t="n"/>
      <c r="CM34" s="546" t="n"/>
      <c r="CN34" s="546" t="n"/>
      <c r="CO34" s="546" t="n"/>
      <c r="CP34" s="583" t="n"/>
      <c r="CQ34" s="15" t="n"/>
      <c r="CR34" s="15" t="n"/>
      <c r="CS34" s="15" t="n"/>
      <c r="CT34" s="15" t="n"/>
      <c r="CU34" s="546" t="n"/>
      <c r="CV34" s="17" t="n"/>
      <c r="CW34" s="74" t="n"/>
      <c r="CX34" s="75" t="n"/>
      <c r="CY34" s="76" t="n"/>
      <c r="CZ34" s="76" t="n"/>
      <c r="DA34" s="91" t="n"/>
      <c r="DB34" s="141" t="n"/>
      <c r="DC34" s="162" t="n"/>
      <c r="DD34" s="162" t="n"/>
      <c r="DE34" s="162" t="n"/>
      <c r="DF34" s="163" t="n"/>
      <c r="DG34" s="141" t="n"/>
      <c r="DH34" s="162" t="n"/>
      <c r="DI34" s="162" t="n"/>
      <c r="DJ34" s="512" t="n"/>
      <c r="DK34" s="491" t="n"/>
      <c r="DL34" s="141" t="n"/>
      <c r="DM34" s="139" t="n"/>
      <c r="DN34" s="139" t="n"/>
      <c r="DO34" s="139" t="n"/>
      <c r="DP34" s="347" t="n"/>
      <c r="DQ34" s="348" t="n"/>
      <c r="DR34" s="162" t="n"/>
      <c r="DS34" s="162" t="n"/>
      <c r="DT34" s="162" t="n"/>
      <c r="DU34" s="162" t="n"/>
      <c r="DV34" s="201" t="n"/>
      <c r="DW34" s="201" t="n"/>
      <c r="DX34" s="163" t="n"/>
      <c r="DY34" s="141" t="n"/>
      <c r="DZ34" s="139" t="n"/>
      <c r="EA34" s="139" t="n"/>
      <c r="EB34" s="139" t="n"/>
      <c r="EC34" s="140" t="n"/>
      <c r="ED34" s="347" t="n"/>
      <c r="EE34" s="147" t="n"/>
      <c r="EF34" s="141" t="n"/>
      <c r="EG34" s="349" t="n"/>
      <c r="EH34" s="349" t="n"/>
      <c r="EI34" s="139" t="n"/>
      <c r="EJ34" s="147" t="n"/>
      <c r="EK34" s="141" t="n"/>
      <c r="EL34" s="139" t="n"/>
      <c r="EM34" s="139" t="n"/>
      <c r="EN34" s="139" t="n"/>
      <c r="EO34" s="140" t="n"/>
      <c r="EP34" s="147" t="n"/>
      <c r="EQ34" s="141" t="n"/>
      <c r="ER34" s="140" t="n"/>
      <c r="ES34" s="140" t="n"/>
      <c r="ET34" s="140" t="n"/>
      <c r="EU34" s="347" t="n"/>
      <c r="EV34" s="348" t="n"/>
      <c r="EW34" s="141" t="n"/>
      <c r="EX34" s="140" t="n"/>
      <c r="EY34" s="147" t="n"/>
      <c r="EZ34" s="107" t="n"/>
      <c r="FA34" s="587" t="n"/>
      <c r="FB34" s="587" t="n"/>
      <c r="FC34" s="141" t="n"/>
      <c r="FD34" s="140" t="n"/>
      <c r="FE34" s="140" t="n"/>
      <c r="FF34" s="140" t="n"/>
      <c r="FG34" s="140" t="n"/>
      <c r="FH34" s="147" t="n"/>
      <c r="FI34" s="74" t="n"/>
      <c r="FJ34" s="148" t="n"/>
      <c r="FK34" s="148" t="n"/>
      <c r="FL34" s="148" t="n"/>
      <c r="FM34" s="150" t="n"/>
      <c r="FN34" s="92" t="n"/>
      <c r="FO34" s="91" t="n"/>
      <c r="FP34" s="74" t="n"/>
      <c r="FQ34" s="92" t="n"/>
      <c r="FR34" s="148" t="n"/>
      <c r="FS34" s="149" t="n"/>
      <c r="FT34" s="150" t="n"/>
      <c r="FU34" s="99" t="n"/>
      <c r="FV34" s="100" t="n"/>
      <c r="FW34" s="100" t="n"/>
      <c r="FX34" s="100" t="n"/>
      <c r="FY34" s="100" t="n"/>
      <c r="FZ34" s="100" t="n"/>
      <c r="GA34" s="100" t="n"/>
      <c r="GB34" s="100" t="n"/>
      <c r="GC34" s="100" t="n"/>
      <c r="GD34" s="100" t="n"/>
      <c r="GE34" s="100" t="n"/>
      <c r="GF34" s="102" t="n"/>
      <c r="GG34" s="15" t="n"/>
      <c r="GH34" s="546" t="n"/>
      <c r="GI34" s="546" t="n"/>
      <c r="GJ34" s="17" t="n"/>
      <c r="GK34" s="15" t="n"/>
      <c r="GL34" s="546" t="n"/>
      <c r="GM34" s="546" t="n"/>
      <c r="GN34" s="17" t="n"/>
      <c r="GO34" s="31" t="n"/>
      <c r="GP34" s="349" t="n"/>
      <c r="GQ34" s="349" t="n"/>
      <c r="GR34" s="45" t="n"/>
      <c r="GS34" s="351" t="n"/>
      <c r="GT34" s="31" t="n"/>
      <c r="GU34" s="45" t="n"/>
      <c r="GV34" s="45" t="n"/>
      <c r="GW34" s="350" t="n"/>
      <c r="GX34" s="351" t="n"/>
      <c r="GY34" s="107" t="n"/>
      <c r="GZ34" s="587" t="n"/>
      <c r="HA34" s="108" t="n"/>
      <c r="HB34" s="15" t="n"/>
      <c r="HC34" s="546" t="n"/>
      <c r="HD34" s="17" t="n"/>
      <c r="HE34" s="15" t="n"/>
      <c r="HF34" s="546" t="n"/>
      <c r="HG34" s="546" t="n"/>
      <c r="HH34" s="17" t="n"/>
      <c r="HI34" s="31" t="n"/>
      <c r="HJ34" s="45" t="n"/>
      <c r="HK34" s="45" t="n"/>
      <c r="HL34" s="45" t="n"/>
      <c r="HM34" s="45" t="n"/>
      <c r="HN34" s="45" t="n"/>
      <c r="HO34" s="45" t="n"/>
      <c r="HP34" s="45" t="n"/>
      <c r="HQ34" s="45" t="n"/>
      <c r="HR34" s="45" t="n"/>
      <c r="HS34" s="45" t="n"/>
      <c r="HT34" s="351" t="n"/>
      <c r="HU34" s="606" t="n"/>
      <c r="HV34" s="65">
        <f>AVERAGE(AX34,AU34,AQ34,AN34,Z34,R34,O34,J34)</f>
        <v/>
      </c>
      <c r="HW34" s="66">
        <f>AVERAGE(BB34,AR34,AH34,AD34,P34,H34,E34)</f>
        <v/>
      </c>
      <c r="HX34" s="66">
        <f>AVERAGE(BC34,AE34)</f>
        <v/>
      </c>
      <c r="HY34" s="66">
        <f>AVERAGE(AW34,AV34,AS34,AL34,AJ34,Q34)</f>
        <v/>
      </c>
      <c r="HZ34" s="66">
        <f>AVERAGE(AT34,AM34,AF34,T34,I34)</f>
        <v/>
      </c>
      <c r="IA34" s="66">
        <f>AVERAGE(AY34,AG34)</f>
        <v/>
      </c>
      <c r="IB34" s="66">
        <f>AVERAGE(AZ34,#REF!)</f>
        <v/>
      </c>
      <c r="IC34" s="66" t="n"/>
      <c r="ID34" s="66">
        <f>AVERAGE(BA34)</f>
        <v/>
      </c>
      <c r="IE34" s="66" t="n"/>
    </row>
    <row r="35" ht="18" customHeight="1" s="590">
      <c r="B35" s="12" t="n">
        <v>29</v>
      </c>
      <c r="C35" s="13" t="inlineStr">
        <is>
          <t>052-24-125200</t>
        </is>
      </c>
      <c r="D35" s="14" t="inlineStr">
        <is>
          <t>Muhammad Roman Arif</t>
        </is>
      </c>
      <c r="E35" s="526" t="n">
        <v>72</v>
      </c>
      <c r="F35" s="526" t="n">
        <v>55.83</v>
      </c>
      <c r="G35" s="526" t="n">
        <v>77.5</v>
      </c>
      <c r="H35" s="526" t="n">
        <v>62.82</v>
      </c>
      <c r="I35" s="526" t="n">
        <v>58.53</v>
      </c>
      <c r="J35" s="253" t="n">
        <v>61.56</v>
      </c>
      <c r="K35" s="249" t="n">
        <v>66</v>
      </c>
      <c r="L35" s="249" t="n">
        <v>72.78</v>
      </c>
      <c r="M35" s="249" t="n">
        <v>79.09</v>
      </c>
      <c r="N35" s="254" t="n">
        <v>80</v>
      </c>
      <c r="O35" s="524" t="n">
        <v>55</v>
      </c>
      <c r="P35" s="524" t="n">
        <v>65</v>
      </c>
      <c r="Q35" s="524" t="n">
        <v>62</v>
      </c>
      <c r="R35" s="115" t="n">
        <v>70.37</v>
      </c>
      <c r="S35" s="510" t="n">
        <v>81.48</v>
      </c>
      <c r="T35" s="117" t="n">
        <v>80</v>
      </c>
      <c r="U35" s="241" t="n">
        <v>66.67</v>
      </c>
      <c r="V35" s="241" t="n">
        <v>52.5</v>
      </c>
      <c r="W35" s="241" t="n">
        <v>56.43</v>
      </c>
      <c r="X35" s="241" t="n">
        <v>94.55</v>
      </c>
      <c r="Y35" s="241" t="n">
        <v>95.64</v>
      </c>
      <c r="Z35" s="114" t="n">
        <v>63.7</v>
      </c>
      <c r="AA35" s="546" t="n">
        <v>77.5</v>
      </c>
      <c r="AB35" s="115" t="n">
        <v>77.5</v>
      </c>
      <c r="AC35" s="117" t="n"/>
      <c r="AD35" s="117" t="n"/>
      <c r="AE35" s="114" t="n">
        <v>66.67</v>
      </c>
      <c r="AF35" s="583" t="n">
        <v>63.33</v>
      </c>
      <c r="AG35" s="117" t="n">
        <v>75</v>
      </c>
      <c r="AH35" s="115" t="n">
        <v>70</v>
      </c>
      <c r="AI35" s="665" t="n"/>
      <c r="AJ35" s="115" t="n">
        <v>71.6666666666667</v>
      </c>
      <c r="AK35" s="665" t="n"/>
      <c r="AL35" s="510" t="n">
        <v>83.06</v>
      </c>
      <c r="AM35" s="510" t="n">
        <v>75.45</v>
      </c>
      <c r="AN35" s="691" t="n">
        <v>75.56</v>
      </c>
      <c r="AO35" s="683" t="n"/>
      <c r="AP35" s="663" t="n"/>
      <c r="AQ35" s="127" t="n">
        <v>83.33</v>
      </c>
      <c r="AR35" s="128" t="n">
        <v>86.67</v>
      </c>
      <c r="AS35" s="128" t="n">
        <v>71.11</v>
      </c>
      <c r="AT35" s="131" t="n">
        <v>78.33</v>
      </c>
      <c r="AU35" s="127" t="n">
        <v>30.83</v>
      </c>
      <c r="AV35" s="128" t="n">
        <v>76.33</v>
      </c>
      <c r="AW35" s="128" t="n">
        <v>60</v>
      </c>
      <c r="AX35" s="128" t="n">
        <v>31.2698412698413</v>
      </c>
      <c r="AY35" s="543" t="n">
        <v>48.6666666666667</v>
      </c>
      <c r="AZ35" s="543" t="n">
        <v>30.952380952381</v>
      </c>
      <c r="BA35" s="131" t="n">
        <v>13.3333333333333</v>
      </c>
      <c r="BB35" s="127" t="n">
        <v>80</v>
      </c>
      <c r="BC35" s="131" t="n">
        <v>75.25</v>
      </c>
      <c r="BD35" s="663" t="n"/>
      <c r="BE35" s="131" t="n"/>
      <c r="BF35" s="131" t="n"/>
      <c r="BG35" s="131" t="n"/>
      <c r="BH35" s="114" t="n"/>
      <c r="BI35" s="546" t="n"/>
      <c r="BJ35" s="511" t="n"/>
      <c r="BK35" s="114" t="n"/>
      <c r="BL35" s="546" t="n"/>
      <c r="BM35" s="511" t="n"/>
      <c r="BN35" s="114" t="n"/>
      <c r="BO35" s="546" t="n"/>
      <c r="BP35" s="546" t="n"/>
      <c r="BQ35" s="546" t="n"/>
      <c r="BR35" s="546" t="n"/>
      <c r="BS35" s="546" t="n"/>
      <c r="BT35" s="511" t="n"/>
      <c r="BU35" s="546" t="n"/>
      <c r="BV35" s="546" t="n"/>
      <c r="BW35" s="546" t="n"/>
      <c r="BX35" s="546" t="n"/>
      <c r="BY35" s="546" t="n"/>
      <c r="BZ35" s="546" t="n"/>
      <c r="CA35" s="546" t="n"/>
      <c r="CB35" s="15" t="n"/>
      <c r="CC35" s="546" t="n"/>
      <c r="CD35" s="546" t="n"/>
      <c r="CE35" s="546" t="n"/>
      <c r="CF35" s="546" t="n"/>
      <c r="CG35" s="546" t="n"/>
      <c r="CH35" s="15" t="n"/>
      <c r="CI35" s="546" t="n"/>
      <c r="CJ35" s="546" t="n"/>
      <c r="CK35" s="17" t="n"/>
      <c r="CL35" s="546" t="n"/>
      <c r="CM35" s="546" t="n"/>
      <c r="CN35" s="546" t="n"/>
      <c r="CO35" s="546" t="n"/>
      <c r="CP35" s="583" t="n"/>
      <c r="CQ35" s="15" t="n"/>
      <c r="CR35" s="15" t="n"/>
      <c r="CS35" s="15" t="n"/>
      <c r="CT35" s="15" t="n"/>
      <c r="CU35" s="546" t="n"/>
      <c r="CV35" s="17" t="n"/>
      <c r="CW35" s="74" t="n"/>
      <c r="CX35" s="75" t="n"/>
      <c r="CY35" s="76" t="n"/>
      <c r="CZ35" s="76" t="n"/>
      <c r="DA35" s="91" t="n"/>
      <c r="DB35" s="141" t="n"/>
      <c r="DC35" s="162" t="n"/>
      <c r="DD35" s="162" t="n"/>
      <c r="DE35" s="162" t="n"/>
      <c r="DF35" s="163" t="n"/>
      <c r="DG35" s="141" t="n"/>
      <c r="DH35" s="162" t="n"/>
      <c r="DI35" s="162" t="n"/>
      <c r="DJ35" s="512" t="n"/>
      <c r="DK35" s="665" t="n"/>
      <c r="DL35" s="141" t="n"/>
      <c r="DM35" s="139" t="n"/>
      <c r="DN35" s="139" t="n"/>
      <c r="DO35" s="139" t="n"/>
      <c r="DP35" s="147" t="n"/>
      <c r="DQ35" s="664" t="n"/>
      <c r="DR35" s="162" t="n"/>
      <c r="DS35" s="162" t="n"/>
      <c r="DT35" s="162" t="n"/>
      <c r="DU35" s="162" t="n"/>
      <c r="DV35" s="201" t="n"/>
      <c r="DW35" s="201" t="n"/>
      <c r="DX35" s="163" t="n"/>
      <c r="DY35" s="141" t="n"/>
      <c r="DZ35" s="139" t="n"/>
      <c r="EA35" s="139" t="n"/>
      <c r="EB35" s="139" t="n"/>
      <c r="EC35" s="140" t="n"/>
      <c r="ED35" s="347" t="n"/>
      <c r="EE35" s="147" t="n"/>
      <c r="EF35" s="141" t="n"/>
      <c r="EG35" s="349" t="n"/>
      <c r="EH35" s="665" t="n"/>
      <c r="EI35" s="139" t="n"/>
      <c r="EJ35" s="147" t="n"/>
      <c r="EK35" s="141" t="n"/>
      <c r="EL35" s="139" t="n"/>
      <c r="EM35" s="139" t="n"/>
      <c r="EN35" s="139" t="n"/>
      <c r="EO35" s="140" t="n"/>
      <c r="EP35" s="147" t="n"/>
      <c r="EQ35" s="141" t="n"/>
      <c r="ER35" s="140" t="n"/>
      <c r="ES35" s="140" t="n"/>
      <c r="ET35" s="140" t="n"/>
      <c r="EU35" s="147" t="n"/>
      <c r="EV35" s="664" t="n"/>
      <c r="EW35" s="141" t="n"/>
      <c r="EX35" s="140" t="n"/>
      <c r="EY35" s="147" t="n"/>
      <c r="EZ35" s="107" t="n"/>
      <c r="FA35" s="587" t="n"/>
      <c r="FB35" s="587" t="n"/>
      <c r="FC35" s="141" t="n"/>
      <c r="FD35" s="140" t="n"/>
      <c r="FE35" s="140" t="n"/>
      <c r="FF35" s="140" t="n"/>
      <c r="FG35" s="140" t="n"/>
      <c r="FH35" s="147" t="n"/>
      <c r="FI35" s="74" t="n"/>
      <c r="FJ35" s="148" t="n"/>
      <c r="FK35" s="148" t="n"/>
      <c r="FL35" s="148" t="n"/>
      <c r="FM35" s="150" t="n"/>
      <c r="FN35" s="92" t="n"/>
      <c r="FO35" s="91" t="n"/>
      <c r="FP35" s="74" t="n"/>
      <c r="FQ35" s="92" t="n"/>
      <c r="FR35" s="148" t="n"/>
      <c r="FS35" s="149" t="n"/>
      <c r="FT35" s="150" t="n"/>
      <c r="FU35" s="99" t="n"/>
      <c r="FV35" s="100" t="n"/>
      <c r="FW35" s="100" t="n"/>
      <c r="FX35" s="100" t="n"/>
      <c r="FY35" s="100" t="n"/>
      <c r="FZ35" s="100" t="n"/>
      <c r="GA35" s="100" t="n"/>
      <c r="GB35" s="100" t="n"/>
      <c r="GC35" s="100" t="n"/>
      <c r="GD35" s="100" t="n"/>
      <c r="GE35" s="100" t="n"/>
      <c r="GF35" s="102" t="n"/>
      <c r="GG35" s="15" t="n"/>
      <c r="GH35" s="546" t="n"/>
      <c r="GI35" s="546" t="n"/>
      <c r="GJ35" s="17" t="n"/>
      <c r="GK35" s="15" t="n"/>
      <c r="GL35" s="546" t="n"/>
      <c r="GM35" s="546" t="n"/>
      <c r="GN35" s="17" t="n"/>
      <c r="GO35" s="31" t="n"/>
      <c r="GP35" s="349" t="n"/>
      <c r="GQ35" s="665" t="n"/>
      <c r="GR35" s="45" t="n"/>
      <c r="GS35" s="351" t="n"/>
      <c r="GT35" s="31" t="n"/>
      <c r="GU35" s="45" t="n"/>
      <c r="GV35" s="45" t="n"/>
      <c r="GW35" s="351" t="n"/>
      <c r="GX35" s="663" t="n"/>
      <c r="GY35" s="107" t="n"/>
      <c r="GZ35" s="587" t="n"/>
      <c r="HA35" s="108" t="n"/>
      <c r="HB35" s="15" t="n"/>
      <c r="HC35" s="546" t="n"/>
      <c r="HD35" s="17" t="n"/>
      <c r="HE35" s="15" t="n"/>
      <c r="HF35" s="546" t="n"/>
      <c r="HG35" s="546" t="n"/>
      <c r="HH35" s="17" t="n"/>
      <c r="HI35" s="31" t="n"/>
      <c r="HJ35" s="45" t="n"/>
      <c r="HK35" s="45" t="n"/>
      <c r="HL35" s="45" t="n"/>
      <c r="HM35" s="45" t="n"/>
      <c r="HN35" s="45" t="n"/>
      <c r="HO35" s="45" t="n"/>
      <c r="HP35" s="45" t="n"/>
      <c r="HQ35" s="45" t="n"/>
      <c r="HR35" s="45" t="n"/>
      <c r="HS35" s="45" t="n"/>
      <c r="HT35" s="351" t="n"/>
      <c r="HU35" s="606" t="n"/>
      <c r="HV35" s="65">
        <f>AVERAGE(AX35,AU35,AQ35,AN35,Z35,R35,O35,J35)</f>
        <v/>
      </c>
      <c r="HW35" s="66">
        <f>AVERAGE(BB35,AR35,AH35,AD35,P35,H35,E35)</f>
        <v/>
      </c>
      <c r="HX35" s="66">
        <f>AVERAGE(BC35,AE35)</f>
        <v/>
      </c>
      <c r="HY35" s="66">
        <f>AVERAGE(AW35,AV35,AS35,AL35,AJ35,Q35)</f>
        <v/>
      </c>
      <c r="HZ35" s="66">
        <f>AVERAGE(AT35,AM35,AF35,T35,I35)</f>
        <v/>
      </c>
      <c r="IA35" s="66">
        <f>AVERAGE(AY35,AG35)</f>
        <v/>
      </c>
      <c r="IB35" s="66">
        <f>AVERAGE(AZ35,#REF!)</f>
        <v/>
      </c>
      <c r="IC35" s="66" t="n"/>
      <c r="ID35" s="66">
        <f>AVERAGE(BA35)</f>
        <v/>
      </c>
      <c r="IE35" s="66">
        <f>AVERAGE(AC35)</f>
        <v/>
      </c>
    </row>
    <row r="36" ht="18" customHeight="1" s="590">
      <c r="B36" s="12" t="n">
        <v>30</v>
      </c>
      <c r="C36" s="13" t="inlineStr">
        <is>
          <t>052-24-125448</t>
        </is>
      </c>
      <c r="D36" s="14" t="inlineStr">
        <is>
          <t>Muhammad Hamza</t>
        </is>
      </c>
      <c r="E36" s="526" t="n">
        <v>62</v>
      </c>
      <c r="F36" s="526" t="n">
        <v>64.17</v>
      </c>
      <c r="G36" s="526" t="n">
        <v>77.5</v>
      </c>
      <c r="H36" s="510" t="n"/>
      <c r="I36" s="526" t="n"/>
      <c r="J36" s="253" t="n">
        <v>60.94</v>
      </c>
      <c r="K36" s="249" t="n">
        <v>66</v>
      </c>
      <c r="L36" s="249" t="n">
        <v>70.56</v>
      </c>
      <c r="M36" s="249" t="n">
        <v>49.39</v>
      </c>
      <c r="N36" s="254" t="n">
        <v>53.33</v>
      </c>
      <c r="O36" s="524" t="n">
        <v>50</v>
      </c>
      <c r="P36" s="524" t="n">
        <v>56.25</v>
      </c>
      <c r="Q36" s="524" t="n">
        <v>75</v>
      </c>
      <c r="R36" s="115" t="n">
        <v>45.74</v>
      </c>
      <c r="S36" s="510" t="n">
        <v>51.85</v>
      </c>
      <c r="T36" s="117" t="n">
        <v>60</v>
      </c>
      <c r="U36" s="241" t="n">
        <v>73.33</v>
      </c>
      <c r="V36" s="241" t="n">
        <v>70</v>
      </c>
      <c r="W36" s="241" t="n">
        <v>56.07</v>
      </c>
      <c r="X36" s="241" t="n">
        <v>86.06</v>
      </c>
      <c r="Y36" s="241" t="n">
        <v>84.36</v>
      </c>
      <c r="Z36" s="114" t="n">
        <v>82.22</v>
      </c>
      <c r="AA36" s="546" t="n">
        <v>72.5</v>
      </c>
      <c r="AB36" s="115" t="n">
        <v>67.5</v>
      </c>
      <c r="AC36" s="117" t="n"/>
      <c r="AD36" s="117" t="n"/>
      <c r="AE36" s="114" t="n">
        <v>66.67</v>
      </c>
      <c r="AF36" s="583" t="n">
        <v>61.67</v>
      </c>
      <c r="AG36" s="117" t="n">
        <v>68.33</v>
      </c>
      <c r="AH36" s="115" t="n">
        <v>70.4166666666667</v>
      </c>
      <c r="AI36" s="665" t="n"/>
      <c r="AJ36" s="115" t="n">
        <v>72.5</v>
      </c>
      <c r="AK36" s="665" t="n"/>
      <c r="AL36" s="510" t="n">
        <v>71.11</v>
      </c>
      <c r="AM36" s="510" t="n">
        <v>78.48</v>
      </c>
      <c r="AN36" s="691" t="n">
        <v>78.7</v>
      </c>
      <c r="AO36" s="683" t="n"/>
      <c r="AP36" s="663" t="n"/>
      <c r="AQ36" s="127" t="n">
        <v>83.33</v>
      </c>
      <c r="AR36" s="128" t="n">
        <v>90</v>
      </c>
      <c r="AS36" s="128" t="n">
        <v>73.33</v>
      </c>
      <c r="AT36" s="131" t="n">
        <v>65</v>
      </c>
      <c r="AU36" s="127" t="n">
        <v>60</v>
      </c>
      <c r="AV36" s="128" t="n">
        <v>67.33</v>
      </c>
      <c r="AW36" s="128" t="n">
        <v>89</v>
      </c>
      <c r="AX36" s="128" t="n">
        <v>41.4285714285714</v>
      </c>
      <c r="AY36" s="543" t="n">
        <v>22.6666666666667</v>
      </c>
      <c r="AZ36" s="543" t="n">
        <v>20.4761904761905</v>
      </c>
      <c r="BA36" s="131" t="n">
        <v>35</v>
      </c>
      <c r="BB36" s="127" t="n">
        <v>75.83</v>
      </c>
      <c r="BC36" s="131" t="n">
        <v>74</v>
      </c>
      <c r="BD36" s="663" t="n"/>
      <c r="BE36" s="131" t="n"/>
      <c r="BF36" s="131" t="n"/>
      <c r="BG36" s="131" t="n"/>
      <c r="BH36" s="114" t="n"/>
      <c r="BI36" s="546" t="n"/>
      <c r="BJ36" s="511" t="n"/>
      <c r="BK36" s="114" t="n"/>
      <c r="BL36" s="546" t="n"/>
      <c r="BM36" s="511" t="n"/>
      <c r="BN36" s="114" t="n"/>
      <c r="BO36" s="546" t="n"/>
      <c r="BP36" s="546" t="n"/>
      <c r="BQ36" s="546" t="n"/>
      <c r="BR36" s="546" t="n"/>
      <c r="BS36" s="546" t="n"/>
      <c r="BT36" s="511" t="n"/>
      <c r="BU36" s="546" t="n"/>
      <c r="BV36" s="546" t="n"/>
      <c r="BW36" s="546" t="n"/>
      <c r="BX36" s="546" t="n"/>
      <c r="BY36" s="546" t="n"/>
      <c r="BZ36" s="546" t="n"/>
      <c r="CA36" s="546" t="n"/>
      <c r="CB36" s="15" t="n"/>
      <c r="CC36" s="546" t="n"/>
      <c r="CD36" s="546" t="n"/>
      <c r="CE36" s="546" t="n"/>
      <c r="CF36" s="546" t="n"/>
      <c r="CG36" s="546" t="n"/>
      <c r="CH36" s="15" t="n"/>
      <c r="CI36" s="546" t="n"/>
      <c r="CJ36" s="546" t="n"/>
      <c r="CK36" s="17" t="n"/>
      <c r="CL36" s="546" t="n"/>
      <c r="CM36" s="546" t="n"/>
      <c r="CN36" s="546" t="n"/>
      <c r="CO36" s="546" t="n"/>
      <c r="CP36" s="583" t="n"/>
      <c r="CQ36" s="15" t="n"/>
      <c r="CR36" s="15" t="n"/>
      <c r="CS36" s="15" t="n"/>
      <c r="CT36" s="15" t="n"/>
      <c r="CU36" s="546" t="n"/>
      <c r="CV36" s="17" t="n"/>
      <c r="CW36" s="74" t="n"/>
      <c r="CX36" s="75" t="n"/>
      <c r="CY36" s="76" t="n"/>
      <c r="CZ36" s="76" t="n"/>
      <c r="DA36" s="91" t="n"/>
      <c r="DB36" s="141" t="n"/>
      <c r="DC36" s="162" t="n"/>
      <c r="DD36" s="162" t="n"/>
      <c r="DE36" s="162" t="n"/>
      <c r="DF36" s="163" t="n"/>
      <c r="DG36" s="141" t="n"/>
      <c r="DH36" s="162" t="n"/>
      <c r="DI36" s="162" t="n"/>
      <c r="DJ36" s="512" t="n"/>
      <c r="DK36" s="491" t="n"/>
      <c r="DL36" s="141" t="n"/>
      <c r="DM36" s="139" t="n"/>
      <c r="DN36" s="139" t="n"/>
      <c r="DO36" s="139" t="n"/>
      <c r="DP36" s="347" t="n"/>
      <c r="DQ36" s="348" t="n"/>
      <c r="DR36" s="162" t="n"/>
      <c r="DS36" s="162" t="n"/>
      <c r="DT36" s="162" t="n"/>
      <c r="DU36" s="162" t="n"/>
      <c r="DV36" s="201" t="n"/>
      <c r="DW36" s="201" t="n"/>
      <c r="DX36" s="163" t="n"/>
      <c r="DY36" s="141" t="n"/>
      <c r="DZ36" s="139" t="n"/>
      <c r="EA36" s="139" t="n"/>
      <c r="EB36" s="139" t="n"/>
      <c r="EC36" s="140" t="n"/>
      <c r="ED36" s="347" t="n"/>
      <c r="EE36" s="147" t="n"/>
      <c r="EF36" s="141" t="n"/>
      <c r="EG36" s="349" t="n"/>
      <c r="EH36" s="349" t="n"/>
      <c r="EI36" s="139" t="n"/>
      <c r="EJ36" s="147" t="n"/>
      <c r="EK36" s="141" t="n"/>
      <c r="EL36" s="139" t="n"/>
      <c r="EM36" s="139" t="n"/>
      <c r="EN36" s="139" t="n"/>
      <c r="EO36" s="140" t="n"/>
      <c r="EP36" s="147" t="n"/>
      <c r="EQ36" s="141" t="n"/>
      <c r="ER36" s="140" t="n"/>
      <c r="ES36" s="140" t="n"/>
      <c r="ET36" s="140" t="n"/>
      <c r="EU36" s="347" t="n"/>
      <c r="EV36" s="348" t="n"/>
      <c r="EW36" s="141" t="n"/>
      <c r="EX36" s="140" t="n"/>
      <c r="EY36" s="147" t="n"/>
      <c r="EZ36" s="107" t="n"/>
      <c r="FA36" s="587" t="n"/>
      <c r="FB36" s="587" t="n"/>
      <c r="FC36" s="141" t="n"/>
      <c r="FD36" s="140" t="n"/>
      <c r="FE36" s="140" t="n"/>
      <c r="FF36" s="140" t="n"/>
      <c r="FG36" s="140" t="n"/>
      <c r="FH36" s="147" t="n"/>
      <c r="FI36" s="74" t="n"/>
      <c r="FJ36" s="148" t="n"/>
      <c r="FK36" s="148" t="n"/>
      <c r="FL36" s="148" t="n"/>
      <c r="FM36" s="150" t="n"/>
      <c r="FN36" s="92" t="n"/>
      <c r="FO36" s="91" t="n"/>
      <c r="FP36" s="74" t="n"/>
      <c r="FQ36" s="92" t="n"/>
      <c r="FR36" s="148" t="n"/>
      <c r="FS36" s="149" t="n"/>
      <c r="FT36" s="150" t="n"/>
      <c r="FU36" s="99" t="n"/>
      <c r="FV36" s="100" t="n"/>
      <c r="FW36" s="100" t="n"/>
      <c r="FX36" s="100" t="n"/>
      <c r="FY36" s="100" t="n"/>
      <c r="FZ36" s="100" t="n"/>
      <c r="GA36" s="100" t="n"/>
      <c r="GB36" s="100" t="n"/>
      <c r="GC36" s="100" t="n"/>
      <c r="GD36" s="100" t="n"/>
      <c r="GE36" s="100" t="n"/>
      <c r="GF36" s="102" t="n"/>
      <c r="GG36" s="15" t="n"/>
      <c r="GH36" s="546" t="n"/>
      <c r="GI36" s="546" t="n"/>
      <c r="GJ36" s="17" t="n"/>
      <c r="GK36" s="15" t="n"/>
      <c r="GL36" s="546" t="n"/>
      <c r="GM36" s="546" t="n"/>
      <c r="GN36" s="17" t="n"/>
      <c r="GO36" s="31" t="n"/>
      <c r="GP36" s="349" t="n"/>
      <c r="GQ36" s="349" t="n"/>
      <c r="GR36" s="45" t="n"/>
      <c r="GS36" s="351" t="n"/>
      <c r="GT36" s="31" t="n"/>
      <c r="GU36" s="45" t="n"/>
      <c r="GV36" s="45" t="n"/>
      <c r="GW36" s="350" t="n"/>
      <c r="GX36" s="351" t="n"/>
      <c r="GY36" s="107" t="n"/>
      <c r="GZ36" s="587" t="n"/>
      <c r="HA36" s="108" t="n"/>
      <c r="HB36" s="15" t="n"/>
      <c r="HC36" s="546" t="n"/>
      <c r="HD36" s="17" t="n"/>
      <c r="HE36" s="15" t="n"/>
      <c r="HF36" s="546" t="n"/>
      <c r="HG36" s="546" t="n"/>
      <c r="HH36" s="17" t="n"/>
      <c r="HI36" s="31" t="n"/>
      <c r="HJ36" s="45" t="n"/>
      <c r="HK36" s="45" t="n"/>
      <c r="HL36" s="45" t="n"/>
      <c r="HM36" s="45" t="n"/>
      <c r="HN36" s="45" t="n"/>
      <c r="HO36" s="45" t="n"/>
      <c r="HP36" s="45" t="n"/>
      <c r="HQ36" s="45" t="n"/>
      <c r="HR36" s="45" t="n"/>
      <c r="HS36" s="45" t="n"/>
      <c r="HT36" s="351" t="n"/>
      <c r="HU36" s="606" t="n"/>
      <c r="HV36" s="65">
        <f>AVERAGE(AX36,AU36,AQ36,AN36,Z36,R36,O36,J36)</f>
        <v/>
      </c>
      <c r="HW36" s="66">
        <f>AVERAGE(BB36,AR36,AH36,AD36,P36,H36,E36)</f>
        <v/>
      </c>
      <c r="HX36" s="66">
        <f>AVERAGE(BC36,AE36)</f>
        <v/>
      </c>
      <c r="HY36" s="66">
        <f>AVERAGE(AW36,AV36,AS36,AL36,AJ36,Q36)</f>
        <v/>
      </c>
      <c r="HZ36" s="66">
        <f>AVERAGE(AT36,AM36,AF36,T36,I36)</f>
        <v/>
      </c>
      <c r="IA36" s="66">
        <f>AVERAGE(AY36,AG36)</f>
        <v/>
      </c>
      <c r="IB36" s="66">
        <f>AVERAGE(AZ36,#REF!)</f>
        <v/>
      </c>
      <c r="IC36" s="66" t="n"/>
      <c r="ID36" s="66">
        <f>AVERAGE(BA36)</f>
        <v/>
      </c>
      <c r="IE36" s="66">
        <f>AVERAGE(AC36)</f>
        <v/>
      </c>
    </row>
    <row r="37" ht="18" customHeight="1" s="590">
      <c r="B37" s="12" t="n">
        <v>31</v>
      </c>
      <c r="C37" s="13" t="inlineStr">
        <is>
          <t>052-24-125106</t>
        </is>
      </c>
      <c r="D37" s="14" t="inlineStr">
        <is>
          <t>Kashan Ali</t>
        </is>
      </c>
      <c r="E37" s="526" t="n"/>
      <c r="F37" s="526" t="n"/>
      <c r="G37" s="526" t="n"/>
      <c r="H37" s="510" t="n"/>
      <c r="I37" s="526" t="n"/>
      <c r="J37" s="253" t="n"/>
      <c r="K37" s="249" t="n"/>
      <c r="L37" s="249" t="n"/>
      <c r="M37" s="249" t="n"/>
      <c r="N37" s="254" t="n"/>
      <c r="O37" s="524" t="n"/>
      <c r="P37" s="583" t="n"/>
      <c r="Q37" s="524" t="n"/>
      <c r="R37" s="115" t="n"/>
      <c r="S37" s="510" t="n"/>
      <c r="T37" s="117" t="n"/>
      <c r="U37" s="241" t="n"/>
      <c r="V37" s="241" t="n"/>
      <c r="W37" s="241" t="n"/>
      <c r="X37" s="241" t="n"/>
      <c r="Y37" s="241" t="n"/>
      <c r="Z37" s="114" t="n"/>
      <c r="AA37" s="546" t="n"/>
      <c r="AB37" s="115" t="n"/>
      <c r="AC37" s="117" t="n"/>
      <c r="AD37" s="117" t="n"/>
      <c r="AE37" s="114" t="n">
        <v>86.67</v>
      </c>
      <c r="AF37" s="583" t="n">
        <v>82.5</v>
      </c>
      <c r="AG37" s="117" t="n">
        <v>86.67</v>
      </c>
      <c r="AH37" s="115" t="n">
        <v>76.6666666666667</v>
      </c>
      <c r="AI37" s="665" t="n"/>
      <c r="AJ37" s="115" t="n">
        <v>75.8333333333333</v>
      </c>
      <c r="AK37" s="665" t="n"/>
      <c r="AL37" s="510" t="n">
        <v>81.67</v>
      </c>
      <c r="AM37" s="510" t="n">
        <v>80.91</v>
      </c>
      <c r="AN37" s="691" t="n">
        <v>79.81</v>
      </c>
      <c r="AO37" s="683" t="n"/>
      <c r="AP37" s="663" t="n"/>
      <c r="AQ37" s="127" t="n">
        <v>93.33</v>
      </c>
      <c r="AR37" s="128" t="n">
        <v>86.67</v>
      </c>
      <c r="AS37" s="128" t="n">
        <v>84.44</v>
      </c>
      <c r="AT37" s="131" t="n">
        <v>81.67</v>
      </c>
      <c r="AU37" s="127" t="n">
        <v>63.33</v>
      </c>
      <c r="AV37" s="128" t="n">
        <v>74.67</v>
      </c>
      <c r="AW37" s="128" t="n">
        <v>77</v>
      </c>
      <c r="AX37" s="128" t="n">
        <v>77.94</v>
      </c>
      <c r="AY37" s="543" t="n">
        <v>92.67</v>
      </c>
      <c r="AZ37" s="543" t="n">
        <v>87.62</v>
      </c>
      <c r="BA37" s="131" t="n">
        <v>91.11</v>
      </c>
      <c r="BB37" s="127" t="n">
        <v>60</v>
      </c>
      <c r="BC37" s="131" t="n">
        <v>74.25</v>
      </c>
      <c r="BD37" s="663" t="n"/>
      <c r="BE37" s="131" t="n"/>
      <c r="BF37" s="131" t="n"/>
      <c r="BG37" s="131" t="n"/>
      <c r="BH37" s="114" t="n"/>
      <c r="BI37" s="546" t="n"/>
      <c r="BJ37" s="511" t="n"/>
      <c r="BK37" s="114" t="n"/>
      <c r="BL37" s="546" t="n"/>
      <c r="BM37" s="511" t="n"/>
      <c r="BN37" s="114" t="n"/>
      <c r="BO37" s="546" t="n"/>
      <c r="BP37" s="546" t="n"/>
      <c r="BQ37" s="546" t="n"/>
      <c r="BR37" s="546" t="n"/>
      <c r="BS37" s="546" t="n"/>
      <c r="BT37" s="511" t="n"/>
      <c r="BU37" s="546" t="n"/>
      <c r="BV37" s="546" t="n"/>
      <c r="BW37" s="546" t="n"/>
      <c r="BX37" s="546" t="n"/>
      <c r="BY37" s="546" t="n"/>
      <c r="BZ37" s="546" t="n"/>
      <c r="CA37" s="546" t="n"/>
      <c r="CB37" s="15" t="n"/>
      <c r="CC37" s="546" t="n"/>
      <c r="CD37" s="546" t="n"/>
      <c r="CE37" s="546" t="n"/>
      <c r="CF37" s="546" t="n"/>
      <c r="CG37" s="546" t="n"/>
      <c r="CH37" s="15" t="n"/>
      <c r="CI37" s="546" t="n"/>
      <c r="CJ37" s="546" t="n"/>
      <c r="CK37" s="17" t="n"/>
      <c r="CL37" s="546" t="n"/>
      <c r="CM37" s="546" t="n"/>
      <c r="CN37" s="546" t="n"/>
      <c r="CO37" s="546" t="n"/>
      <c r="CP37" s="583" t="n"/>
      <c r="CQ37" s="15" t="n"/>
      <c r="CR37" s="15" t="n"/>
      <c r="CS37" s="15" t="n"/>
      <c r="CT37" s="15" t="n"/>
      <c r="CU37" s="546" t="n"/>
      <c r="CV37" s="17" t="n"/>
      <c r="CW37" s="74" t="n"/>
      <c r="CX37" s="75" t="n"/>
      <c r="CY37" s="76" t="n"/>
      <c r="CZ37" s="76" t="n"/>
      <c r="DA37" s="91" t="n"/>
      <c r="DB37" s="141" t="n"/>
      <c r="DC37" s="162" t="n"/>
      <c r="DD37" s="162" t="n"/>
      <c r="DE37" s="162" t="n"/>
      <c r="DF37" s="163" t="n"/>
      <c r="DG37" s="141" t="n"/>
      <c r="DH37" s="162" t="n"/>
      <c r="DI37" s="162" t="n"/>
      <c r="DJ37" s="512" t="n"/>
      <c r="DK37" s="665" t="n"/>
      <c r="DL37" s="141" t="n"/>
      <c r="DM37" s="139" t="n"/>
      <c r="DN37" s="139" t="n"/>
      <c r="DO37" s="139" t="n"/>
      <c r="DP37" s="147" t="n"/>
      <c r="DQ37" s="664" t="n"/>
      <c r="DR37" s="162" t="n"/>
      <c r="DS37" s="162" t="n"/>
      <c r="DT37" s="162" t="n"/>
      <c r="DU37" s="162" t="n"/>
      <c r="DV37" s="201" t="n"/>
      <c r="DW37" s="201" t="n"/>
      <c r="DX37" s="163" t="n"/>
      <c r="DY37" s="141" t="n"/>
      <c r="DZ37" s="139" t="n"/>
      <c r="EA37" s="139" t="n"/>
      <c r="EB37" s="139" t="n"/>
      <c r="EC37" s="140" t="n"/>
      <c r="ED37" s="347" t="n"/>
      <c r="EE37" s="147" t="n"/>
      <c r="EF37" s="141" t="n"/>
      <c r="EG37" s="349" t="n"/>
      <c r="EH37" s="665" t="n"/>
      <c r="EI37" s="139" t="n"/>
      <c r="EJ37" s="147" t="n"/>
      <c r="EK37" s="141" t="n"/>
      <c r="EL37" s="139" t="n"/>
      <c r="EM37" s="139" t="n"/>
      <c r="EN37" s="139" t="n"/>
      <c r="EO37" s="140" t="n"/>
      <c r="EP37" s="147" t="n"/>
      <c r="EQ37" s="141" t="n"/>
      <c r="ER37" s="140" t="n"/>
      <c r="ES37" s="140" t="n"/>
      <c r="ET37" s="140" t="n"/>
      <c r="EU37" s="147" t="n"/>
      <c r="EV37" s="664" t="n"/>
      <c r="EW37" s="141" t="n"/>
      <c r="EX37" s="140" t="n"/>
      <c r="EY37" s="147" t="n"/>
      <c r="EZ37" s="107" t="n"/>
      <c r="FA37" s="587" t="n"/>
      <c r="FB37" s="587" t="n"/>
      <c r="FC37" s="141" t="n"/>
      <c r="FD37" s="140" t="n"/>
      <c r="FE37" s="140" t="n"/>
      <c r="FF37" s="140" t="n"/>
      <c r="FG37" s="140" t="n"/>
      <c r="FH37" s="147" t="n"/>
      <c r="FI37" s="74" t="n"/>
      <c r="FJ37" s="148" t="n"/>
      <c r="FK37" s="148" t="n"/>
      <c r="FL37" s="148" t="n"/>
      <c r="FM37" s="150" t="n"/>
      <c r="FN37" s="92" t="n"/>
      <c r="FO37" s="91" t="n"/>
      <c r="FP37" s="74" t="n"/>
      <c r="FQ37" s="92" t="n"/>
      <c r="FR37" s="148" t="n"/>
      <c r="FS37" s="149" t="n"/>
      <c r="FT37" s="150" t="n"/>
      <c r="FU37" s="99" t="n"/>
      <c r="FV37" s="100" t="n"/>
      <c r="FW37" s="100" t="n"/>
      <c r="FX37" s="100" t="n"/>
      <c r="FY37" s="100" t="n"/>
      <c r="FZ37" s="100" t="n"/>
      <c r="GA37" s="100" t="n"/>
      <c r="GB37" s="100" t="n"/>
      <c r="GC37" s="100" t="n"/>
      <c r="GD37" s="100" t="n"/>
      <c r="GE37" s="100" t="n"/>
      <c r="GF37" s="102" t="n"/>
      <c r="GG37" s="15" t="n"/>
      <c r="GH37" s="546" t="n"/>
      <c r="GI37" s="546" t="n"/>
      <c r="GJ37" s="17" t="n"/>
      <c r="GK37" s="15" t="n"/>
      <c r="GL37" s="546" t="n"/>
      <c r="GM37" s="546" t="n"/>
      <c r="GN37" s="17" t="n"/>
      <c r="GO37" s="31" t="n"/>
      <c r="GP37" s="349" t="n"/>
      <c r="GQ37" s="665" t="n"/>
      <c r="GR37" s="45" t="n"/>
      <c r="GS37" s="351" t="n"/>
      <c r="GT37" s="31" t="n"/>
      <c r="GU37" s="45" t="n"/>
      <c r="GV37" s="45" t="n"/>
      <c r="GW37" s="351" t="n"/>
      <c r="GX37" s="663" t="n"/>
      <c r="GY37" s="107" t="n"/>
      <c r="GZ37" s="587" t="n"/>
      <c r="HA37" s="108" t="n"/>
      <c r="HB37" s="15" t="n"/>
      <c r="HC37" s="546" t="n"/>
      <c r="HD37" s="17" t="n"/>
      <c r="HE37" s="15" t="n"/>
      <c r="HF37" s="546" t="n"/>
      <c r="HG37" s="546" t="n"/>
      <c r="HH37" s="17" t="n"/>
      <c r="HI37" s="31" t="n"/>
      <c r="HJ37" s="45" t="n"/>
      <c r="HK37" s="45" t="n"/>
      <c r="HL37" s="45" t="n"/>
      <c r="HM37" s="45" t="n"/>
      <c r="HN37" s="45" t="n"/>
      <c r="HO37" s="45" t="n"/>
      <c r="HP37" s="45" t="n"/>
      <c r="HQ37" s="45" t="n"/>
      <c r="HR37" s="45" t="n"/>
      <c r="HS37" s="45" t="n"/>
      <c r="HT37" s="351" t="n"/>
      <c r="HU37" s="606" t="n"/>
      <c r="HV37" s="65">
        <f>AVERAGE(AX37,AU37,AQ37,AN37,Z37,R37,O37,J37)</f>
        <v/>
      </c>
      <c r="HW37" s="66">
        <f>AVERAGE(BB37,AR37,AH37,AD37,P37,H37,E37)</f>
        <v/>
      </c>
      <c r="HX37" s="66">
        <f>AVERAGE(BC37,AE37)</f>
        <v/>
      </c>
      <c r="HY37" s="66">
        <f>AVERAGE(AW37,AV37,AS37,AL37,AJ37,Q37)</f>
        <v/>
      </c>
      <c r="HZ37" s="66">
        <f>AVERAGE(AT37,AM37,AF37,T37,I37)</f>
        <v/>
      </c>
      <c r="IA37" s="66">
        <f>AVERAGE(AY37,AG37)</f>
        <v/>
      </c>
      <c r="IB37" s="66">
        <f>AVERAGE(AZ37,#REF!)</f>
        <v/>
      </c>
      <c r="IC37" s="66" t="n"/>
      <c r="ID37" s="66">
        <f>AVERAGE(BA37)</f>
        <v/>
      </c>
      <c r="IE37" s="66">
        <f>AVERAGE(AC37)</f>
        <v/>
      </c>
    </row>
    <row r="38" ht="18" customHeight="1" s="590">
      <c r="B38" s="12" t="n">
        <v>32</v>
      </c>
      <c r="C38" s="13" t="inlineStr">
        <is>
          <t>052-24-125486</t>
        </is>
      </c>
      <c r="D38" s="14" t="inlineStr">
        <is>
          <t>Azan Ali Khan</t>
        </is>
      </c>
      <c r="E38" s="526" t="n">
        <v>76</v>
      </c>
      <c r="F38" s="526" t="n">
        <v>76.67</v>
      </c>
      <c r="G38" s="526" t="n">
        <v>77.5</v>
      </c>
      <c r="H38" s="526" t="n">
        <v>67.73999999999999</v>
      </c>
      <c r="I38" s="526" t="n">
        <v>68.73</v>
      </c>
      <c r="J38" s="253" t="n">
        <v>70.63</v>
      </c>
      <c r="K38" s="249" t="n">
        <v>64</v>
      </c>
      <c r="L38" s="249" t="n">
        <v>78.89</v>
      </c>
      <c r="M38" s="249" t="n">
        <v>74.23999999999999</v>
      </c>
      <c r="N38" s="254" t="n">
        <v>78.33</v>
      </c>
      <c r="O38" s="524" t="n">
        <v>58.75</v>
      </c>
      <c r="P38" s="524" t="n">
        <v>60</v>
      </c>
      <c r="Q38" s="524" t="n">
        <v>64.5</v>
      </c>
      <c r="R38" s="115" t="n">
        <v>63.52</v>
      </c>
      <c r="S38" s="510" t="n">
        <v>69.63</v>
      </c>
      <c r="T38" s="117" t="n">
        <v>60</v>
      </c>
      <c r="U38" s="241" t="n">
        <v>70</v>
      </c>
      <c r="V38" s="241" t="n">
        <v>77.5</v>
      </c>
      <c r="W38" s="241" t="n">
        <v>65.83</v>
      </c>
      <c r="X38" s="241" t="n">
        <v>80.61</v>
      </c>
      <c r="Y38" s="241" t="n">
        <v>93.09</v>
      </c>
      <c r="Z38" s="114" t="n">
        <v>77.78</v>
      </c>
      <c r="AA38" s="546" t="n">
        <v>67.5</v>
      </c>
      <c r="AB38" s="115" t="n">
        <v>66.25</v>
      </c>
      <c r="AC38" s="117" t="n"/>
      <c r="AD38" s="117" t="n"/>
      <c r="AE38" s="114" t="n">
        <v>60</v>
      </c>
      <c r="AF38" s="583" t="n">
        <v>68.33</v>
      </c>
      <c r="AG38" s="117" t="n">
        <v>70</v>
      </c>
      <c r="AH38" s="115" t="n">
        <v>62.0833333333333</v>
      </c>
      <c r="AI38" s="665" t="n"/>
      <c r="AJ38" s="115" t="n">
        <v>66.6666666666667</v>
      </c>
      <c r="AK38" s="665" t="n"/>
      <c r="AL38" s="510" t="n">
        <v>82.22</v>
      </c>
      <c r="AM38" s="510" t="n">
        <v>81.20999999999999</v>
      </c>
      <c r="AN38" s="691" t="n">
        <v>75.19</v>
      </c>
      <c r="AO38" s="683" t="n"/>
      <c r="AP38" s="663" t="n"/>
      <c r="AQ38" s="127" t="n">
        <v>86.67</v>
      </c>
      <c r="AR38" s="128" t="n">
        <v>90</v>
      </c>
      <c r="AS38" s="128" t="n">
        <v>70</v>
      </c>
      <c r="AT38" s="131" t="n">
        <v>61.67</v>
      </c>
      <c r="AU38" s="127" t="n">
        <v>73.33</v>
      </c>
      <c r="AV38" s="128" t="n">
        <v>54.67</v>
      </c>
      <c r="AW38" s="128" t="n">
        <v>76</v>
      </c>
      <c r="AX38" s="128" t="n">
        <v>50.7936507936508</v>
      </c>
      <c r="AY38" s="543" t="n">
        <v>76</v>
      </c>
      <c r="AZ38" s="543" t="n">
        <v>60.952380952381</v>
      </c>
      <c r="BA38" s="131" t="n">
        <v>86.6666666666667</v>
      </c>
      <c r="BB38" s="127" t="n">
        <v>78.33</v>
      </c>
      <c r="BC38" s="131" t="n">
        <v>77.25</v>
      </c>
      <c r="BD38" s="663" t="n"/>
      <c r="BE38" s="131" t="n"/>
      <c r="BF38" s="131" t="n"/>
      <c r="BG38" s="131" t="n"/>
      <c r="BH38" s="114" t="n"/>
      <c r="BI38" s="546" t="n"/>
      <c r="BJ38" s="511" t="n"/>
      <c r="BK38" s="114" t="n"/>
      <c r="BL38" s="546" t="n"/>
      <c r="BM38" s="511" t="n"/>
      <c r="BN38" s="114" t="n"/>
      <c r="BO38" s="546" t="n"/>
      <c r="BP38" s="546" t="n"/>
      <c r="BQ38" s="546" t="n"/>
      <c r="BR38" s="546" t="n"/>
      <c r="BS38" s="546" t="n"/>
      <c r="BT38" s="511" t="n"/>
      <c r="BU38" s="546" t="n"/>
      <c r="BV38" s="546" t="n"/>
      <c r="BW38" s="546" t="n"/>
      <c r="BX38" s="546" t="n"/>
      <c r="BY38" s="546" t="n"/>
      <c r="BZ38" s="546" t="n"/>
      <c r="CA38" s="546" t="n"/>
      <c r="CB38" s="15" t="n"/>
      <c r="CC38" s="546" t="n"/>
      <c r="CD38" s="546" t="n"/>
      <c r="CE38" s="546" t="n"/>
      <c r="CF38" s="546" t="n"/>
      <c r="CG38" s="546" t="n"/>
      <c r="CH38" s="15" t="n"/>
      <c r="CI38" s="546" t="n"/>
      <c r="CJ38" s="546" t="n"/>
      <c r="CK38" s="17" t="n"/>
      <c r="CL38" s="546" t="n"/>
      <c r="CM38" s="546" t="n"/>
      <c r="CN38" s="546" t="n"/>
      <c r="CO38" s="546" t="n"/>
      <c r="CP38" s="583" t="n"/>
      <c r="CQ38" s="15" t="n"/>
      <c r="CR38" s="15" t="n"/>
      <c r="CS38" s="15" t="n"/>
      <c r="CT38" s="15" t="n"/>
      <c r="CU38" s="546" t="n"/>
      <c r="CV38" s="17" t="n"/>
      <c r="CW38" s="74" t="n"/>
      <c r="CX38" s="75" t="n"/>
      <c r="CY38" s="76" t="n"/>
      <c r="CZ38" s="76" t="n"/>
      <c r="DA38" s="91" t="n"/>
      <c r="DB38" s="141" t="n"/>
      <c r="DC38" s="162" t="n"/>
      <c r="DD38" s="162" t="n"/>
      <c r="DE38" s="162" t="n"/>
      <c r="DF38" s="163" t="n"/>
      <c r="DG38" s="141" t="n"/>
      <c r="DH38" s="162" t="n"/>
      <c r="DI38" s="162" t="n"/>
      <c r="DJ38" s="512" t="n"/>
      <c r="DK38" s="491" t="n"/>
      <c r="DL38" s="141" t="n"/>
      <c r="DM38" s="139" t="n"/>
      <c r="DN38" s="139" t="n"/>
      <c r="DO38" s="139" t="n"/>
      <c r="DP38" s="347" t="n"/>
      <c r="DQ38" s="348" t="n"/>
      <c r="DR38" s="162" t="n"/>
      <c r="DS38" s="162" t="n"/>
      <c r="DT38" s="162" t="n"/>
      <c r="DU38" s="162" t="n"/>
      <c r="DV38" s="201" t="n"/>
      <c r="DW38" s="201" t="n"/>
      <c r="DX38" s="163" t="n"/>
      <c r="DY38" s="141" t="n"/>
      <c r="DZ38" s="139" t="n"/>
      <c r="EA38" s="139" t="n"/>
      <c r="EB38" s="139" t="n"/>
      <c r="EC38" s="140" t="n"/>
      <c r="ED38" s="347" t="n"/>
      <c r="EE38" s="147" t="n"/>
      <c r="EF38" s="141" t="n"/>
      <c r="EG38" s="349" t="n"/>
      <c r="EH38" s="349" t="n"/>
      <c r="EI38" s="139" t="n"/>
      <c r="EJ38" s="147" t="n"/>
      <c r="EK38" s="141" t="n"/>
      <c r="EL38" s="139" t="n"/>
      <c r="EM38" s="139" t="n"/>
      <c r="EN38" s="139" t="n"/>
      <c r="EO38" s="140" t="n"/>
      <c r="EP38" s="147" t="n"/>
      <c r="EQ38" s="141" t="n"/>
      <c r="ER38" s="140" t="n"/>
      <c r="ES38" s="140" t="n"/>
      <c r="ET38" s="140" t="n"/>
      <c r="EU38" s="347" t="n"/>
      <c r="EV38" s="348" t="n"/>
      <c r="EW38" s="141" t="n"/>
      <c r="EX38" s="140" t="n"/>
      <c r="EY38" s="147" t="n"/>
      <c r="EZ38" s="107" t="n"/>
      <c r="FA38" s="587" t="n"/>
      <c r="FB38" s="587" t="n"/>
      <c r="FC38" s="141" t="n"/>
      <c r="FD38" s="140" t="n"/>
      <c r="FE38" s="140" t="n"/>
      <c r="FF38" s="140" t="n"/>
      <c r="FG38" s="140" t="n"/>
      <c r="FH38" s="147" t="n"/>
      <c r="FI38" s="74" t="n"/>
      <c r="FJ38" s="148" t="n"/>
      <c r="FK38" s="148" t="n"/>
      <c r="FL38" s="148" t="n"/>
      <c r="FM38" s="150" t="n"/>
      <c r="FN38" s="92" t="n"/>
      <c r="FO38" s="91" t="n"/>
      <c r="FP38" s="74" t="n"/>
      <c r="FQ38" s="92" t="n"/>
      <c r="FR38" s="148" t="n"/>
      <c r="FS38" s="149" t="n"/>
      <c r="FT38" s="150" t="n"/>
      <c r="FU38" s="99" t="n"/>
      <c r="FV38" s="100" t="n"/>
      <c r="FW38" s="100" t="n"/>
      <c r="FX38" s="100" t="n"/>
      <c r="FY38" s="100" t="n"/>
      <c r="FZ38" s="100" t="n"/>
      <c r="GA38" s="100" t="n"/>
      <c r="GB38" s="100" t="n"/>
      <c r="GC38" s="100" t="n"/>
      <c r="GD38" s="100" t="n"/>
      <c r="GE38" s="100" t="n"/>
      <c r="GF38" s="102" t="n"/>
      <c r="GG38" s="15" t="n"/>
      <c r="GH38" s="546" t="n"/>
      <c r="GI38" s="546" t="n"/>
      <c r="GJ38" s="17" t="n"/>
      <c r="GK38" s="15" t="n"/>
      <c r="GL38" s="546" t="n"/>
      <c r="GM38" s="546" t="n"/>
      <c r="GN38" s="17" t="n"/>
      <c r="GO38" s="31" t="n"/>
      <c r="GP38" s="349" t="n"/>
      <c r="GQ38" s="349" t="n"/>
      <c r="GR38" s="45" t="n"/>
      <c r="GS38" s="351" t="n"/>
      <c r="GT38" s="31" t="n"/>
      <c r="GU38" s="45" t="n"/>
      <c r="GV38" s="45" t="n"/>
      <c r="GW38" s="350" t="n"/>
      <c r="GX38" s="351" t="n"/>
      <c r="GY38" s="107" t="n"/>
      <c r="GZ38" s="587" t="n"/>
      <c r="HA38" s="108" t="n"/>
      <c r="HB38" s="15" t="n"/>
      <c r="HC38" s="546" t="n"/>
      <c r="HD38" s="17" t="n"/>
      <c r="HE38" s="15" t="n"/>
      <c r="HF38" s="546" t="n"/>
      <c r="HG38" s="546" t="n"/>
      <c r="HH38" s="17" t="n"/>
      <c r="HI38" s="31" t="n"/>
      <c r="HJ38" s="45" t="n"/>
      <c r="HK38" s="45" t="n"/>
      <c r="HL38" s="45" t="n"/>
      <c r="HM38" s="45" t="n"/>
      <c r="HN38" s="45" t="n"/>
      <c r="HO38" s="45" t="n"/>
      <c r="HP38" s="45" t="n"/>
      <c r="HQ38" s="45" t="n"/>
      <c r="HR38" s="45" t="n"/>
      <c r="HS38" s="45" t="n"/>
      <c r="HT38" s="351" t="n"/>
      <c r="HU38" s="606" t="n"/>
      <c r="HV38" s="65">
        <f>AVERAGE(AX38,AU38,AQ38,AN38,Z38,R38,O38,J38)</f>
        <v/>
      </c>
      <c r="HW38" s="66">
        <f>AVERAGE(BB38,AR38,AH38,AD38,P38,H38,E38)</f>
        <v/>
      </c>
      <c r="HX38" s="66">
        <f>AVERAGE(BC38,AE38)</f>
        <v/>
      </c>
      <c r="HY38" s="66">
        <f>AVERAGE(AW38,AV38,AS38,AL38,AJ38,Q38)</f>
        <v/>
      </c>
      <c r="HZ38" s="66">
        <f>AVERAGE(AT38,AM38,AF38,T38,I38)</f>
        <v/>
      </c>
      <c r="IA38" s="66">
        <f>AVERAGE(AY38,AG38)</f>
        <v/>
      </c>
      <c r="IB38" s="66">
        <f>AVERAGE(AZ38,#REF!)</f>
        <v/>
      </c>
      <c r="IC38" s="66" t="n"/>
      <c r="ID38" s="66">
        <f>AVERAGE(BA38)</f>
        <v/>
      </c>
      <c r="IE38" s="66">
        <f>AVERAGE(AC38)</f>
        <v/>
      </c>
    </row>
    <row r="39" ht="18" customHeight="1" s="590">
      <c r="B39" s="12" t="n">
        <v>33</v>
      </c>
      <c r="C39" s="13" t="inlineStr">
        <is>
          <t>052-24-125440</t>
        </is>
      </c>
      <c r="D39" s="14" t="inlineStr">
        <is>
          <t>Wajiha Khalid</t>
        </is>
      </c>
      <c r="E39" s="526" t="n">
        <v>80</v>
      </c>
      <c r="F39" s="526" t="n">
        <v>91.67</v>
      </c>
      <c r="G39" s="526" t="n">
        <v>83.33</v>
      </c>
      <c r="H39" s="526" t="n">
        <v>65.66</v>
      </c>
      <c r="I39" s="526" t="n">
        <v>62.07</v>
      </c>
      <c r="J39" s="253" t="n">
        <v>82.81</v>
      </c>
      <c r="K39" s="249" t="n">
        <v>75</v>
      </c>
      <c r="L39" s="249" t="n">
        <v>69.44</v>
      </c>
      <c r="M39" s="249" t="n">
        <v>70.76000000000001</v>
      </c>
      <c r="N39" s="254" t="n">
        <v>67.5</v>
      </c>
      <c r="O39" s="524" t="n">
        <v>72.5</v>
      </c>
      <c r="P39" s="524" t="n">
        <v>65</v>
      </c>
      <c r="Q39" s="524" t="n">
        <v>68.5</v>
      </c>
      <c r="R39" s="115" t="n">
        <v>58.7</v>
      </c>
      <c r="S39" s="510" t="n">
        <v>67.78</v>
      </c>
      <c r="T39" s="117" t="n">
        <v>68</v>
      </c>
      <c r="U39" s="241" t="n">
        <v>96.67</v>
      </c>
      <c r="V39" s="241" t="n">
        <v>67.5</v>
      </c>
      <c r="W39" s="241" t="n">
        <v>85.95</v>
      </c>
      <c r="X39" s="241" t="n">
        <v>95.45</v>
      </c>
      <c r="Y39" s="241" t="n">
        <v>95.64</v>
      </c>
      <c r="Z39" s="114" t="n">
        <v>78.52</v>
      </c>
      <c r="AA39" s="546" t="n">
        <v>91.5</v>
      </c>
      <c r="AB39" s="115" t="n">
        <v>83.75</v>
      </c>
      <c r="AC39" s="117" t="n"/>
      <c r="AD39" s="117" t="n"/>
      <c r="AE39" s="114" t="n">
        <v>73.33</v>
      </c>
      <c r="AF39" s="583" t="n">
        <v>73.33</v>
      </c>
      <c r="AG39" s="117" t="n">
        <v>73.33</v>
      </c>
      <c r="AH39" s="115" t="n">
        <v>82.0833333333333</v>
      </c>
      <c r="AI39" s="665" t="n"/>
      <c r="AJ39" s="115" t="n">
        <v>84.1666666666667</v>
      </c>
      <c r="AK39" s="665" t="n"/>
      <c r="AL39" s="510" t="n">
        <v>84.17</v>
      </c>
      <c r="AM39" s="510" t="n">
        <v>83.64</v>
      </c>
      <c r="AN39" s="691" t="n">
        <v>82.95999999999999</v>
      </c>
      <c r="AO39" s="683" t="n"/>
      <c r="AP39" s="663" t="n"/>
      <c r="AQ39" s="127" t="n">
        <v>93.33</v>
      </c>
      <c r="AR39" s="128" t="n">
        <v>93.33</v>
      </c>
      <c r="AS39" s="128" t="n">
        <v>68.89</v>
      </c>
      <c r="AT39" s="131" t="n">
        <v>63.33</v>
      </c>
      <c r="AU39" s="127" t="n">
        <v>74.17</v>
      </c>
      <c r="AV39" s="128" t="n">
        <v>85.33</v>
      </c>
      <c r="AW39" s="128" t="n">
        <v>96</v>
      </c>
      <c r="AX39" s="128" t="n"/>
      <c r="AY39" s="543" t="n"/>
      <c r="AZ39" s="543" t="n"/>
      <c r="BA39" s="131" t="n"/>
      <c r="BB39" s="127" t="n">
        <v>85</v>
      </c>
      <c r="BC39" s="131" t="n">
        <v>82.25</v>
      </c>
      <c r="BD39" s="663" t="n"/>
      <c r="BE39" s="131" t="n"/>
      <c r="BF39" s="131" t="n"/>
      <c r="BG39" s="131" t="n"/>
      <c r="BH39" s="114" t="n"/>
      <c r="BI39" s="546" t="n"/>
      <c r="BJ39" s="511" t="n"/>
      <c r="BK39" s="114" t="n"/>
      <c r="BL39" s="546" t="n"/>
      <c r="BM39" s="511" t="n"/>
      <c r="BN39" s="114" t="n"/>
      <c r="BO39" s="546" t="n"/>
      <c r="BP39" s="546" t="n"/>
      <c r="BQ39" s="546" t="n"/>
      <c r="BR39" s="546" t="n"/>
      <c r="BS39" s="546" t="n"/>
      <c r="BT39" s="511" t="n"/>
      <c r="BU39" s="546" t="n"/>
      <c r="BV39" s="546" t="n"/>
      <c r="BW39" s="546" t="n"/>
      <c r="BX39" s="546" t="n"/>
      <c r="BY39" s="546" t="n"/>
      <c r="BZ39" s="546" t="n"/>
      <c r="CA39" s="546" t="n"/>
      <c r="CB39" s="15" t="n"/>
      <c r="CC39" s="546" t="n"/>
      <c r="CD39" s="546" t="n"/>
      <c r="CE39" s="546" t="n"/>
      <c r="CF39" s="546" t="n"/>
      <c r="CG39" s="546" t="n"/>
      <c r="CH39" s="15" t="n"/>
      <c r="CI39" s="546" t="n"/>
      <c r="CJ39" s="546" t="n"/>
      <c r="CK39" s="17" t="n"/>
      <c r="CL39" s="546" t="n"/>
      <c r="CM39" s="546" t="n"/>
      <c r="CN39" s="546" t="n"/>
      <c r="CO39" s="546" t="n"/>
      <c r="CP39" s="583" t="n"/>
      <c r="CQ39" s="15" t="n"/>
      <c r="CR39" s="15" t="n"/>
      <c r="CS39" s="15" t="n"/>
      <c r="CT39" s="15" t="n"/>
      <c r="CU39" s="546" t="n"/>
      <c r="CV39" s="17" t="n"/>
      <c r="CW39" s="74" t="n"/>
      <c r="CX39" s="75" t="n"/>
      <c r="CY39" s="76" t="n"/>
      <c r="CZ39" s="76" t="n"/>
      <c r="DA39" s="91" t="n"/>
      <c r="DB39" s="141" t="n"/>
      <c r="DC39" s="162" t="n"/>
      <c r="DD39" s="162" t="n"/>
      <c r="DE39" s="162" t="n"/>
      <c r="DF39" s="163" t="n"/>
      <c r="DG39" s="141" t="n"/>
      <c r="DH39" s="162" t="n"/>
      <c r="DI39" s="162" t="n"/>
      <c r="DJ39" s="512" t="n"/>
      <c r="DK39" s="491" t="n"/>
      <c r="DL39" s="141" t="n"/>
      <c r="DM39" s="139" t="n"/>
      <c r="DN39" s="139" t="n"/>
      <c r="DO39" s="139" t="n"/>
      <c r="DP39" s="347" t="n"/>
      <c r="DQ39" s="348" t="n"/>
      <c r="DR39" s="162" t="n"/>
      <c r="DS39" s="162" t="n"/>
      <c r="DT39" s="162" t="n"/>
      <c r="DU39" s="162" t="n"/>
      <c r="DV39" s="201" t="n"/>
      <c r="DW39" s="201" t="n"/>
      <c r="DX39" s="163" t="n"/>
      <c r="DY39" s="141" t="n"/>
      <c r="DZ39" s="139" t="n"/>
      <c r="EA39" s="139" t="n"/>
      <c r="EB39" s="139" t="n"/>
      <c r="EC39" s="140" t="n"/>
      <c r="ED39" s="347" t="n"/>
      <c r="EE39" s="147" t="n"/>
      <c r="EF39" s="141" t="n"/>
      <c r="EG39" s="349" t="n"/>
      <c r="EH39" s="349" t="n"/>
      <c r="EI39" s="139" t="n"/>
      <c r="EJ39" s="147" t="n"/>
      <c r="EK39" s="141" t="n"/>
      <c r="EL39" s="139" t="n"/>
      <c r="EM39" s="139" t="n"/>
      <c r="EN39" s="139" t="n"/>
      <c r="EO39" s="140" t="n"/>
      <c r="EP39" s="147" t="n"/>
      <c r="EQ39" s="141" t="n"/>
      <c r="ER39" s="140" t="n"/>
      <c r="ES39" s="140" t="n"/>
      <c r="ET39" s="140" t="n"/>
      <c r="EU39" s="347" t="n"/>
      <c r="EV39" s="348" t="n"/>
      <c r="EW39" s="141" t="n"/>
      <c r="EX39" s="140" t="n"/>
      <c r="EY39" s="147" t="n"/>
      <c r="EZ39" s="107" t="n"/>
      <c r="FA39" s="587" t="n"/>
      <c r="FB39" s="587" t="n"/>
      <c r="FC39" s="141" t="n"/>
      <c r="FD39" s="140" t="n"/>
      <c r="FE39" s="140" t="n"/>
      <c r="FF39" s="140" t="n"/>
      <c r="FG39" s="140" t="n"/>
      <c r="FH39" s="147" t="n"/>
      <c r="FI39" s="74" t="n"/>
      <c r="FJ39" s="148" t="n"/>
      <c r="FK39" s="148" t="n"/>
      <c r="FL39" s="148" t="n"/>
      <c r="FM39" s="150" t="n"/>
      <c r="FN39" s="92" t="n"/>
      <c r="FO39" s="91" t="n"/>
      <c r="FP39" s="74" t="n"/>
      <c r="FQ39" s="92" t="n"/>
      <c r="FR39" s="148" t="n"/>
      <c r="FS39" s="149" t="n"/>
      <c r="FT39" s="150" t="n"/>
      <c r="FU39" s="99" t="n"/>
      <c r="FV39" s="100" t="n"/>
      <c r="FW39" s="100" t="n"/>
      <c r="FX39" s="100" t="n"/>
      <c r="FY39" s="100" t="n"/>
      <c r="FZ39" s="100" t="n"/>
      <c r="GA39" s="100" t="n"/>
      <c r="GB39" s="100" t="n"/>
      <c r="GC39" s="100" t="n"/>
      <c r="GD39" s="100" t="n"/>
      <c r="GE39" s="100" t="n"/>
      <c r="GF39" s="102" t="n"/>
      <c r="GG39" s="15" t="n"/>
      <c r="GH39" s="546" t="n"/>
      <c r="GI39" s="546" t="n"/>
      <c r="GJ39" s="17" t="n"/>
      <c r="GK39" s="15" t="n"/>
      <c r="GL39" s="546" t="n"/>
      <c r="GM39" s="546" t="n"/>
      <c r="GN39" s="17" t="n"/>
      <c r="GO39" s="31" t="n"/>
      <c r="GP39" s="349" t="n"/>
      <c r="GQ39" s="349" t="n"/>
      <c r="GR39" s="45" t="n"/>
      <c r="GS39" s="351" t="n"/>
      <c r="GT39" s="31" t="n"/>
      <c r="GU39" s="45" t="n"/>
      <c r="GV39" s="45" t="n"/>
      <c r="GW39" s="350" t="n"/>
      <c r="GX39" s="351" t="n"/>
      <c r="GY39" s="107" t="n"/>
      <c r="GZ39" s="587" t="n"/>
      <c r="HA39" s="108" t="n"/>
      <c r="HB39" s="15" t="n"/>
      <c r="HC39" s="546" t="n"/>
      <c r="HD39" s="17" t="n"/>
      <c r="HE39" s="15" t="n"/>
      <c r="HF39" s="546" t="n"/>
      <c r="HG39" s="546" t="n"/>
      <c r="HH39" s="17" t="n"/>
      <c r="HI39" s="31" t="n"/>
      <c r="HJ39" s="45" t="n"/>
      <c r="HK39" s="45" t="n"/>
      <c r="HL39" s="45" t="n"/>
      <c r="HM39" s="45" t="n"/>
      <c r="HN39" s="45" t="n"/>
      <c r="HO39" s="45" t="n"/>
      <c r="HP39" s="45" t="n"/>
      <c r="HQ39" s="45" t="n"/>
      <c r="HR39" s="45" t="n"/>
      <c r="HS39" s="45" t="n"/>
      <c r="HT39" s="351" t="n"/>
      <c r="HU39" s="606" t="n"/>
      <c r="HV39" s="65">
        <f>AVERAGE(AX39,AU39,AQ39,AN39,Z39,R39,O39,J39)</f>
        <v/>
      </c>
      <c r="HW39" s="66">
        <f>AVERAGE(BB39,AR39,AH39,AD39,P39,H39,E39)</f>
        <v/>
      </c>
      <c r="HX39" s="66">
        <f>AVERAGE(BC39,AE39)</f>
        <v/>
      </c>
      <c r="HY39" s="66">
        <f>AVERAGE(AW39,AV39,AS39,AL39,AJ39,Q39)</f>
        <v/>
      </c>
      <c r="HZ39" s="66">
        <f>AVERAGE(AT39,AM39,AF39,T39,I39)</f>
        <v/>
      </c>
      <c r="IA39" s="66">
        <f>AVERAGE(AY39,AG39)</f>
        <v/>
      </c>
      <c r="IB39" s="66">
        <f>AVERAGE(AZ39,#REF!)</f>
        <v/>
      </c>
      <c r="IC39" s="66" t="n"/>
      <c r="ID39" s="66" t="n"/>
      <c r="IE39" s="66">
        <f>AVERAGE(AC39)</f>
        <v/>
      </c>
    </row>
    <row r="40" ht="18" customHeight="1" s="590">
      <c r="B40" s="12" t="n">
        <v>34</v>
      </c>
      <c r="C40" s="13" t="inlineStr">
        <is>
          <t>052-24-125497</t>
        </is>
      </c>
      <c r="D40" s="14" t="inlineStr">
        <is>
          <t>Abdullah Ahmed</t>
        </is>
      </c>
      <c r="E40" s="526" t="n"/>
      <c r="F40" s="526" t="n"/>
      <c r="G40" s="526" t="n"/>
      <c r="H40" s="510" t="n"/>
      <c r="I40" s="526" t="n"/>
      <c r="J40" s="253" t="n"/>
      <c r="K40" s="249" t="n"/>
      <c r="L40" s="249" t="n"/>
      <c r="M40" s="249" t="n"/>
      <c r="N40" s="254" t="n"/>
      <c r="O40" s="524" t="n"/>
      <c r="P40" s="583" t="n"/>
      <c r="Q40" s="524" t="n"/>
      <c r="R40" s="115" t="n"/>
      <c r="S40" s="510" t="n"/>
      <c r="T40" s="117" t="n"/>
      <c r="U40" s="241" t="n">
        <v>30</v>
      </c>
      <c r="V40" s="241" t="n">
        <v>27.5</v>
      </c>
      <c r="W40" s="241" t="n">
        <v>30.95</v>
      </c>
      <c r="X40" s="241" t="n">
        <v>87.88</v>
      </c>
      <c r="Y40" s="241" t="n">
        <v>82.91</v>
      </c>
      <c r="Z40" s="114" t="n">
        <v>44.81</v>
      </c>
      <c r="AA40" s="546" t="n">
        <v>25</v>
      </c>
      <c r="AB40" s="115" t="n">
        <v>27.5</v>
      </c>
      <c r="AC40" s="117" t="n"/>
      <c r="AD40" s="117" t="n"/>
      <c r="AE40" s="114" t="n">
        <v>46.67</v>
      </c>
      <c r="AF40" s="583" t="n">
        <v>63.33</v>
      </c>
      <c r="AG40" s="117" t="n">
        <v>60</v>
      </c>
      <c r="AH40" s="115" t="n">
        <v>54.1666666666667</v>
      </c>
      <c r="AI40" s="665" t="n"/>
      <c r="AJ40" s="115" t="n">
        <v>42.5</v>
      </c>
      <c r="AK40" s="665" t="n"/>
      <c r="AL40" s="510" t="n">
        <v>41.39</v>
      </c>
      <c r="AM40" s="510" t="n">
        <v>32.73</v>
      </c>
      <c r="AN40" s="691" t="n">
        <v>60</v>
      </c>
      <c r="AO40" s="683" t="n"/>
      <c r="AP40" s="663" t="n"/>
      <c r="AQ40" s="127" t="n">
        <v>80</v>
      </c>
      <c r="AR40" s="128" t="n">
        <v>86.67</v>
      </c>
      <c r="AS40" s="128" t="n">
        <v>70</v>
      </c>
      <c r="AT40" s="131" t="n">
        <v>61.67</v>
      </c>
      <c r="AU40" s="127" t="n">
        <v>3</v>
      </c>
      <c r="AV40" s="128" t="n">
        <v>4</v>
      </c>
      <c r="AW40" s="128" t="n">
        <v>16.5</v>
      </c>
      <c r="AX40" s="128" t="n">
        <v>9.84126984126984</v>
      </c>
      <c r="AY40" s="543" t="n">
        <v>14</v>
      </c>
      <c r="AZ40" s="543" t="n">
        <v>11.9047619047619</v>
      </c>
      <c r="BA40" s="131" t="n">
        <v>6.66666666666667</v>
      </c>
      <c r="BB40" s="127" t="n">
        <v>65.83</v>
      </c>
      <c r="BC40" s="131" t="n">
        <v>71.25</v>
      </c>
      <c r="BD40" s="663" t="n"/>
      <c r="BE40" s="131" t="n"/>
      <c r="BF40" s="131" t="n"/>
      <c r="BG40" s="131" t="n"/>
      <c r="BH40" s="114" t="n"/>
      <c r="BI40" s="546" t="n"/>
      <c r="BJ40" s="511" t="n"/>
      <c r="BK40" s="114" t="n"/>
      <c r="BL40" s="546" t="n"/>
      <c r="BM40" s="511" t="n"/>
      <c r="BN40" s="114" t="n"/>
      <c r="BO40" s="546" t="n"/>
      <c r="BP40" s="546" t="n"/>
      <c r="BQ40" s="546" t="n"/>
      <c r="BR40" s="546" t="n"/>
      <c r="BS40" s="546" t="n"/>
      <c r="BT40" s="511" t="n"/>
      <c r="BU40" s="546" t="n"/>
      <c r="BV40" s="546" t="n"/>
      <c r="BW40" s="546" t="n"/>
      <c r="BX40" s="546" t="n"/>
      <c r="BY40" s="546" t="n"/>
      <c r="BZ40" s="546" t="n"/>
      <c r="CA40" s="546" t="n"/>
      <c r="CB40" s="15" t="n"/>
      <c r="CC40" s="546" t="n"/>
      <c r="CD40" s="546" t="n"/>
      <c r="CE40" s="546" t="n"/>
      <c r="CF40" s="546" t="n"/>
      <c r="CG40" s="546" t="n"/>
      <c r="CH40" s="15" t="n"/>
      <c r="CI40" s="546" t="n"/>
      <c r="CJ40" s="546" t="n"/>
      <c r="CK40" s="17" t="n"/>
      <c r="CL40" s="546" t="n"/>
      <c r="CM40" s="546" t="n"/>
      <c r="CN40" s="546" t="n"/>
      <c r="CO40" s="546" t="n"/>
      <c r="CP40" s="583" t="n"/>
      <c r="CQ40" s="15" t="n"/>
      <c r="CR40" s="15" t="n"/>
      <c r="CS40" s="15" t="n"/>
      <c r="CT40" s="15" t="n"/>
      <c r="CU40" s="546" t="n"/>
      <c r="CV40" s="17" t="n"/>
      <c r="CW40" s="74" t="n"/>
      <c r="CX40" s="75" t="n"/>
      <c r="CY40" s="76" t="n"/>
      <c r="CZ40" s="76" t="n"/>
      <c r="DA40" s="91" t="n"/>
      <c r="DB40" s="141" t="n"/>
      <c r="DC40" s="162" t="n"/>
      <c r="DD40" s="162" t="n"/>
      <c r="DE40" s="162" t="n"/>
      <c r="DF40" s="163" t="n"/>
      <c r="DG40" s="141" t="n"/>
      <c r="DH40" s="162" t="n"/>
      <c r="DI40" s="162" t="n"/>
      <c r="DJ40" s="512" t="n"/>
      <c r="DK40" s="491" t="n"/>
      <c r="DL40" s="141" t="n"/>
      <c r="DM40" s="139" t="n"/>
      <c r="DN40" s="139" t="n"/>
      <c r="DO40" s="139" t="n"/>
      <c r="DP40" s="347" t="n"/>
      <c r="DQ40" s="348" t="n"/>
      <c r="DR40" s="162" t="n"/>
      <c r="DS40" s="162" t="n"/>
      <c r="DT40" s="162" t="n"/>
      <c r="DU40" s="162" t="n"/>
      <c r="DV40" s="201" t="n"/>
      <c r="DW40" s="201" t="n"/>
      <c r="DX40" s="163" t="n"/>
      <c r="DY40" s="141" t="n"/>
      <c r="DZ40" s="139" t="n"/>
      <c r="EA40" s="139" t="n"/>
      <c r="EB40" s="139" t="n"/>
      <c r="EC40" s="140" t="n"/>
      <c r="ED40" s="347" t="n"/>
      <c r="EE40" s="147" t="n"/>
      <c r="EF40" s="141" t="n"/>
      <c r="EG40" s="349" t="n"/>
      <c r="EH40" s="349" t="n"/>
      <c r="EI40" s="139" t="n"/>
      <c r="EJ40" s="147" t="n"/>
      <c r="EK40" s="141" t="n"/>
      <c r="EL40" s="139" t="n"/>
      <c r="EM40" s="139" t="n"/>
      <c r="EN40" s="139" t="n"/>
      <c r="EO40" s="140" t="n"/>
      <c r="EP40" s="147" t="n"/>
      <c r="EQ40" s="141" t="n"/>
      <c r="ER40" s="140" t="n"/>
      <c r="ES40" s="140" t="n"/>
      <c r="ET40" s="140" t="n"/>
      <c r="EU40" s="347" t="n"/>
      <c r="EV40" s="348" t="n"/>
      <c r="EW40" s="141" t="n"/>
      <c r="EX40" s="140" t="n"/>
      <c r="EY40" s="147" t="n"/>
      <c r="EZ40" s="107" t="n"/>
      <c r="FA40" s="587" t="n"/>
      <c r="FB40" s="587" t="n"/>
      <c r="FC40" s="141" t="n"/>
      <c r="FD40" s="140" t="n"/>
      <c r="FE40" s="140" t="n"/>
      <c r="FF40" s="140" t="n"/>
      <c r="FG40" s="140" t="n"/>
      <c r="FH40" s="147" t="n"/>
      <c r="FI40" s="74" t="n"/>
      <c r="FJ40" s="148" t="n"/>
      <c r="FK40" s="148" t="n"/>
      <c r="FL40" s="148" t="n"/>
      <c r="FM40" s="150" t="n"/>
      <c r="FN40" s="92" t="n"/>
      <c r="FO40" s="91" t="n"/>
      <c r="FP40" s="74" t="n"/>
      <c r="FQ40" s="92" t="n"/>
      <c r="FR40" s="148" t="n"/>
      <c r="FS40" s="149" t="n"/>
      <c r="FT40" s="150" t="n"/>
      <c r="FU40" s="99" t="n"/>
      <c r="FV40" s="100" t="n"/>
      <c r="FW40" s="100" t="n"/>
      <c r="FX40" s="100" t="n"/>
      <c r="FY40" s="100" t="n"/>
      <c r="FZ40" s="100" t="n"/>
      <c r="GA40" s="100" t="n"/>
      <c r="GB40" s="100" t="n"/>
      <c r="GC40" s="100" t="n"/>
      <c r="GD40" s="100" t="n"/>
      <c r="GE40" s="100" t="n"/>
      <c r="GF40" s="102" t="n"/>
      <c r="GG40" s="15" t="n"/>
      <c r="GH40" s="546" t="n"/>
      <c r="GI40" s="546" t="n"/>
      <c r="GJ40" s="17" t="n"/>
      <c r="GK40" s="15" t="n"/>
      <c r="GL40" s="546" t="n"/>
      <c r="GM40" s="546" t="n"/>
      <c r="GN40" s="17" t="n"/>
      <c r="GO40" s="31" t="n"/>
      <c r="GP40" s="349" t="n"/>
      <c r="GQ40" s="349" t="n"/>
      <c r="GR40" s="45" t="n"/>
      <c r="GS40" s="351" t="n"/>
      <c r="GT40" s="31" t="n"/>
      <c r="GU40" s="45" t="n"/>
      <c r="GV40" s="45" t="n"/>
      <c r="GW40" s="350" t="n"/>
      <c r="GX40" s="351" t="n"/>
      <c r="GY40" s="107" t="n"/>
      <c r="GZ40" s="587" t="n"/>
      <c r="HA40" s="108" t="n"/>
      <c r="HB40" s="15" t="n"/>
      <c r="HC40" s="546" t="n"/>
      <c r="HD40" s="17" t="n"/>
      <c r="HE40" s="15" t="n"/>
      <c r="HF40" s="546" t="n"/>
      <c r="HG40" s="546" t="n"/>
      <c r="HH40" s="17" t="n"/>
      <c r="HI40" s="31" t="n"/>
      <c r="HJ40" s="45" t="n"/>
      <c r="HK40" s="45" t="n"/>
      <c r="HL40" s="45" t="n"/>
      <c r="HM40" s="45" t="n"/>
      <c r="HN40" s="45" t="n"/>
      <c r="HO40" s="45" t="n"/>
      <c r="HP40" s="45" t="n"/>
      <c r="HQ40" s="45" t="n"/>
      <c r="HR40" s="45" t="n"/>
      <c r="HS40" s="45" t="n"/>
      <c r="HT40" s="351" t="n"/>
      <c r="HU40" s="606" t="n"/>
      <c r="HV40" s="65">
        <f>AVERAGE(AX40,AU40,AQ40,AN40,Z40,R40,O40,J40)</f>
        <v/>
      </c>
      <c r="HW40" s="66">
        <f>AVERAGE(BB40,AR40,AH40,AD40,P40,H40,E40)</f>
        <v/>
      </c>
      <c r="HX40" s="66">
        <f>AVERAGE(BC40,AE40)</f>
        <v/>
      </c>
      <c r="HY40" s="66">
        <f>AVERAGE(AW40,AV40,AS40,AL40,AJ40,Q40)</f>
        <v/>
      </c>
      <c r="HZ40" s="66">
        <f>AVERAGE(AT40,AM40,AF40,T40,I40)</f>
        <v/>
      </c>
      <c r="IA40" s="66">
        <f>AVERAGE(AY40,AG40)</f>
        <v/>
      </c>
      <c r="IB40" s="66">
        <f>AVERAGE(AZ40,#REF!)</f>
        <v/>
      </c>
      <c r="IC40" s="66" t="n"/>
      <c r="ID40" s="66">
        <f>AVERAGE(BA40)</f>
        <v/>
      </c>
      <c r="IE40" s="66">
        <f>AVERAGE(AC40)</f>
        <v/>
      </c>
    </row>
    <row r="41" ht="18" customHeight="1" s="590">
      <c r="B41" s="12" t="n">
        <v>36</v>
      </c>
      <c r="C41" s="13" t="inlineStr">
        <is>
          <t>052-24-125542</t>
        </is>
      </c>
      <c r="D41" s="14" t="inlineStr">
        <is>
          <t>Sardar Abdul Rehman</t>
        </is>
      </c>
      <c r="E41" s="526" t="n">
        <v>74</v>
      </c>
      <c r="F41" s="526" t="n">
        <v>65.83</v>
      </c>
      <c r="G41" s="526" t="n">
        <v>69.17</v>
      </c>
      <c r="H41" s="526" t="n">
        <v>74.38</v>
      </c>
      <c r="I41" s="526" t="n">
        <v>65.27</v>
      </c>
      <c r="J41" s="253" t="n">
        <v>64.06</v>
      </c>
      <c r="K41" s="249" t="n">
        <v>62</v>
      </c>
      <c r="L41" s="249" t="n">
        <v>72.22</v>
      </c>
      <c r="M41" s="249" t="n">
        <v>67.73</v>
      </c>
      <c r="N41" s="254" t="n">
        <v>66.67</v>
      </c>
      <c r="O41" s="524" t="n">
        <v>68.33</v>
      </c>
      <c r="P41" s="524" t="n">
        <v>51.25</v>
      </c>
      <c r="Q41" s="524" t="n">
        <v>68</v>
      </c>
      <c r="R41" s="115" t="n">
        <v>59.63</v>
      </c>
      <c r="S41" s="510" t="n">
        <v>67.95999999999999</v>
      </c>
      <c r="T41" s="117" t="n">
        <v>48</v>
      </c>
      <c r="U41" s="241" t="n">
        <v>63.33</v>
      </c>
      <c r="V41" s="241" t="n">
        <v>80</v>
      </c>
      <c r="W41" s="241" t="n">
        <v>66.43000000000001</v>
      </c>
      <c r="X41" s="241" t="n">
        <v>92.42</v>
      </c>
      <c r="Y41" s="241" t="n">
        <v>87.09</v>
      </c>
      <c r="Z41" s="114" t="n">
        <v>48.52</v>
      </c>
      <c r="AA41" s="546" t="n">
        <v>39</v>
      </c>
      <c r="AB41" s="115" t="n">
        <v>30.42</v>
      </c>
      <c r="AC41" s="117" t="n"/>
      <c r="AD41" s="117" t="n"/>
      <c r="AE41" s="114" t="n">
        <v>66.67</v>
      </c>
      <c r="AF41" s="583" t="n">
        <v>75.83</v>
      </c>
      <c r="AG41" s="117" t="n">
        <v>75</v>
      </c>
      <c r="AH41" s="115" t="n">
        <v>70</v>
      </c>
      <c r="AI41" s="665" t="n"/>
      <c r="AJ41" s="115" t="n">
        <v>73.3333333333333</v>
      </c>
      <c r="AK41" s="665" t="n"/>
      <c r="AL41" s="510" t="n">
        <v>73.06</v>
      </c>
      <c r="AM41" s="510" t="n">
        <v>75.45</v>
      </c>
      <c r="AN41" s="691" t="n">
        <v>79.63</v>
      </c>
      <c r="AO41" s="683" t="n"/>
      <c r="AP41" s="663" t="n"/>
      <c r="AQ41" s="127" t="n">
        <v>83.33</v>
      </c>
      <c r="AR41" s="128" t="n">
        <v>86.67</v>
      </c>
      <c r="AS41" s="128" t="n">
        <v>82.22</v>
      </c>
      <c r="AT41" s="131" t="n">
        <v>86.67</v>
      </c>
      <c r="AU41" s="127" t="n">
        <v>53.33</v>
      </c>
      <c r="AV41" s="128" t="n">
        <v>75.33</v>
      </c>
      <c r="AW41" s="128" t="n">
        <v>76.5</v>
      </c>
      <c r="AX41" s="128" t="n">
        <v>50.7936507936508</v>
      </c>
      <c r="AY41" s="543" t="n">
        <v>82</v>
      </c>
      <c r="AZ41" s="543" t="n">
        <v>81.4285714285714</v>
      </c>
      <c r="BA41" s="131" t="n">
        <v>76.6666666666667</v>
      </c>
      <c r="BB41" s="127" t="n">
        <v>80.83</v>
      </c>
      <c r="BC41" s="131" t="n">
        <v>83.25</v>
      </c>
      <c r="BD41" s="663" t="n"/>
      <c r="BE41" s="131" t="n"/>
      <c r="BF41" s="131" t="n"/>
      <c r="BG41" s="131" t="n"/>
      <c r="BH41" s="114" t="n"/>
      <c r="BI41" s="546" t="n"/>
      <c r="BJ41" s="511" t="n"/>
      <c r="BK41" s="114" t="n"/>
      <c r="BL41" s="546" t="n"/>
      <c r="BM41" s="511" t="n"/>
      <c r="BN41" s="114" t="n"/>
      <c r="BO41" s="546" t="n"/>
      <c r="BP41" s="546" t="n"/>
      <c r="BQ41" s="546" t="n"/>
      <c r="BR41" s="546" t="n"/>
      <c r="BS41" s="546" t="n"/>
      <c r="BT41" s="511" t="n"/>
      <c r="BU41" s="546" t="n"/>
      <c r="BV41" s="546" t="n"/>
      <c r="BW41" s="546" t="n"/>
      <c r="BX41" s="546" t="n"/>
      <c r="BY41" s="546" t="n"/>
      <c r="BZ41" s="546" t="n"/>
      <c r="CA41" s="546" t="n"/>
      <c r="CB41" s="15" t="n"/>
      <c r="CC41" s="546" t="n"/>
      <c r="CD41" s="546" t="n"/>
      <c r="CE41" s="546" t="n"/>
      <c r="CF41" s="546" t="n"/>
      <c r="CG41" s="546" t="n"/>
      <c r="CH41" s="15" t="n"/>
      <c r="CI41" s="546" t="n"/>
      <c r="CJ41" s="546" t="n"/>
      <c r="CK41" s="17" t="n"/>
      <c r="CL41" s="546" t="n"/>
      <c r="CM41" s="546" t="n"/>
      <c r="CN41" s="546" t="n"/>
      <c r="CO41" s="546" t="n"/>
      <c r="CP41" s="583" t="n"/>
      <c r="CQ41" s="15" t="n"/>
      <c r="CR41" s="15" t="n"/>
      <c r="CS41" s="15" t="n"/>
      <c r="CT41" s="15" t="n"/>
      <c r="CU41" s="546" t="n"/>
      <c r="CV41" s="17" t="n"/>
      <c r="CW41" s="74" t="n"/>
      <c r="CX41" s="75" t="n"/>
      <c r="CY41" s="76" t="n"/>
      <c r="CZ41" s="76" t="n"/>
      <c r="DA41" s="91" t="n"/>
      <c r="DB41" s="141" t="n"/>
      <c r="DC41" s="162" t="n"/>
      <c r="DD41" s="162" t="n"/>
      <c r="DE41" s="162" t="n"/>
      <c r="DF41" s="163" t="n"/>
      <c r="DG41" s="141" t="n"/>
      <c r="DH41" s="162" t="n"/>
      <c r="DI41" s="162" t="n"/>
      <c r="DJ41" s="512" t="n"/>
      <c r="DK41" s="491" t="n"/>
      <c r="DL41" s="141" t="n"/>
      <c r="DM41" s="139" t="n"/>
      <c r="DN41" s="139" t="n"/>
      <c r="DO41" s="139" t="n"/>
      <c r="DP41" s="347" t="n"/>
      <c r="DQ41" s="348" t="n"/>
      <c r="DR41" s="162" t="n"/>
      <c r="DS41" s="162" t="n"/>
      <c r="DT41" s="162" t="n"/>
      <c r="DU41" s="162" t="n"/>
      <c r="DV41" s="201" t="n"/>
      <c r="DW41" s="201" t="n"/>
      <c r="DX41" s="163" t="n"/>
      <c r="DY41" s="141" t="n"/>
      <c r="DZ41" s="139" t="n"/>
      <c r="EA41" s="139" t="n"/>
      <c r="EB41" s="139" t="n"/>
      <c r="EC41" s="140" t="n"/>
      <c r="ED41" s="347" t="n"/>
      <c r="EE41" s="147" t="n"/>
      <c r="EF41" s="141" t="n"/>
      <c r="EG41" s="349" t="n"/>
      <c r="EH41" s="349" t="n"/>
      <c r="EI41" s="139" t="n"/>
      <c r="EJ41" s="147" t="n"/>
      <c r="EK41" s="141" t="n"/>
      <c r="EL41" s="139" t="n"/>
      <c r="EM41" s="139" t="n"/>
      <c r="EN41" s="139" t="n"/>
      <c r="EO41" s="140" t="n"/>
      <c r="EP41" s="147" t="n"/>
      <c r="EQ41" s="141" t="n"/>
      <c r="ER41" s="140" t="n"/>
      <c r="ES41" s="140" t="n"/>
      <c r="ET41" s="140" t="n"/>
      <c r="EU41" s="347" t="n"/>
      <c r="EV41" s="348" t="n"/>
      <c r="EW41" s="141" t="n"/>
      <c r="EX41" s="140" t="n"/>
      <c r="EY41" s="147" t="n"/>
      <c r="EZ41" s="107" t="n"/>
      <c r="FA41" s="587" t="n"/>
      <c r="FB41" s="587" t="n"/>
      <c r="FC41" s="141" t="n"/>
      <c r="FD41" s="140" t="n"/>
      <c r="FE41" s="140" t="n"/>
      <c r="FF41" s="140" t="n"/>
      <c r="FG41" s="140" t="n"/>
      <c r="FH41" s="147" t="n"/>
      <c r="FI41" s="74" t="n"/>
      <c r="FJ41" s="148" t="n"/>
      <c r="FK41" s="148" t="n"/>
      <c r="FL41" s="148" t="n"/>
      <c r="FM41" s="150" t="n"/>
      <c r="FN41" s="92" t="n"/>
      <c r="FO41" s="91" t="n"/>
      <c r="FP41" s="74" t="n"/>
      <c r="FQ41" s="92" t="n"/>
      <c r="FR41" s="148" t="n"/>
      <c r="FS41" s="149" t="n"/>
      <c r="FT41" s="150" t="n"/>
      <c r="FU41" s="99" t="n"/>
      <c r="FV41" s="100" t="n"/>
      <c r="FW41" s="100" t="n"/>
      <c r="FX41" s="100" t="n"/>
      <c r="FY41" s="100" t="n"/>
      <c r="FZ41" s="100" t="n"/>
      <c r="GA41" s="100" t="n"/>
      <c r="GB41" s="100" t="n"/>
      <c r="GC41" s="100" t="n"/>
      <c r="GD41" s="100" t="n"/>
      <c r="GE41" s="100" t="n"/>
      <c r="GF41" s="102" t="n"/>
      <c r="GG41" s="15" t="n"/>
      <c r="GH41" s="546" t="n"/>
      <c r="GI41" s="546" t="n"/>
      <c r="GJ41" s="17" t="n"/>
      <c r="GK41" s="15" t="n"/>
      <c r="GL41" s="546" t="n"/>
      <c r="GM41" s="546" t="n"/>
      <c r="GN41" s="17" t="n"/>
      <c r="GO41" s="31" t="n"/>
      <c r="GP41" s="349" t="n"/>
      <c r="GQ41" s="349" t="n"/>
      <c r="GR41" s="45" t="n"/>
      <c r="GS41" s="351" t="n"/>
      <c r="GT41" s="31" t="n"/>
      <c r="GU41" s="45" t="n"/>
      <c r="GV41" s="45" t="n"/>
      <c r="GW41" s="350" t="n"/>
      <c r="GX41" s="351" t="n"/>
      <c r="GY41" s="107" t="n"/>
      <c r="GZ41" s="587" t="n"/>
      <c r="HA41" s="108" t="n"/>
      <c r="HB41" s="15" t="n"/>
      <c r="HC41" s="546" t="n"/>
      <c r="HD41" s="17" t="n"/>
      <c r="HE41" s="15" t="n"/>
      <c r="HF41" s="546" t="n"/>
      <c r="HG41" s="546" t="n"/>
      <c r="HH41" s="17" t="n"/>
      <c r="HI41" s="31" t="n"/>
      <c r="HJ41" s="45" t="n"/>
      <c r="HK41" s="45" t="n"/>
      <c r="HL41" s="45" t="n"/>
      <c r="HM41" s="45" t="n"/>
      <c r="HN41" s="45" t="n"/>
      <c r="HO41" s="45" t="n"/>
      <c r="HP41" s="45" t="n"/>
      <c r="HQ41" s="45" t="n"/>
      <c r="HR41" s="45" t="n"/>
      <c r="HS41" s="45" t="n"/>
      <c r="HT41" s="351" t="n"/>
      <c r="HU41" s="606" t="n"/>
      <c r="HV41" s="65">
        <f>AVERAGE(AX41,AU41,AQ41,AN41,Z41,R41,O41,J41)</f>
        <v/>
      </c>
      <c r="HW41" s="66">
        <f>AVERAGE(BB41,AR41,AH41,AD41,P41,H41,E41)</f>
        <v/>
      </c>
      <c r="HX41" s="66">
        <f>AVERAGE(BC41,AE41)</f>
        <v/>
      </c>
      <c r="HY41" s="66">
        <f>AVERAGE(AW41,AV41,AS41,AL41,AJ41,Q41)</f>
        <v/>
      </c>
      <c r="HZ41" s="66">
        <f>AVERAGE(AT41,AM41,AF41,T41,I41)</f>
        <v/>
      </c>
      <c r="IA41" s="66">
        <f>AVERAGE(AY41,AG41)</f>
        <v/>
      </c>
      <c r="IB41" s="66">
        <f>AVERAGE(AZ41,#REF!)</f>
        <v/>
      </c>
      <c r="IC41" s="66" t="n"/>
      <c r="ID41" s="66">
        <f>AVERAGE(BA41)</f>
        <v/>
      </c>
      <c r="IE41" s="66">
        <f>AVERAGE(AC41)</f>
        <v/>
      </c>
    </row>
    <row r="42" ht="18" customHeight="1" s="590">
      <c r="B42" s="12" t="n">
        <v>37</v>
      </c>
      <c r="C42" s="13" t="inlineStr">
        <is>
          <t>052-24-125545</t>
        </is>
      </c>
      <c r="D42" s="14" t="inlineStr">
        <is>
          <t>M. Jawad</t>
        </is>
      </c>
      <c r="E42" s="526" t="n">
        <v>40</v>
      </c>
      <c r="F42" s="526" t="n">
        <v>55</v>
      </c>
      <c r="G42" s="526" t="n">
        <v>62.5</v>
      </c>
      <c r="H42" s="510" t="n">
        <v>0</v>
      </c>
      <c r="I42" s="526" t="n">
        <v>0</v>
      </c>
      <c r="J42" s="253" t="n">
        <v>60</v>
      </c>
      <c r="K42" s="249" t="n">
        <v>60</v>
      </c>
      <c r="L42" s="249" t="n">
        <v>66.67</v>
      </c>
      <c r="M42" s="249" t="n"/>
      <c r="N42" s="254" t="n"/>
      <c r="O42" s="524" t="n">
        <v>52.08</v>
      </c>
      <c r="P42" s="524" t="n">
        <v>50.83</v>
      </c>
      <c r="Q42" s="524" t="n">
        <v>77.5</v>
      </c>
      <c r="R42" s="115" t="n">
        <v>38.33</v>
      </c>
      <c r="S42" s="510" t="n">
        <v>43.33</v>
      </c>
      <c r="T42" s="117" t="n">
        <v>24</v>
      </c>
      <c r="U42" s="241" t="n">
        <v>40</v>
      </c>
      <c r="V42" s="241" t="n">
        <v>20</v>
      </c>
      <c r="W42" s="241" t="n">
        <v>42.62</v>
      </c>
      <c r="X42" s="241" t="n">
        <v>87.88</v>
      </c>
      <c r="Y42" s="241" t="n">
        <v>83.64</v>
      </c>
      <c r="Z42" s="114" t="n">
        <v>41.11</v>
      </c>
      <c r="AA42" s="546" t="n">
        <v>32.5</v>
      </c>
      <c r="AB42" s="115" t="n">
        <v>27.5</v>
      </c>
      <c r="AC42" s="117" t="n"/>
      <c r="AD42" s="117" t="n"/>
      <c r="AE42" s="114" t="n"/>
      <c r="AF42" s="583" t="n">
        <v>44.17</v>
      </c>
      <c r="AG42" s="117" t="n">
        <v>46.67</v>
      </c>
      <c r="AH42" s="115" t="n">
        <v>63.75</v>
      </c>
      <c r="AI42" s="665" t="n"/>
      <c r="AJ42" s="115" t="n">
        <v>71.6666666666667</v>
      </c>
      <c r="AK42" s="665" t="n"/>
      <c r="AL42" s="510" t="n">
        <v>60.28</v>
      </c>
      <c r="AM42" s="510" t="n">
        <v>57.88</v>
      </c>
      <c r="AN42" s="691" t="n">
        <v>80.37</v>
      </c>
      <c r="AO42" s="683" t="n"/>
      <c r="AP42" s="663" t="n"/>
      <c r="AQ42" s="127" t="n">
        <v>90</v>
      </c>
      <c r="AR42" s="128" t="n">
        <v>76.67</v>
      </c>
      <c r="AS42" s="128" t="n">
        <v>53.33</v>
      </c>
      <c r="AT42" s="131" t="n">
        <v>73.33</v>
      </c>
      <c r="AU42" s="127" t="n">
        <v>75</v>
      </c>
      <c r="AV42" s="128" t="n">
        <v>70.67</v>
      </c>
      <c r="AW42" s="128" t="n">
        <v>78</v>
      </c>
      <c r="AX42" s="128" t="n">
        <v>33.968253968254</v>
      </c>
      <c r="AY42" s="543" t="n">
        <v>18.6666666666667</v>
      </c>
      <c r="AZ42" s="543" t="n">
        <v>32.3809523809524</v>
      </c>
      <c r="BA42" s="131" t="n">
        <v>13.3333333333333</v>
      </c>
      <c r="BB42" s="127" t="n">
        <v>72.5</v>
      </c>
      <c r="BC42" s="131" t="n">
        <v>76.5</v>
      </c>
      <c r="BD42" s="663" t="n"/>
      <c r="BE42" s="131" t="n"/>
      <c r="BF42" s="131" t="n"/>
      <c r="BG42" s="131" t="n"/>
      <c r="BH42" s="114" t="n"/>
      <c r="BI42" s="546" t="n"/>
      <c r="BJ42" s="511" t="n"/>
      <c r="BK42" s="114" t="n"/>
      <c r="BL42" s="546" t="n"/>
      <c r="BM42" s="511" t="n"/>
      <c r="BN42" s="114" t="n"/>
      <c r="BO42" s="546" t="n"/>
      <c r="BP42" s="546" t="n"/>
      <c r="BQ42" s="546" t="n"/>
      <c r="BR42" s="546" t="n"/>
      <c r="BS42" s="546" t="n"/>
      <c r="BT42" s="511" t="n"/>
      <c r="BU42" s="546" t="n"/>
      <c r="BV42" s="546" t="n"/>
      <c r="BW42" s="546" t="n"/>
      <c r="BX42" s="546" t="n"/>
      <c r="BY42" s="546" t="n"/>
      <c r="BZ42" s="546" t="n"/>
      <c r="CA42" s="546" t="n"/>
      <c r="CB42" s="15" t="n"/>
      <c r="CC42" s="546" t="n"/>
      <c r="CD42" s="546" t="n"/>
      <c r="CE42" s="546" t="n"/>
      <c r="CF42" s="546" t="n"/>
      <c r="CG42" s="546" t="n"/>
      <c r="CH42" s="15" t="n"/>
      <c r="CI42" s="546" t="n"/>
      <c r="CJ42" s="546" t="n"/>
      <c r="CK42" s="17" t="n"/>
      <c r="CL42" s="546" t="n"/>
      <c r="CM42" s="546" t="n"/>
      <c r="CN42" s="546" t="n"/>
      <c r="CO42" s="546" t="n"/>
      <c r="CP42" s="583" t="n"/>
      <c r="CQ42" s="15" t="n"/>
      <c r="CR42" s="15" t="n"/>
      <c r="CS42" s="15" t="n"/>
      <c r="CT42" s="15" t="n"/>
      <c r="CU42" s="546" t="n"/>
      <c r="CV42" s="17" t="n"/>
      <c r="CW42" s="74" t="n"/>
      <c r="CX42" s="75" t="n"/>
      <c r="CY42" s="76" t="n"/>
      <c r="CZ42" s="76" t="n"/>
      <c r="DA42" s="91" t="n"/>
      <c r="DB42" s="141" t="n"/>
      <c r="DC42" s="162" t="n"/>
      <c r="DD42" s="162" t="n"/>
      <c r="DE42" s="162" t="n"/>
      <c r="DF42" s="163" t="n"/>
      <c r="DG42" s="141" t="n"/>
      <c r="DH42" s="162" t="n"/>
      <c r="DI42" s="162" t="n"/>
      <c r="DJ42" s="512" t="n"/>
      <c r="DK42" s="491" t="n"/>
      <c r="DL42" s="141" t="n"/>
      <c r="DM42" s="139" t="n"/>
      <c r="DN42" s="139" t="n"/>
      <c r="DO42" s="139" t="n"/>
      <c r="DP42" s="347" t="n"/>
      <c r="DQ42" s="348" t="n"/>
      <c r="DR42" s="162" t="n"/>
      <c r="DS42" s="162" t="n"/>
      <c r="DT42" s="162" t="n"/>
      <c r="DU42" s="162" t="n"/>
      <c r="DV42" s="201" t="n"/>
      <c r="DW42" s="201" t="n"/>
      <c r="DX42" s="163" t="n"/>
      <c r="DY42" s="141" t="n"/>
      <c r="DZ42" s="139" t="n"/>
      <c r="EA42" s="139" t="n"/>
      <c r="EB42" s="139" t="n"/>
      <c r="EC42" s="140" t="n"/>
      <c r="ED42" s="347" t="n"/>
      <c r="EE42" s="147" t="n"/>
      <c r="EF42" s="141" t="n"/>
      <c r="EG42" s="349" t="n"/>
      <c r="EH42" s="349" t="n"/>
      <c r="EI42" s="139" t="n"/>
      <c r="EJ42" s="147" t="n"/>
      <c r="EK42" s="141" t="n"/>
      <c r="EL42" s="139" t="n"/>
      <c r="EM42" s="139" t="n"/>
      <c r="EN42" s="139" t="n"/>
      <c r="EO42" s="140" t="n"/>
      <c r="EP42" s="147" t="n"/>
      <c r="EQ42" s="141" t="n"/>
      <c r="ER42" s="140" t="n"/>
      <c r="ES42" s="140" t="n"/>
      <c r="ET42" s="140" t="n"/>
      <c r="EU42" s="347" t="n"/>
      <c r="EV42" s="348" t="n"/>
      <c r="EW42" s="141" t="n"/>
      <c r="EX42" s="140" t="n"/>
      <c r="EY42" s="147" t="n"/>
      <c r="EZ42" s="107" t="n"/>
      <c r="FA42" s="587" t="n"/>
      <c r="FB42" s="587" t="n"/>
      <c r="FC42" s="141" t="n"/>
      <c r="FD42" s="140" t="n"/>
      <c r="FE42" s="140" t="n"/>
      <c r="FF42" s="140" t="n"/>
      <c r="FG42" s="140" t="n"/>
      <c r="FH42" s="147" t="n"/>
      <c r="FI42" s="74" t="n"/>
      <c r="FJ42" s="148" t="n"/>
      <c r="FK42" s="148" t="n"/>
      <c r="FL42" s="148" t="n"/>
      <c r="FM42" s="150" t="n"/>
      <c r="FN42" s="92" t="n"/>
      <c r="FO42" s="91" t="n"/>
      <c r="FP42" s="74" t="n"/>
      <c r="FQ42" s="92" t="n"/>
      <c r="FR42" s="148" t="n"/>
      <c r="FS42" s="149" t="n"/>
      <c r="FT42" s="150" t="n"/>
      <c r="FU42" s="99" t="n"/>
      <c r="FV42" s="100" t="n"/>
      <c r="FW42" s="100" t="n"/>
      <c r="FX42" s="100" t="n"/>
      <c r="FY42" s="100" t="n"/>
      <c r="FZ42" s="100" t="n"/>
      <c r="GA42" s="100" t="n"/>
      <c r="GB42" s="100" t="n"/>
      <c r="GC42" s="100" t="n"/>
      <c r="GD42" s="100" t="n"/>
      <c r="GE42" s="100" t="n"/>
      <c r="GF42" s="102" t="n"/>
      <c r="GG42" s="15" t="n"/>
      <c r="GH42" s="546" t="n"/>
      <c r="GI42" s="546" t="n"/>
      <c r="GJ42" s="17" t="n"/>
      <c r="GK42" s="15" t="n"/>
      <c r="GL42" s="546" t="n"/>
      <c r="GM42" s="546" t="n"/>
      <c r="GN42" s="17" t="n"/>
      <c r="GO42" s="31" t="n"/>
      <c r="GP42" s="349" t="n"/>
      <c r="GQ42" s="349" t="n"/>
      <c r="GR42" s="45" t="n"/>
      <c r="GS42" s="351" t="n"/>
      <c r="GT42" s="31" t="n"/>
      <c r="GU42" s="45" t="n"/>
      <c r="GV42" s="45" t="n"/>
      <c r="GW42" s="350" t="n"/>
      <c r="GX42" s="351" t="n"/>
      <c r="GY42" s="107" t="n"/>
      <c r="GZ42" s="587" t="n"/>
      <c r="HA42" s="108" t="n"/>
      <c r="HB42" s="15" t="n"/>
      <c r="HC42" s="546" t="n"/>
      <c r="HD42" s="17" t="n"/>
      <c r="HE42" s="15" t="n"/>
      <c r="HF42" s="546" t="n"/>
      <c r="HG42" s="546" t="n"/>
      <c r="HH42" s="17" t="n"/>
      <c r="HI42" s="31" t="n"/>
      <c r="HJ42" s="45" t="n"/>
      <c r="HK42" s="45" t="n"/>
      <c r="HL42" s="45" t="n"/>
      <c r="HM42" s="45" t="n"/>
      <c r="HN42" s="45" t="n"/>
      <c r="HO42" s="45" t="n"/>
      <c r="HP42" s="45" t="n"/>
      <c r="HQ42" s="45" t="n"/>
      <c r="HR42" s="45" t="n"/>
      <c r="HS42" s="45" t="n"/>
      <c r="HT42" s="351" t="n"/>
      <c r="HU42" s="606" t="n"/>
      <c r="HV42" s="65">
        <f>AVERAGE(AX42,AU42,AQ42,AN42,Z42,R42,O42,J42)</f>
        <v/>
      </c>
      <c r="HW42" s="66">
        <f>AVERAGE(BB42,AR42,AH42,AD42,P42,H42,E42)</f>
        <v/>
      </c>
      <c r="HX42" s="66">
        <f>AVERAGE(BC42,AE42)</f>
        <v/>
      </c>
      <c r="HY42" s="66">
        <f>AVERAGE(AW42,AV42,AS42,AL42,AJ42,Q42)</f>
        <v/>
      </c>
      <c r="HZ42" s="66">
        <f>AVERAGE(AT42,AM42,AF42,T42,I42)</f>
        <v/>
      </c>
      <c r="IA42" s="66">
        <f>AVERAGE(AY42,AG42)</f>
        <v/>
      </c>
      <c r="IB42" s="66">
        <f>AVERAGE(AZ42,#REF!)</f>
        <v/>
      </c>
      <c r="IC42" s="66" t="n"/>
      <c r="ID42" s="66">
        <f>AVERAGE(BA42)</f>
        <v/>
      </c>
      <c r="IE42" s="66" t="n"/>
    </row>
    <row r="43" ht="18" customHeight="1" s="590">
      <c r="B43" s="12" t="n">
        <v>38</v>
      </c>
      <c r="C43" s="13" t="inlineStr">
        <is>
          <t>052-24-125182</t>
        </is>
      </c>
      <c r="D43" s="14" t="inlineStr">
        <is>
          <t>Essha Sagheer</t>
        </is>
      </c>
      <c r="E43" s="526" t="n">
        <v>8</v>
      </c>
      <c r="F43" s="526" t="n">
        <v>10</v>
      </c>
      <c r="G43" s="526" t="n">
        <v>0</v>
      </c>
      <c r="H43" s="526" t="n">
        <v>12.17</v>
      </c>
      <c r="I43" s="526" t="n">
        <v>0</v>
      </c>
      <c r="J43" s="253" t="n">
        <v>0</v>
      </c>
      <c r="K43" s="249" t="n">
        <v>0</v>
      </c>
      <c r="L43" s="249" t="n">
        <v>0</v>
      </c>
      <c r="M43" s="249" t="n">
        <v>12.73</v>
      </c>
      <c r="N43" s="254" t="n">
        <v>0</v>
      </c>
      <c r="O43" s="524" t="n">
        <v>16.67</v>
      </c>
      <c r="P43" s="524" t="n">
        <v>13.33</v>
      </c>
      <c r="Q43" s="524" t="n">
        <v>14</v>
      </c>
      <c r="R43" s="115" t="n"/>
      <c r="S43" s="510" t="n"/>
      <c r="T43" s="117" t="n"/>
      <c r="U43" s="241" t="n">
        <v>16.67</v>
      </c>
      <c r="V43" s="241" t="n">
        <v>15</v>
      </c>
      <c r="W43" s="241" t="n">
        <v>5.71</v>
      </c>
      <c r="X43" s="241" t="n">
        <v>75.15000000000001</v>
      </c>
      <c r="Y43" s="241" t="n">
        <v>7.27</v>
      </c>
      <c r="Z43" s="114" t="n">
        <v>44.81</v>
      </c>
      <c r="AA43" s="546" t="n">
        <v>45.01</v>
      </c>
      <c r="AB43" s="115" t="n">
        <v>47.12</v>
      </c>
      <c r="AC43" s="117" t="n"/>
      <c r="AD43" s="117" t="n"/>
      <c r="AE43" s="114" t="n">
        <v>66.67</v>
      </c>
      <c r="AF43" s="583" t="n">
        <v>68.33</v>
      </c>
      <c r="AG43" s="117" t="n">
        <v>73.33</v>
      </c>
      <c r="AH43" s="115" t="n">
        <v>70.8333333333333</v>
      </c>
      <c r="AI43" s="665" t="n"/>
      <c r="AJ43" s="115" t="n">
        <v>66.6666666666667</v>
      </c>
      <c r="AK43" s="665" t="n"/>
      <c r="AL43" s="510" t="n">
        <v>67.06</v>
      </c>
      <c r="AM43" s="510" t="n">
        <v>67.27</v>
      </c>
      <c r="AN43" s="691" t="n">
        <v>70</v>
      </c>
      <c r="AO43" s="683" t="n"/>
      <c r="AP43" s="663" t="n"/>
      <c r="AQ43" s="127" t="n">
        <v>80</v>
      </c>
      <c r="AR43" s="128" t="n">
        <v>83.33</v>
      </c>
      <c r="AS43" s="128" t="n">
        <v>72.22</v>
      </c>
      <c r="AT43" s="131" t="n">
        <v>76.67</v>
      </c>
      <c r="AU43" s="127" t="n">
        <v>80</v>
      </c>
      <c r="AV43" s="128" t="n">
        <v>66.33</v>
      </c>
      <c r="AW43" s="128" t="n">
        <v>43</v>
      </c>
      <c r="AX43" s="128" t="n">
        <v>65.5555555555556</v>
      </c>
      <c r="AY43" s="543" t="n">
        <v>71.3333333333333</v>
      </c>
      <c r="AZ43" s="543" t="n">
        <v>35.7142857142857</v>
      </c>
      <c r="BA43" s="131" t="n">
        <v>36.6666666666667</v>
      </c>
      <c r="BB43" s="127" t="n">
        <v>70</v>
      </c>
      <c r="BC43" s="131" t="n">
        <v>71.75</v>
      </c>
      <c r="BD43" s="663" t="n"/>
      <c r="BE43" s="131" t="n"/>
      <c r="BF43" s="131" t="n"/>
      <c r="BG43" s="131" t="n"/>
      <c r="BH43" s="114" t="n"/>
      <c r="BI43" s="546" t="n"/>
      <c r="BJ43" s="511" t="n"/>
      <c r="BK43" s="114" t="n"/>
      <c r="BL43" s="546" t="n"/>
      <c r="BM43" s="511" t="n"/>
      <c r="BN43" s="114" t="n"/>
      <c r="BO43" s="546" t="n"/>
      <c r="BP43" s="546" t="n"/>
      <c r="BQ43" s="546" t="n"/>
      <c r="BR43" s="546" t="n"/>
      <c r="BS43" s="546" t="n"/>
      <c r="BT43" s="511" t="n"/>
      <c r="BU43" s="546" t="n"/>
      <c r="BV43" s="546" t="n"/>
      <c r="BW43" s="546" t="n"/>
      <c r="BX43" s="546" t="n"/>
      <c r="BY43" s="546" t="n"/>
      <c r="BZ43" s="546" t="n"/>
      <c r="CA43" s="546" t="n"/>
      <c r="CB43" s="15" t="n"/>
      <c r="CC43" s="546" t="n"/>
      <c r="CD43" s="546" t="n"/>
      <c r="CE43" s="546" t="n"/>
      <c r="CF43" s="546" t="n"/>
      <c r="CG43" s="546" t="n"/>
      <c r="CH43" s="15" t="n"/>
      <c r="CI43" s="546" t="n"/>
      <c r="CJ43" s="546" t="n"/>
      <c r="CK43" s="17" t="n"/>
      <c r="CL43" s="546" t="n"/>
      <c r="CM43" s="546" t="n"/>
      <c r="CN43" s="546" t="n"/>
      <c r="CO43" s="546" t="n"/>
      <c r="CP43" s="583" t="n"/>
      <c r="CQ43" s="15" t="n"/>
      <c r="CR43" s="15" t="n"/>
      <c r="CS43" s="15" t="n"/>
      <c r="CT43" s="15" t="n"/>
      <c r="CU43" s="546" t="n"/>
      <c r="CV43" s="17" t="n"/>
      <c r="CW43" s="74" t="n"/>
      <c r="CX43" s="75" t="n"/>
      <c r="CY43" s="76" t="n"/>
      <c r="CZ43" s="76" t="n"/>
      <c r="DA43" s="91" t="n"/>
      <c r="DB43" s="141" t="n"/>
      <c r="DC43" s="162" t="n"/>
      <c r="DD43" s="162" t="n"/>
      <c r="DE43" s="162" t="n"/>
      <c r="DF43" s="163" t="n"/>
      <c r="DG43" s="141" t="n"/>
      <c r="DH43" s="162" t="n"/>
      <c r="DI43" s="162" t="n"/>
      <c r="DJ43" s="512" t="n"/>
      <c r="DK43" s="665" t="n"/>
      <c r="DL43" s="141" t="n"/>
      <c r="DM43" s="139" t="n"/>
      <c r="DN43" s="139" t="n"/>
      <c r="DO43" s="139" t="n"/>
      <c r="DP43" s="147" t="n"/>
      <c r="DQ43" s="664" t="n"/>
      <c r="DR43" s="162" t="n"/>
      <c r="DS43" s="162" t="n"/>
      <c r="DT43" s="162" t="n"/>
      <c r="DU43" s="162" t="n"/>
      <c r="DV43" s="201" t="n"/>
      <c r="DW43" s="201" t="n"/>
      <c r="DX43" s="163" t="n"/>
      <c r="DY43" s="141" t="n"/>
      <c r="DZ43" s="139" t="n"/>
      <c r="EA43" s="139" t="n"/>
      <c r="EB43" s="139" t="n"/>
      <c r="EC43" s="140" t="n"/>
      <c r="ED43" s="347" t="n"/>
      <c r="EE43" s="147" t="n"/>
      <c r="EF43" s="141" t="n"/>
      <c r="EG43" s="349" t="n"/>
      <c r="EH43" s="665" t="n"/>
      <c r="EI43" s="139" t="n"/>
      <c r="EJ43" s="147" t="n"/>
      <c r="EK43" s="141" t="n"/>
      <c r="EL43" s="139" t="n"/>
      <c r="EM43" s="139" t="n"/>
      <c r="EN43" s="139" t="n"/>
      <c r="EO43" s="140" t="n"/>
      <c r="EP43" s="147" t="n"/>
      <c r="EQ43" s="141" t="n"/>
      <c r="ER43" s="140" t="n"/>
      <c r="ES43" s="140" t="n"/>
      <c r="ET43" s="140" t="n"/>
      <c r="EU43" s="147" t="n"/>
      <c r="EV43" s="664" t="n"/>
      <c r="EW43" s="141" t="n"/>
      <c r="EX43" s="140" t="n"/>
      <c r="EY43" s="147" t="n"/>
      <c r="EZ43" s="107" t="n"/>
      <c r="FA43" s="587" t="n"/>
      <c r="FB43" s="587" t="n"/>
      <c r="FC43" s="141" t="n"/>
      <c r="FD43" s="140" t="n"/>
      <c r="FE43" s="140" t="n"/>
      <c r="FF43" s="140" t="n"/>
      <c r="FG43" s="140" t="n"/>
      <c r="FH43" s="147" t="n"/>
      <c r="FI43" s="74" t="n"/>
      <c r="FJ43" s="148" t="n"/>
      <c r="FK43" s="148" t="n"/>
      <c r="FL43" s="148" t="n"/>
      <c r="FM43" s="150" t="n"/>
      <c r="FN43" s="92" t="n"/>
      <c r="FO43" s="91" t="n"/>
      <c r="FP43" s="74" t="n"/>
      <c r="FQ43" s="92" t="n"/>
      <c r="FR43" s="148" t="n"/>
      <c r="FS43" s="149" t="n"/>
      <c r="FT43" s="150" t="n"/>
      <c r="FU43" s="99" t="n"/>
      <c r="FV43" s="100" t="n"/>
      <c r="FW43" s="100" t="n"/>
      <c r="FX43" s="100" t="n"/>
      <c r="FY43" s="100" t="n"/>
      <c r="FZ43" s="100" t="n"/>
      <c r="GA43" s="100" t="n"/>
      <c r="GB43" s="100" t="n"/>
      <c r="GC43" s="100" t="n"/>
      <c r="GD43" s="100" t="n"/>
      <c r="GE43" s="100" t="n"/>
      <c r="GF43" s="102" t="n"/>
      <c r="GG43" s="15" t="n"/>
      <c r="GH43" s="546" t="n"/>
      <c r="GI43" s="546" t="n"/>
      <c r="GJ43" s="17" t="n"/>
      <c r="GK43" s="15" t="n"/>
      <c r="GL43" s="546" t="n"/>
      <c r="GM43" s="546" t="n"/>
      <c r="GN43" s="17" t="n"/>
      <c r="GO43" s="31" t="n"/>
      <c r="GP43" s="349" t="n"/>
      <c r="GQ43" s="665" t="n"/>
      <c r="GR43" s="45" t="n"/>
      <c r="GS43" s="351" t="n"/>
      <c r="GT43" s="31" t="n"/>
      <c r="GU43" s="45" t="n"/>
      <c r="GV43" s="45" t="n"/>
      <c r="GW43" s="351" t="n"/>
      <c r="GX43" s="663" t="n"/>
      <c r="GY43" s="107" t="n"/>
      <c r="GZ43" s="587" t="n"/>
      <c r="HA43" s="108" t="n"/>
      <c r="HB43" s="15" t="n"/>
      <c r="HC43" s="546" t="n"/>
      <c r="HD43" s="17" t="n"/>
      <c r="HE43" s="15" t="n"/>
      <c r="HF43" s="546" t="n"/>
      <c r="HG43" s="546" t="n"/>
      <c r="HH43" s="17" t="n"/>
      <c r="HI43" s="31" t="n"/>
      <c r="HJ43" s="45" t="n"/>
      <c r="HK43" s="45" t="n"/>
      <c r="HL43" s="45" t="n"/>
      <c r="HM43" s="45" t="n"/>
      <c r="HN43" s="45" t="n"/>
      <c r="HO43" s="45" t="n"/>
      <c r="HP43" s="45" t="n"/>
      <c r="HQ43" s="45" t="n"/>
      <c r="HR43" s="45" t="n"/>
      <c r="HS43" s="45" t="n"/>
      <c r="HT43" s="351" t="n"/>
      <c r="HU43" s="606" t="n"/>
      <c r="HV43" s="65">
        <f>AVERAGE(AX43,AU43,AQ43,AN43,Z43,R43,O43,J43)</f>
        <v/>
      </c>
      <c r="HW43" s="66">
        <f>AVERAGE(BB43,AR43,AH43,AD43,P43,H43,E43)</f>
        <v/>
      </c>
      <c r="HX43" s="66">
        <f>AVERAGE(BC43,AE43)</f>
        <v/>
      </c>
      <c r="HY43" s="66">
        <f>AVERAGE(AW43,AV43,AS43,AL43,AJ43,Q43)</f>
        <v/>
      </c>
      <c r="HZ43" s="66">
        <f>AVERAGE(AT43,AM43,AF43,T43,I43)</f>
        <v/>
      </c>
      <c r="IA43" s="66">
        <f>AVERAGE(AY43,AG43)</f>
        <v/>
      </c>
      <c r="IB43" s="66">
        <f>AVERAGE(AZ43,#REF!)</f>
        <v/>
      </c>
      <c r="IC43" s="66" t="n"/>
      <c r="ID43" s="66">
        <f>AVERAGE(BA43)</f>
        <v/>
      </c>
      <c r="IE43" s="66">
        <f>AVERAGE(AC43)</f>
        <v/>
      </c>
    </row>
    <row r="44" ht="18" customHeight="1" s="590">
      <c r="B44" s="12" t="n">
        <v>39</v>
      </c>
      <c r="C44" s="13" t="inlineStr">
        <is>
          <t>052-24-125364</t>
        </is>
      </c>
      <c r="D44" s="14" t="inlineStr">
        <is>
          <t>Muhammad Ali</t>
        </is>
      </c>
      <c r="E44" s="526" t="n">
        <v>0</v>
      </c>
      <c r="F44" s="526" t="n">
        <v>0</v>
      </c>
      <c r="G44" s="526" t="n">
        <v>0</v>
      </c>
      <c r="H44" s="510" t="n">
        <v>0</v>
      </c>
      <c r="I44" s="526" t="n">
        <v>0</v>
      </c>
      <c r="J44" s="253" t="n"/>
      <c r="K44" s="249" t="n"/>
      <c r="L44" s="249" t="n"/>
      <c r="M44" s="249" t="n"/>
      <c r="N44" s="254" t="n"/>
      <c r="O44" s="524" t="n"/>
      <c r="P44" s="583" t="n"/>
      <c r="Q44" s="524" t="n"/>
      <c r="R44" s="115" t="n"/>
      <c r="S44" s="510" t="n"/>
      <c r="T44" s="117" t="n"/>
      <c r="U44" s="241" t="n"/>
      <c r="V44" s="241" t="n"/>
      <c r="W44" s="241" t="n"/>
      <c r="X44" s="241" t="n"/>
      <c r="Y44" s="241" t="n"/>
      <c r="Z44" s="114" t="n"/>
      <c r="AA44" s="546" t="n"/>
      <c r="AB44" s="115" t="n"/>
      <c r="AC44" s="117" t="n"/>
      <c r="AD44" s="117" t="n"/>
      <c r="AE44" s="114" t="n">
        <v>33.33</v>
      </c>
      <c r="AF44" s="583" t="n">
        <v>52.5</v>
      </c>
      <c r="AG44" s="117" t="n">
        <v>45</v>
      </c>
      <c r="AH44" s="115" t="n">
        <v>52.5</v>
      </c>
      <c r="AI44" s="665" t="n"/>
      <c r="AJ44" s="115" t="n">
        <v>52.5</v>
      </c>
      <c r="AK44" s="665" t="n"/>
      <c r="AL44" s="510" t="n">
        <v>68.06</v>
      </c>
      <c r="AM44" s="510" t="n">
        <v>71.52</v>
      </c>
      <c r="AN44" s="691" t="n">
        <v>57.04</v>
      </c>
      <c r="AO44" s="683" t="n"/>
      <c r="AP44" s="663" t="n"/>
      <c r="AQ44" s="127" t="n">
        <v>83.33</v>
      </c>
      <c r="AR44" s="128" t="n">
        <v>80</v>
      </c>
      <c r="AS44" s="128" t="n">
        <v>64.44</v>
      </c>
      <c r="AT44" s="131" t="n">
        <v>70</v>
      </c>
      <c r="AU44" s="127" t="n">
        <v>45</v>
      </c>
      <c r="AV44" s="128" t="n">
        <v>39</v>
      </c>
      <c r="AW44" s="128" t="n">
        <v>33</v>
      </c>
      <c r="AX44" s="128" t="n">
        <v>23.968253968254</v>
      </c>
      <c r="AY44" s="543" t="n"/>
      <c r="AZ44" s="543" t="n"/>
      <c r="BA44" s="131" t="n">
        <v>13.3333333333333</v>
      </c>
      <c r="BB44" s="127" t="n">
        <v>66.67</v>
      </c>
      <c r="BC44" s="131" t="n">
        <v>75.25</v>
      </c>
      <c r="BD44" s="663" t="n"/>
      <c r="BE44" s="131" t="n"/>
      <c r="BF44" s="131" t="n"/>
      <c r="BG44" s="131" t="n"/>
      <c r="BH44" s="114" t="n"/>
      <c r="BI44" s="546" t="n"/>
      <c r="BJ44" s="511" t="n"/>
      <c r="BK44" s="114" t="n"/>
      <c r="BL44" s="546" t="n"/>
      <c r="BM44" s="511" t="n"/>
      <c r="BN44" s="114" t="n"/>
      <c r="BO44" s="546" t="n"/>
      <c r="BP44" s="546" t="n"/>
      <c r="BQ44" s="546" t="n"/>
      <c r="BR44" s="546" t="n"/>
      <c r="BS44" s="546" t="n"/>
      <c r="BT44" s="511" t="n"/>
      <c r="BU44" s="546" t="n"/>
      <c r="BV44" s="546" t="n"/>
      <c r="BW44" s="546" t="n"/>
      <c r="BX44" s="546" t="n"/>
      <c r="BY44" s="546" t="n"/>
      <c r="BZ44" s="546" t="n"/>
      <c r="CA44" s="546" t="n"/>
      <c r="CB44" s="15" t="n"/>
      <c r="CC44" s="546" t="n"/>
      <c r="CD44" s="546" t="n"/>
      <c r="CE44" s="546" t="n"/>
      <c r="CF44" s="546" t="n"/>
      <c r="CG44" s="546" t="n"/>
      <c r="CH44" s="15" t="n"/>
      <c r="CI44" s="546" t="n"/>
      <c r="CJ44" s="546" t="n"/>
      <c r="CK44" s="17" t="n"/>
      <c r="CL44" s="546" t="n"/>
      <c r="CM44" s="546" t="n"/>
      <c r="CN44" s="546" t="n"/>
      <c r="CO44" s="546" t="n"/>
      <c r="CP44" s="583" t="n"/>
      <c r="CQ44" s="15" t="n"/>
      <c r="CR44" s="15" t="n"/>
      <c r="CS44" s="15" t="n"/>
      <c r="CT44" s="15" t="n"/>
      <c r="CU44" s="546" t="n"/>
      <c r="CV44" s="17" t="n"/>
      <c r="CW44" s="74" t="n"/>
      <c r="CX44" s="75" t="n"/>
      <c r="CY44" s="76" t="n"/>
      <c r="CZ44" s="76" t="n"/>
      <c r="DA44" s="91" t="n"/>
      <c r="DB44" s="141" t="n"/>
      <c r="DC44" s="162" t="n"/>
      <c r="DD44" s="162" t="n"/>
      <c r="DE44" s="162" t="n"/>
      <c r="DF44" s="163" t="n"/>
      <c r="DG44" s="141" t="n"/>
      <c r="DH44" s="162" t="n"/>
      <c r="DI44" s="162" t="n"/>
      <c r="DJ44" s="512" t="n"/>
      <c r="DK44" s="491" t="n"/>
      <c r="DL44" s="141" t="n"/>
      <c r="DM44" s="139" t="n"/>
      <c r="DN44" s="139" t="n"/>
      <c r="DO44" s="139" t="n"/>
      <c r="DP44" s="347" t="n"/>
      <c r="DQ44" s="348" t="n"/>
      <c r="DR44" s="162" t="n"/>
      <c r="DS44" s="162" t="n"/>
      <c r="DT44" s="162" t="n"/>
      <c r="DU44" s="162" t="n"/>
      <c r="DV44" s="201" t="n"/>
      <c r="DW44" s="201" t="n"/>
      <c r="DX44" s="163" t="n"/>
      <c r="DY44" s="141" t="n"/>
      <c r="DZ44" s="139" t="n"/>
      <c r="EA44" s="139" t="n"/>
      <c r="EB44" s="139" t="n"/>
      <c r="EC44" s="140" t="n"/>
      <c r="ED44" s="347" t="n"/>
      <c r="EE44" s="147" t="n"/>
      <c r="EF44" s="141" t="n"/>
      <c r="EG44" s="349" t="n"/>
      <c r="EH44" s="349" t="n"/>
      <c r="EI44" s="139" t="n"/>
      <c r="EJ44" s="147" t="n"/>
      <c r="EK44" s="141" t="n"/>
      <c r="EL44" s="139" t="n"/>
      <c r="EM44" s="139" t="n"/>
      <c r="EN44" s="139" t="n"/>
      <c r="EO44" s="140" t="n"/>
      <c r="EP44" s="147" t="n"/>
      <c r="EQ44" s="141" t="n"/>
      <c r="ER44" s="140" t="n"/>
      <c r="ES44" s="140" t="n"/>
      <c r="ET44" s="140" t="n"/>
      <c r="EU44" s="347" t="n"/>
      <c r="EV44" s="348" t="n"/>
      <c r="EW44" s="141" t="n"/>
      <c r="EX44" s="140" t="n"/>
      <c r="EY44" s="147" t="n"/>
      <c r="EZ44" s="107" t="n"/>
      <c r="FA44" s="587" t="n"/>
      <c r="FB44" s="587" t="n"/>
      <c r="FC44" s="141" t="n"/>
      <c r="FD44" s="140" t="n"/>
      <c r="FE44" s="140" t="n"/>
      <c r="FF44" s="140" t="n"/>
      <c r="FG44" s="140" t="n"/>
      <c r="FH44" s="147" t="n"/>
      <c r="FI44" s="74" t="n"/>
      <c r="FJ44" s="148" t="n"/>
      <c r="FK44" s="148" t="n"/>
      <c r="FL44" s="148" t="n"/>
      <c r="FM44" s="150" t="n"/>
      <c r="FN44" s="92" t="n"/>
      <c r="FO44" s="91" t="n"/>
      <c r="FP44" s="74" t="n"/>
      <c r="FQ44" s="92" t="n"/>
      <c r="FR44" s="148" t="n"/>
      <c r="FS44" s="149" t="n"/>
      <c r="FT44" s="150" t="n"/>
      <c r="FU44" s="99" t="n"/>
      <c r="FV44" s="100" t="n"/>
      <c r="FW44" s="100" t="n"/>
      <c r="FX44" s="100" t="n"/>
      <c r="FY44" s="100" t="n"/>
      <c r="FZ44" s="100" t="n"/>
      <c r="GA44" s="100" t="n"/>
      <c r="GB44" s="100" t="n"/>
      <c r="GC44" s="100" t="n"/>
      <c r="GD44" s="100" t="n"/>
      <c r="GE44" s="100" t="n"/>
      <c r="GF44" s="102" t="n"/>
      <c r="GG44" s="15" t="n"/>
      <c r="GH44" s="546" t="n"/>
      <c r="GI44" s="546" t="n"/>
      <c r="GJ44" s="17" t="n"/>
      <c r="GK44" s="15" t="n"/>
      <c r="GL44" s="546" t="n"/>
      <c r="GM44" s="546" t="n"/>
      <c r="GN44" s="17" t="n"/>
      <c r="GO44" s="31" t="n"/>
      <c r="GP44" s="349" t="n"/>
      <c r="GQ44" s="349" t="n"/>
      <c r="GR44" s="45" t="n"/>
      <c r="GS44" s="351" t="n"/>
      <c r="GT44" s="31" t="n"/>
      <c r="GU44" s="45" t="n"/>
      <c r="GV44" s="45" t="n"/>
      <c r="GW44" s="350" t="n"/>
      <c r="GX44" s="351" t="n"/>
      <c r="GY44" s="107" t="n"/>
      <c r="GZ44" s="587" t="n"/>
      <c r="HA44" s="108" t="n"/>
      <c r="HB44" s="15" t="n"/>
      <c r="HC44" s="546" t="n"/>
      <c r="HD44" s="17" t="n"/>
      <c r="HE44" s="15" t="n"/>
      <c r="HF44" s="546" t="n"/>
      <c r="HG44" s="546" t="n"/>
      <c r="HH44" s="17" t="n"/>
      <c r="HI44" s="31" t="n"/>
      <c r="HJ44" s="45" t="n"/>
      <c r="HK44" s="45" t="n"/>
      <c r="HL44" s="45" t="n"/>
      <c r="HM44" s="45" t="n"/>
      <c r="HN44" s="45" t="n"/>
      <c r="HO44" s="45" t="n"/>
      <c r="HP44" s="45" t="n"/>
      <c r="HQ44" s="45" t="n"/>
      <c r="HR44" s="45" t="n"/>
      <c r="HS44" s="45" t="n"/>
      <c r="HT44" s="351" t="n"/>
      <c r="HU44" s="606" t="n"/>
      <c r="HV44" s="65">
        <f>AVERAGE(AX44,AU44,AQ44,AN44,Z44,R44,O44,J44)</f>
        <v/>
      </c>
      <c r="HW44" s="66">
        <f>AVERAGE(BB44,AR44,AH44,AD44,P44,H44,E44)</f>
        <v/>
      </c>
      <c r="HX44" s="66">
        <f>AVERAGE(BC44,AE44)</f>
        <v/>
      </c>
      <c r="HY44" s="66">
        <f>AVERAGE(AW44,AV44,AS44,AL44,AJ44,Q44)</f>
        <v/>
      </c>
      <c r="HZ44" s="66">
        <f>AVERAGE(AT44,AM44,AF44,T44,I44)</f>
        <v/>
      </c>
      <c r="IA44" s="66">
        <f>AVERAGE(AY44,AG44)</f>
        <v/>
      </c>
      <c r="IB44" s="66">
        <f>AVERAGE(AZ44,#REF!)</f>
        <v/>
      </c>
      <c r="IC44" s="66" t="n"/>
      <c r="ID44" s="66">
        <f>AVERAGE(BA44)</f>
        <v/>
      </c>
      <c r="IE44" s="66">
        <f>AVERAGE(AC44)</f>
        <v/>
      </c>
    </row>
    <row r="45" ht="18" customHeight="1" s="590">
      <c r="B45" s="12" t="n">
        <v>40</v>
      </c>
      <c r="C45" s="13" t="inlineStr">
        <is>
          <t>052-24-125309</t>
        </is>
      </c>
      <c r="D45" s="14" t="inlineStr">
        <is>
          <t>Ayesha Abid</t>
        </is>
      </c>
      <c r="E45" s="526" t="n">
        <v>0</v>
      </c>
      <c r="F45" s="526" t="n">
        <v>0</v>
      </c>
      <c r="G45" s="526" t="n">
        <v>0</v>
      </c>
      <c r="H45" s="510" t="n">
        <v>0</v>
      </c>
      <c r="I45" s="526" t="n">
        <v>0</v>
      </c>
      <c r="J45" s="255" t="n"/>
      <c r="K45" s="256" t="n"/>
      <c r="L45" s="256" t="n"/>
      <c r="M45" s="256" t="n">
        <v>45.91</v>
      </c>
      <c r="N45" s="257" t="n">
        <v>40</v>
      </c>
      <c r="O45" s="524" t="n"/>
      <c r="P45" s="583" t="n"/>
      <c r="Q45" s="524" t="n"/>
      <c r="R45" s="115" t="n">
        <v>40.74</v>
      </c>
      <c r="S45" s="510" t="n">
        <v>50.74</v>
      </c>
      <c r="T45" s="117" t="n">
        <v>40</v>
      </c>
      <c r="U45" s="241" t="n"/>
      <c r="V45" s="241" t="n"/>
      <c r="W45" s="241" t="n"/>
      <c r="X45" s="241" t="n"/>
      <c r="Y45" s="241" t="n"/>
      <c r="Z45" s="114" t="n">
        <v>50</v>
      </c>
      <c r="AA45" s="546" t="n">
        <v>36</v>
      </c>
      <c r="AB45" s="115" t="n">
        <v>46.25</v>
      </c>
      <c r="AC45" s="117" t="n"/>
      <c r="AD45" s="117" t="n"/>
      <c r="AE45" s="114" t="n">
        <v>46.67</v>
      </c>
      <c r="AF45" s="583" t="n"/>
      <c r="AG45" s="117" t="n"/>
      <c r="AH45" s="115" t="n"/>
      <c r="AI45" s="115" t="n"/>
      <c r="AJ45" s="115" t="n"/>
      <c r="AK45" s="115" t="n"/>
      <c r="AL45" s="510" t="n"/>
      <c r="AM45" s="510" t="n"/>
      <c r="AN45" s="127" t="n"/>
      <c r="AO45" s="128" t="n"/>
      <c r="AP45" s="131" t="n"/>
      <c r="AQ45" s="127" t="n"/>
      <c r="AR45" s="128" t="n"/>
      <c r="AS45" s="128" t="n"/>
      <c r="AT45" s="131" t="n"/>
      <c r="AU45" s="127" t="n">
        <v>37.5</v>
      </c>
      <c r="AV45" s="128" t="n">
        <v>52.67</v>
      </c>
      <c r="AW45" s="128" t="n">
        <v>30</v>
      </c>
      <c r="AX45" s="128" t="n">
        <v>56.1904761904762</v>
      </c>
      <c r="AY45" s="543" t="n">
        <v>87.3333333333333</v>
      </c>
      <c r="AZ45" s="543" t="n">
        <v>87.1428571428571</v>
      </c>
      <c r="BA45" s="131" t="n">
        <v>68.3333333333333</v>
      </c>
      <c r="BB45" s="127" t="n">
        <v>65.83</v>
      </c>
      <c r="BC45" s="131" t="n">
        <v>70.75</v>
      </c>
      <c r="BD45" s="663" t="n"/>
      <c r="BE45" s="131" t="n"/>
      <c r="BF45" s="131" t="n"/>
      <c r="BG45" s="131" t="n"/>
      <c r="BH45" s="114" t="n"/>
      <c r="BI45" s="546" t="n"/>
      <c r="BJ45" s="511" t="n"/>
      <c r="BK45" s="114" t="n"/>
      <c r="BL45" s="546" t="n"/>
      <c r="BM45" s="511" t="n"/>
      <c r="BN45" s="114" t="n"/>
      <c r="BO45" s="546" t="n"/>
      <c r="BP45" s="546" t="n"/>
      <c r="BQ45" s="546" t="n"/>
      <c r="BR45" s="546" t="n"/>
      <c r="BS45" s="546" t="n"/>
      <c r="BT45" s="511" t="n"/>
      <c r="BU45" s="546" t="n"/>
      <c r="BV45" s="546" t="n"/>
      <c r="BW45" s="546" t="n"/>
      <c r="BX45" s="546" t="n"/>
      <c r="BY45" s="546" t="n"/>
      <c r="BZ45" s="546" t="n"/>
      <c r="CA45" s="546" t="n"/>
      <c r="CB45" s="15" t="n"/>
      <c r="CC45" s="546" t="n"/>
      <c r="CD45" s="546" t="n"/>
      <c r="CE45" s="546" t="n"/>
      <c r="CF45" s="546" t="n"/>
      <c r="CG45" s="546" t="n"/>
      <c r="CH45" s="15" t="n"/>
      <c r="CI45" s="546" t="n"/>
      <c r="CJ45" s="546" t="n"/>
      <c r="CK45" s="17" t="n"/>
      <c r="CL45" s="546" t="n"/>
      <c r="CM45" s="546" t="n"/>
      <c r="CN45" s="546" t="n"/>
      <c r="CO45" s="546" t="n"/>
      <c r="CP45" s="583" t="n"/>
      <c r="CQ45" s="15" t="n"/>
      <c r="CR45" s="15" t="n"/>
      <c r="CS45" s="15" t="n"/>
      <c r="CT45" s="15" t="n"/>
      <c r="CU45" s="546" t="n"/>
      <c r="CV45" s="17" t="n"/>
      <c r="CW45" s="74" t="n"/>
      <c r="CX45" s="75" t="n"/>
      <c r="CY45" s="76" t="n"/>
      <c r="CZ45" s="76" t="n"/>
      <c r="DA45" s="91" t="n"/>
      <c r="DB45" s="141" t="n"/>
      <c r="DC45" s="162" t="n"/>
      <c r="DD45" s="162" t="n"/>
      <c r="DE45" s="162" t="n"/>
      <c r="DF45" s="163" t="n"/>
      <c r="DG45" s="141" t="n"/>
      <c r="DH45" s="162" t="n"/>
      <c r="DI45" s="162" t="n"/>
      <c r="DJ45" s="512" t="n"/>
      <c r="DK45" s="491" t="n"/>
      <c r="DL45" s="141" t="n"/>
      <c r="DM45" s="139" t="n"/>
      <c r="DN45" s="139" t="n"/>
      <c r="DO45" s="139" t="n"/>
      <c r="DP45" s="347" t="n"/>
      <c r="DQ45" s="348" t="n"/>
      <c r="DR45" s="162" t="n"/>
      <c r="DS45" s="162" t="n"/>
      <c r="DT45" s="162" t="n"/>
      <c r="DU45" s="162" t="n"/>
      <c r="DV45" s="201" t="n"/>
      <c r="DW45" s="201" t="n"/>
      <c r="DX45" s="163" t="n"/>
      <c r="DY45" s="141" t="n"/>
      <c r="DZ45" s="139" t="n"/>
      <c r="EA45" s="139" t="n"/>
      <c r="EB45" s="139" t="n"/>
      <c r="EC45" s="140" t="n"/>
      <c r="ED45" s="347" t="n"/>
      <c r="EE45" s="147" t="n"/>
      <c r="EF45" s="141" t="n"/>
      <c r="EG45" s="349" t="n"/>
      <c r="EH45" s="665" t="n"/>
      <c r="EI45" s="139" t="n"/>
      <c r="EJ45" s="147" t="n"/>
      <c r="EK45" s="141" t="n"/>
      <c r="EL45" s="139" t="n"/>
      <c r="EM45" s="139" t="n"/>
      <c r="EN45" s="139" t="n"/>
      <c r="EO45" s="140" t="n"/>
      <c r="EP45" s="147" t="n"/>
      <c r="EQ45" s="141" t="n"/>
      <c r="ER45" s="140" t="n"/>
      <c r="ES45" s="140" t="n"/>
      <c r="ET45" s="140" t="n"/>
      <c r="EU45" s="147" t="n"/>
      <c r="EV45" s="664" t="n"/>
      <c r="EW45" s="141" t="n"/>
      <c r="EX45" s="140" t="n"/>
      <c r="EY45" s="147" t="n"/>
      <c r="EZ45" s="107" t="n"/>
      <c r="FA45" s="587" t="n"/>
      <c r="FB45" s="587" t="n"/>
      <c r="FC45" s="141" t="n"/>
      <c r="FD45" s="140" t="n"/>
      <c r="FE45" s="140" t="n"/>
      <c r="FF45" s="140" t="n"/>
      <c r="FG45" s="140" t="n"/>
      <c r="FH45" s="147" t="n"/>
      <c r="FI45" s="74" t="n"/>
      <c r="FJ45" s="148" t="n"/>
      <c r="FK45" s="148" t="n"/>
      <c r="FL45" s="148" t="n"/>
      <c r="FM45" s="150" t="n"/>
      <c r="FN45" s="92" t="n"/>
      <c r="FO45" s="91" t="n"/>
      <c r="FP45" s="74" t="n"/>
      <c r="FQ45" s="92" t="n"/>
      <c r="FR45" s="148" t="n"/>
      <c r="FS45" s="149" t="n"/>
      <c r="FT45" s="150" t="n"/>
      <c r="FU45" s="99" t="n"/>
      <c r="FV45" s="100" t="n"/>
      <c r="FW45" s="100" t="n"/>
      <c r="FX45" s="100" t="n"/>
      <c r="FY45" s="100" t="n"/>
      <c r="FZ45" s="100" t="n"/>
      <c r="GA45" s="100" t="n"/>
      <c r="GB45" s="100" t="n"/>
      <c r="GC45" s="100" t="n"/>
      <c r="GD45" s="100" t="n"/>
      <c r="GE45" s="100" t="n"/>
      <c r="GF45" s="102" t="n"/>
      <c r="GG45" s="15" t="n"/>
      <c r="GH45" s="546" t="n"/>
      <c r="GI45" s="546" t="n"/>
      <c r="GJ45" s="17" t="n"/>
      <c r="GK45" s="15" t="n"/>
      <c r="GL45" s="546" t="n"/>
      <c r="GM45" s="546" t="n"/>
      <c r="GN45" s="17" t="n"/>
      <c r="GO45" s="31" t="n"/>
      <c r="GP45" s="349" t="n"/>
      <c r="GQ45" s="665" t="n"/>
      <c r="GR45" s="45" t="n"/>
      <c r="GS45" s="351" t="n"/>
      <c r="GT45" s="31" t="n"/>
      <c r="GU45" s="45" t="n"/>
      <c r="GV45" s="45" t="n"/>
      <c r="GW45" s="351" t="n"/>
      <c r="GX45" s="663" t="n"/>
      <c r="GY45" s="107" t="n"/>
      <c r="GZ45" s="587" t="n"/>
      <c r="HA45" s="108" t="n"/>
      <c r="HB45" s="15" t="n"/>
      <c r="HC45" s="546" t="n"/>
      <c r="HD45" s="17" t="n"/>
      <c r="HE45" s="15" t="n"/>
      <c r="HF45" s="546" t="n"/>
      <c r="HG45" s="546" t="n"/>
      <c r="HH45" s="17" t="n"/>
      <c r="HI45" s="31" t="n"/>
      <c r="HJ45" s="45" t="n"/>
      <c r="HK45" s="45" t="n"/>
      <c r="HL45" s="45" t="n"/>
      <c r="HM45" s="45" t="n"/>
      <c r="HN45" s="45" t="n"/>
      <c r="HO45" s="45" t="n"/>
      <c r="HP45" s="45" t="n"/>
      <c r="HQ45" s="45" t="n"/>
      <c r="HR45" s="45" t="n"/>
      <c r="HS45" s="45" t="n"/>
      <c r="HT45" s="351" t="n"/>
      <c r="HU45" s="606" t="n"/>
      <c r="HV45" s="65">
        <f>AVERAGE(AX45,AU45,AQ45,AN45,Z45,R45,O45,J45)</f>
        <v/>
      </c>
      <c r="HW45" s="66">
        <f>AVERAGE(BB45,AR45,AH45,AD45,P45,H45,E45)</f>
        <v/>
      </c>
      <c r="HX45" s="66">
        <f>AVERAGE(BC45,AE45)</f>
        <v/>
      </c>
      <c r="HY45" s="66">
        <f>AVERAGE(AW45,AV45,AS45,AL45,AJ45,Q45)</f>
        <v/>
      </c>
      <c r="HZ45" s="66">
        <f>AVERAGE(AT45,AM45,AF45,T45,I45)</f>
        <v/>
      </c>
      <c r="IA45" s="66">
        <f>AVERAGE(AY45,AG45)</f>
        <v/>
      </c>
      <c r="IB45" s="66">
        <f>AVERAGE(AZ45,#REF!)</f>
        <v/>
      </c>
      <c r="IC45" s="66" t="n"/>
      <c r="ID45" s="66">
        <f>AVERAGE(BA45)</f>
        <v/>
      </c>
      <c r="IE45" s="66">
        <f>AVERAGE(AC45)</f>
        <v/>
      </c>
    </row>
    <row r="46" ht="14.25" customHeight="1" s="590">
      <c r="B46" s="352" t="inlineStr">
        <is>
          <t>Class Average</t>
        </is>
      </c>
      <c r="C46" s="674" t="n"/>
      <c r="D46" s="674" t="n"/>
      <c r="E46" s="118">
        <f>AVERAGE(E7:E45)</f>
        <v/>
      </c>
      <c r="F46" s="118">
        <f>AVERAGE(F7:F45)</f>
        <v/>
      </c>
      <c r="G46" s="118">
        <f>AVERAGE(G7:G45)</f>
        <v/>
      </c>
      <c r="H46" s="118">
        <f>AVERAGE(H7:H45)</f>
        <v/>
      </c>
      <c r="I46" s="118">
        <f>AVERAGE(I7:I45)</f>
        <v/>
      </c>
      <c r="J46" s="118">
        <f>AVERAGE(J7:J45)</f>
        <v/>
      </c>
      <c r="K46" s="118">
        <f>AVERAGE(K7:K45)</f>
        <v/>
      </c>
      <c r="L46" s="118">
        <f>AVERAGE(L7:L45)</f>
        <v/>
      </c>
      <c r="M46" s="118">
        <f>AVERAGE(M7:M45)</f>
        <v/>
      </c>
      <c r="N46" s="118">
        <f>AVERAGE(N7:N45)</f>
        <v/>
      </c>
      <c r="O46" s="118">
        <f>AVERAGE(O7:O45)</f>
        <v/>
      </c>
      <c r="P46" s="118">
        <f>AVERAGE(P7:P45)</f>
        <v/>
      </c>
      <c r="Q46" s="118">
        <f>AVERAGE(Q7:Q45)</f>
        <v/>
      </c>
      <c r="R46" s="118">
        <f>AVERAGE(R7:R45)</f>
        <v/>
      </c>
      <c r="S46" s="118" t="n"/>
      <c r="T46" s="118">
        <f>AVERAGE(T7:T45)</f>
        <v/>
      </c>
      <c r="U46" s="118">
        <f>AVERAGE(U7:U45)</f>
        <v/>
      </c>
      <c r="V46" s="118">
        <f>AVERAGE(V7:V45)</f>
        <v/>
      </c>
      <c r="W46" s="118">
        <f>AVERAGE(W7:W45)</f>
        <v/>
      </c>
      <c r="X46" s="118">
        <f>AVERAGE(X7:X45)</f>
        <v/>
      </c>
      <c r="Y46" s="118">
        <f>AVERAGE(Y7:Y45)</f>
        <v/>
      </c>
      <c r="Z46" s="118">
        <f>AVERAGE(Z7:Z45)</f>
        <v/>
      </c>
      <c r="AA46" s="118">
        <f>AVERAGE(AA7:AA45)</f>
        <v/>
      </c>
      <c r="AB46" s="118">
        <f>AVERAGE(AB7:AB45)</f>
        <v/>
      </c>
      <c r="AC46" s="118">
        <f>AVERAGE(AC7:AC45)</f>
        <v/>
      </c>
      <c r="AD46" s="118">
        <f>AVERAGE(AD7:AD45)</f>
        <v/>
      </c>
      <c r="AE46" s="118">
        <f>AVERAGE(AE7:AE25)</f>
        <v/>
      </c>
      <c r="AF46" s="118">
        <f>AVERAGE(AF7:AF25)</f>
        <v/>
      </c>
      <c r="AG46" s="118">
        <f>AVERAGE(AG7:AG25)</f>
        <v/>
      </c>
      <c r="AH46" s="18">
        <f>AVERAGE(AH7:AH25)</f>
        <v/>
      </c>
      <c r="AI46" s="599" t="n"/>
      <c r="AJ46" s="18">
        <f>AVERAGE(AJ7:AJ25)</f>
        <v/>
      </c>
      <c r="AK46" s="599" t="n"/>
      <c r="AL46" s="18">
        <f>AVERAGE(AL7:AL25)</f>
        <v/>
      </c>
      <c r="AM46" s="18">
        <f>AVERAGE(AM7:AM25)</f>
        <v/>
      </c>
      <c r="AN46" s="118">
        <f>AVERAGE(AN7:AN25)</f>
        <v/>
      </c>
      <c r="AO46" s="677" t="n"/>
      <c r="AP46" s="675" t="n"/>
      <c r="AQ46" s="18">
        <f>AVERAGE(AQ7:AQ25)</f>
        <v/>
      </c>
      <c r="AR46" s="199">
        <f>AVERAGE(AR7:AR25)</f>
        <v/>
      </c>
      <c r="AS46" s="199">
        <f>AVERAGE(AS7:AS25)</f>
        <v/>
      </c>
      <c r="AT46" s="199">
        <f>AVERAGE(AT7:AT25)</f>
        <v/>
      </c>
      <c r="AU46" s="18">
        <f>AVERAGE(AU7:AU25)</f>
        <v/>
      </c>
      <c r="AV46" s="18">
        <f>AVERAGE(AV7:AV25)</f>
        <v/>
      </c>
      <c r="AW46" s="18">
        <f>AVERAGE(AW7:AW25)</f>
        <v/>
      </c>
      <c r="AX46" s="18">
        <f>AVERAGE(AX7:AX25)</f>
        <v/>
      </c>
      <c r="AY46" s="18">
        <f>AVERAGE(AY7:AY25)</f>
        <v/>
      </c>
      <c r="AZ46" s="18">
        <f>AVERAGE(AZ7:AZ25)</f>
        <v/>
      </c>
      <c r="BA46" s="18">
        <f>AVERAGE(BA7:BA25)</f>
        <v/>
      </c>
      <c r="BB46" s="18">
        <f>AVERAGE(BB7:BB25)</f>
        <v/>
      </c>
      <c r="BC46" s="131" t="n">
        <v>71.75</v>
      </c>
      <c r="BD46" s="663" t="n"/>
      <c r="BE46" s="18">
        <f>AVERAGE(BE7:BE25)</f>
        <v/>
      </c>
      <c r="BF46" s="18">
        <f>AVERAGE(BF7:BF25)</f>
        <v/>
      </c>
      <c r="BG46" s="18">
        <f>AVERAGE(BG7:BG25)</f>
        <v/>
      </c>
      <c r="BH46" s="18">
        <f>AVERAGE(BH7:BH25)</f>
        <v/>
      </c>
      <c r="BI46" s="18">
        <f>AVERAGE(BI7:BI25)</f>
        <v/>
      </c>
      <c r="BJ46" s="18">
        <f>AVERAGE(BJ7:BJ25)</f>
        <v/>
      </c>
      <c r="BK46" s="18">
        <f>AVERAGE(BK7:BK25)</f>
        <v/>
      </c>
      <c r="BL46" s="18">
        <f>AVERAGE(BL7:BL25)</f>
        <v/>
      </c>
      <c r="BM46" s="18">
        <f>AVERAGE(BM7:BM25)</f>
        <v/>
      </c>
      <c r="BN46" s="18">
        <f>AVERAGE(BN7:BN25)</f>
        <v/>
      </c>
      <c r="BO46" s="18">
        <f>AVERAGE(BO7:BO25)</f>
        <v/>
      </c>
      <c r="BP46" s="18">
        <f>AVERAGE(BP7:BP25)</f>
        <v/>
      </c>
      <c r="BQ46" s="18">
        <f>AVERAGE(BQ7:BQ25)</f>
        <v/>
      </c>
      <c r="BR46" s="18">
        <f>AVERAGE(BR7:BR25)</f>
        <v/>
      </c>
      <c r="BS46" s="18">
        <f>AVERAGE(BS7:BS25)</f>
        <v/>
      </c>
      <c r="BT46" s="18">
        <f>AVERAGE(BT7:BT25)</f>
        <v/>
      </c>
      <c r="BU46" s="18">
        <f>AVERAGE(BU7:BU25)</f>
        <v/>
      </c>
      <c r="BV46" s="18">
        <f>AVERAGE(BV7:BV25)</f>
        <v/>
      </c>
      <c r="BW46" s="18">
        <f>AVERAGE(BW7:BW25)</f>
        <v/>
      </c>
      <c r="BX46" s="18">
        <f>AVERAGE(BX7:BX25)</f>
        <v/>
      </c>
      <c r="BY46" s="18">
        <f>AVERAGE(BY7:BY25)</f>
        <v/>
      </c>
      <c r="BZ46" s="18">
        <f>AVERAGE(BZ7:BZ25)</f>
        <v/>
      </c>
      <c r="CA46" s="18">
        <f>AVERAGE(CA7:CA25)</f>
        <v/>
      </c>
      <c r="CB46" s="18">
        <f>AVERAGE(CB7:CB25)</f>
        <v/>
      </c>
      <c r="CC46" s="18">
        <f>AVERAGE(CC7:CC25)</f>
        <v/>
      </c>
      <c r="CD46" s="18">
        <f>AVERAGE(CD7:CD25)</f>
        <v/>
      </c>
      <c r="CE46" s="18">
        <f>AVERAGE(CE7:CE25)</f>
        <v/>
      </c>
      <c r="CF46" s="18">
        <f>AVERAGE(CF7:CF25)</f>
        <v/>
      </c>
      <c r="CG46" s="18">
        <f>AVERAGE(CG7:CG25)</f>
        <v/>
      </c>
      <c r="CH46" s="18">
        <f>AVERAGE(CH7:CH25)</f>
        <v/>
      </c>
      <c r="CI46" s="18">
        <f>AVERAGE(CI7:CI25)</f>
        <v/>
      </c>
      <c r="CJ46" s="18">
        <f>AVERAGE(CJ7:CJ25)</f>
        <v/>
      </c>
      <c r="CK46" s="18">
        <f>AVERAGE(CK7:CK25)</f>
        <v/>
      </c>
      <c r="CL46" s="18">
        <f>AVERAGE(CL7:CL25)</f>
        <v/>
      </c>
      <c r="CM46" s="18">
        <f>AVERAGE(CM7:CM25)</f>
        <v/>
      </c>
      <c r="CN46" s="18">
        <f>AVERAGE(CN7:CN25)</f>
        <v/>
      </c>
      <c r="CO46" s="18">
        <f>AVERAGE(CO7:CO25)</f>
        <v/>
      </c>
      <c r="CP46" s="503">
        <f>AVERAGE(CP7:CP25)</f>
        <v/>
      </c>
      <c r="CQ46" s="18">
        <f>AVERAGE(CQ7:CQ25)</f>
        <v/>
      </c>
      <c r="CR46" s="18">
        <f>AVERAGE(CR7:CR25)</f>
        <v/>
      </c>
      <c r="CS46" s="18">
        <f>AVERAGE(CS7:CS25)</f>
        <v/>
      </c>
      <c r="CT46" s="18">
        <f>AVERAGE(CT7:CT25)</f>
        <v/>
      </c>
      <c r="CU46" s="18">
        <f>AVERAGE(CU7:CU25)</f>
        <v/>
      </c>
      <c r="CV46" s="18">
        <f>AVERAGE(CV7:CV25)</f>
        <v/>
      </c>
      <c r="CW46" s="77">
        <f>AVERAGE(CW7:CW25)</f>
        <v/>
      </c>
      <c r="CX46" s="77">
        <f>AVERAGE(CX7:CX25)</f>
        <v/>
      </c>
      <c r="CY46" s="77">
        <f>AVERAGE(CY7:CY25)</f>
        <v/>
      </c>
      <c r="CZ46" s="77">
        <f>AVERAGE(CZ7:CZ25)</f>
        <v/>
      </c>
      <c r="DA46" s="77">
        <f>AVERAGE(DA7:DA25)</f>
        <v/>
      </c>
      <c r="DB46" s="77">
        <f>AVERAGE(DB7:DB25)</f>
        <v/>
      </c>
      <c r="DC46" s="77">
        <f>AVERAGE(DC7:DC25)</f>
        <v/>
      </c>
      <c r="DD46" s="77">
        <f>AVERAGE(DD7:DD25)</f>
        <v/>
      </c>
      <c r="DE46" s="77">
        <f>AVERAGE(DE7:DE25)</f>
        <v/>
      </c>
      <c r="DF46" s="77">
        <f>AVERAGE(DF7:DF25)</f>
        <v/>
      </c>
      <c r="DG46" s="77">
        <f>AVERAGE(DG7:DG25)</f>
        <v/>
      </c>
      <c r="DH46" s="77">
        <f>AVERAGE(DH7:DH25)</f>
        <v/>
      </c>
      <c r="DI46" s="77">
        <f>AVERAGE(DI7:DI25)</f>
        <v/>
      </c>
      <c r="DJ46" s="77">
        <f>AVERAGE(DJ7:DJ25)</f>
        <v/>
      </c>
      <c r="DK46" s="77">
        <f>AVERAGE(DK7:DK25)</f>
        <v/>
      </c>
      <c r="DL46" s="77">
        <f>AVERAGE(DL7:DL25)</f>
        <v/>
      </c>
      <c r="DM46" s="77">
        <f>AVERAGE(DM7:DM25)</f>
        <v/>
      </c>
      <c r="DN46" s="77">
        <f>AVERAGE(DN7:DN25)</f>
        <v/>
      </c>
      <c r="DO46" s="77">
        <f>AVERAGE(DO7:DO25)</f>
        <v/>
      </c>
      <c r="DP46" s="77">
        <f>AVERAGE(DP7:DP25)</f>
        <v/>
      </c>
      <c r="DQ46" s="77">
        <f>AVERAGE(DQ7:DQ25)</f>
        <v/>
      </c>
      <c r="DR46" s="77">
        <f>AVERAGE(DR7:DR25)</f>
        <v/>
      </c>
      <c r="DS46" s="77">
        <f>AVERAGE(DS7:DS25)</f>
        <v/>
      </c>
      <c r="DT46" s="77">
        <f>AVERAGE(DT7:DT25)</f>
        <v/>
      </c>
      <c r="DU46" s="77">
        <f>AVERAGE(DU7:DU25)</f>
        <v/>
      </c>
      <c r="DV46" s="77">
        <f>AVERAGE(DV7:DV25)</f>
        <v/>
      </c>
      <c r="DW46" s="77">
        <f>AVERAGE(DW7:DW25)</f>
        <v/>
      </c>
      <c r="DX46" s="77">
        <f>AVERAGE(DX7:DX25)</f>
        <v/>
      </c>
      <c r="DY46" s="77">
        <f>AVERAGE(DY7:DY25)</f>
        <v/>
      </c>
      <c r="DZ46" s="77">
        <f>AVERAGE(DZ7:DZ25)</f>
        <v/>
      </c>
      <c r="EA46" s="77">
        <f>AVERAGE(EA7:EA25)</f>
        <v/>
      </c>
      <c r="EB46" s="77">
        <f>AVERAGE(EB7:EB25)</f>
        <v/>
      </c>
      <c r="EC46" s="77">
        <f>AVERAGE(EC7:EC25)</f>
        <v/>
      </c>
      <c r="ED46" s="77">
        <f>AVERAGE(ED7:ED25)</f>
        <v/>
      </c>
      <c r="EE46" s="77">
        <f>AVERAGE(EE7:EE25)</f>
        <v/>
      </c>
      <c r="EF46" s="35">
        <f>AVERAGE(EF7:EF25)</f>
        <v/>
      </c>
      <c r="EG46" s="35">
        <f>AVERAGE(EG7:EG25)</f>
        <v/>
      </c>
      <c r="EH46" s="35">
        <f>AVERAGE(EH7:EH25)</f>
        <v/>
      </c>
      <c r="EI46" s="35">
        <f>AVERAGE(EI7:EI25)</f>
        <v/>
      </c>
      <c r="EJ46" s="35">
        <f>AVERAGE(EJ7:EJ25)</f>
        <v/>
      </c>
      <c r="EK46" s="77">
        <f>AVERAGE(EK7:EK25)</f>
        <v/>
      </c>
      <c r="EL46" s="77">
        <f>AVERAGE(EL7:EL25)</f>
        <v/>
      </c>
      <c r="EM46" s="77">
        <f>AVERAGE(EM7:EM25)</f>
        <v/>
      </c>
      <c r="EN46" s="77">
        <f>AVERAGE(EN7:EN25)</f>
        <v/>
      </c>
      <c r="EO46" s="77">
        <f>AVERAGE(EO7:EO25)</f>
        <v/>
      </c>
      <c r="EP46" s="77">
        <f>AVERAGE(EP7:EP25)</f>
        <v/>
      </c>
      <c r="EQ46" s="77">
        <f>AVERAGE(EQ7:EQ25)</f>
        <v/>
      </c>
      <c r="ER46" s="77">
        <f>AVERAGE(ER7:ER25)</f>
        <v/>
      </c>
      <c r="ES46" s="77">
        <f>AVERAGE(ES7:ES25)</f>
        <v/>
      </c>
      <c r="ET46" s="77">
        <f>AVERAGE(ET7:ET25)</f>
        <v/>
      </c>
      <c r="EU46" s="77">
        <f>AVERAGE(EU7:EU25)</f>
        <v/>
      </c>
      <c r="EV46" s="676" t="n"/>
      <c r="EW46" s="77">
        <f>AVERAGE(EW7:EW25)</f>
        <v/>
      </c>
      <c r="EX46" s="77">
        <f>AVERAGE(EX7:EX25)</f>
        <v/>
      </c>
      <c r="EY46" s="77">
        <f>AVERAGE(EY7:EY25)</f>
        <v/>
      </c>
      <c r="EZ46" s="77">
        <f>AVERAGE(EZ7:EZ25)</f>
        <v/>
      </c>
      <c r="FA46" s="77">
        <f>AVERAGE(FA7:FA25)</f>
        <v/>
      </c>
      <c r="FB46" s="77">
        <f>AVERAGE(FB7:FB25)</f>
        <v/>
      </c>
      <c r="FC46" s="77">
        <f>AVERAGE(FC7:FC25)</f>
        <v/>
      </c>
      <c r="FD46" s="676" t="n"/>
      <c r="FE46" s="77">
        <f>AVERAGE(FE7:FE25)</f>
        <v/>
      </c>
      <c r="FF46" s="77">
        <f>AVERAGE(FF7:FF25)</f>
        <v/>
      </c>
      <c r="FG46" s="77">
        <f>AVERAGE(FG7:FG25)</f>
        <v/>
      </c>
      <c r="FH46" s="77">
        <f>AVERAGE(FH7:FH25)</f>
        <v/>
      </c>
      <c r="FI46" s="77">
        <f>AVERAGE(FI7:FI25)</f>
        <v/>
      </c>
      <c r="FJ46" s="78">
        <f>AVERAGE(FJ7:FJ25)</f>
        <v/>
      </c>
      <c r="FK46" s="79">
        <f>AVERAGE(FK7:FK25)</f>
        <v/>
      </c>
      <c r="FL46" s="79">
        <f>AVERAGE(FL7:FL25)</f>
        <v/>
      </c>
      <c r="FM46" s="79">
        <f>AVERAGE(FM7:FM25)</f>
        <v/>
      </c>
      <c r="FN46" s="94">
        <f>AVERAGE(FN7:FN25)</f>
        <v/>
      </c>
      <c r="FO46" s="35">
        <f>AVERAGE(FO7:FO25)</f>
        <v/>
      </c>
      <c r="FP46" s="35">
        <f>AVERAGE(FP7:FP25)</f>
        <v/>
      </c>
      <c r="FQ46" s="35">
        <f>AVERAGE(FQ7:FQ25)</f>
        <v/>
      </c>
      <c r="FR46" s="35">
        <f>AVERAGE(FR7:FR25)</f>
        <v/>
      </c>
      <c r="FS46" s="35">
        <f>AVERAGE(FS7:FS25)</f>
        <v/>
      </c>
      <c r="FT46" s="35">
        <f>AVERAGE(FT7:FT25)</f>
        <v/>
      </c>
      <c r="FU46" s="35">
        <f>AVERAGE(FU7:FU25)</f>
        <v/>
      </c>
      <c r="FV46" s="35">
        <f>AVERAGE(FV7:FV25)</f>
        <v/>
      </c>
      <c r="FW46" s="35">
        <f>AVERAGE(FW7:FW25)</f>
        <v/>
      </c>
      <c r="FX46" s="35">
        <f>AVERAGE(FX7:FX25)</f>
        <v/>
      </c>
      <c r="FY46" s="35">
        <f>AVERAGE(FY7:FY25)</f>
        <v/>
      </c>
      <c r="FZ46" s="35">
        <f>AVERAGE(FZ7:FZ25)</f>
        <v/>
      </c>
      <c r="GA46" s="35">
        <f>AVERAGE(GA7:GA25)</f>
        <v/>
      </c>
      <c r="GB46" s="35">
        <f>AVERAGE(GB7:GB25)</f>
        <v/>
      </c>
      <c r="GC46" s="35">
        <f>AVERAGE(GC7:GC25)</f>
        <v/>
      </c>
      <c r="GD46" s="35">
        <f>AVERAGE(GD7:GD25)</f>
        <v/>
      </c>
      <c r="GE46" s="35">
        <f>AVERAGE(GE7:GE25)</f>
        <v/>
      </c>
      <c r="GF46" s="35">
        <f>AVERAGE(GF7:GF25)</f>
        <v/>
      </c>
      <c r="GG46" s="18">
        <f>AVERAGE(GG7:GG25)</f>
        <v/>
      </c>
      <c r="GH46" s="18">
        <f>AVERAGE(GH7:GH25)</f>
        <v/>
      </c>
      <c r="GI46" s="18">
        <f>AVERAGE(GI7:GI25)</f>
        <v/>
      </c>
      <c r="GJ46" s="18">
        <f>AVERAGE(GJ7:GJ25)</f>
        <v/>
      </c>
      <c r="GK46" s="18">
        <f>AVERAGE(GK7:GK25)</f>
        <v/>
      </c>
      <c r="GL46" s="18">
        <f>AVERAGE(GL7:GL25)</f>
        <v/>
      </c>
      <c r="GM46" s="18">
        <f>AVERAGE(GM7:GM25)</f>
        <v/>
      </c>
      <c r="GN46" s="18">
        <f>AVERAGE(GN7:GN25)</f>
        <v/>
      </c>
      <c r="GO46" s="35">
        <f>AVERAGE(GO7:GO25)</f>
        <v/>
      </c>
      <c r="GP46" s="35">
        <f>AVERAGE(GP7:GP25)</f>
        <v/>
      </c>
      <c r="GQ46" s="35">
        <f>AVERAGE(GQ7:GQ25)</f>
        <v/>
      </c>
      <c r="GR46" s="35">
        <f>AVERAGE(GR7:GR25)</f>
        <v/>
      </c>
      <c r="GS46" s="35">
        <f>AVERAGE(GS7:GS25)</f>
        <v/>
      </c>
      <c r="GT46" s="35">
        <f>AVERAGE(GT7:GT25)</f>
        <v/>
      </c>
      <c r="GU46" s="35">
        <f>AVERAGE(GU7:GU25)</f>
        <v/>
      </c>
      <c r="GV46" s="35">
        <f>AVERAGE(GV7:GV25)</f>
        <v/>
      </c>
      <c r="GW46" s="35">
        <f>AVERAGE(GW7:GW25)</f>
        <v/>
      </c>
      <c r="GX46" s="35">
        <f>AVERAGE(GX7:GX25)</f>
        <v/>
      </c>
      <c r="GY46" s="77">
        <f>AVERAGE(GY7:GY25)</f>
        <v/>
      </c>
      <c r="GZ46" s="77">
        <f>AVERAGE(GZ7:GZ25)</f>
        <v/>
      </c>
      <c r="HA46" s="77">
        <f>AVERAGE(HA7:HA25)</f>
        <v/>
      </c>
      <c r="HB46" s="35">
        <f>AVERAGE(HB7:HB25)</f>
        <v/>
      </c>
      <c r="HC46" s="35">
        <f>AVERAGE(HC7:HC25)</f>
        <v/>
      </c>
      <c r="HD46" s="59">
        <f>AVERAGE(HD7:HD25)</f>
        <v/>
      </c>
      <c r="HE46" s="18">
        <f>AVERAGE(HE7:HE25)</f>
        <v/>
      </c>
      <c r="HF46" s="18">
        <f>AVERAGE(HF7:HF25)</f>
        <v/>
      </c>
      <c r="HG46" s="18">
        <f>AVERAGE(HG7:HG25)</f>
        <v/>
      </c>
      <c r="HH46" s="18">
        <f>AVERAGE(HH7:HH25)</f>
        <v/>
      </c>
      <c r="HI46" s="59">
        <f>AVERAGE(HI7:HI25)</f>
        <v/>
      </c>
      <c r="HJ46" s="59">
        <f>AVERAGE(HJ7:HJ25)</f>
        <v/>
      </c>
      <c r="HK46" s="59">
        <f>AVERAGE(HK7:HK25)</f>
        <v/>
      </c>
      <c r="HL46" s="59">
        <f>AVERAGE(HL7:HL25)</f>
        <v/>
      </c>
      <c r="HM46" s="59">
        <f>AVERAGE(HM7:HM25)</f>
        <v/>
      </c>
      <c r="HN46" s="59">
        <f>AVERAGE(HN7:HN25)</f>
        <v/>
      </c>
      <c r="HO46" s="59">
        <f>AVERAGE(HO7:HO25)</f>
        <v/>
      </c>
      <c r="HP46" s="59">
        <f>AVERAGE(HP7:HP25)</f>
        <v/>
      </c>
      <c r="HQ46" s="59">
        <f>AVERAGE(HQ7:HQ25)</f>
        <v/>
      </c>
      <c r="HR46" s="59">
        <f>AVERAGE(HR7:HR25)</f>
        <v/>
      </c>
      <c r="HS46" s="59">
        <f>AVERAGE(HS7:HS25)</f>
        <v/>
      </c>
      <c r="HT46" s="59">
        <f>AVERAGE(HT7:HT25)</f>
        <v/>
      </c>
      <c r="HU46" s="652" t="n"/>
      <c r="HV46" s="67">
        <f>AVERAGE(HV7:HV45)</f>
        <v/>
      </c>
      <c r="HW46" s="67">
        <f>AVERAGE(HW7:HW45)</f>
        <v/>
      </c>
      <c r="HX46" s="67">
        <f>AVERAGE(HX7:HX45)</f>
        <v/>
      </c>
      <c r="HY46" s="67">
        <f>AVERAGE(HY7:HY45)</f>
        <v/>
      </c>
      <c r="HZ46" s="67">
        <f>AVERAGE(HZ7:HZ45)</f>
        <v/>
      </c>
      <c r="IA46" s="67">
        <f>AVERAGE(IA7:IA45)</f>
        <v/>
      </c>
      <c r="IB46" s="67">
        <f>AVERAGE(IB7:IB45)</f>
        <v/>
      </c>
      <c r="IC46" s="67">
        <f>AVERAGE(IC7:IC45)</f>
        <v/>
      </c>
      <c r="ID46" s="67">
        <f>AVERAGE(ID7:ID45)</f>
        <v/>
      </c>
      <c r="IE46" s="67">
        <f>AVERAGE(IE7:IE45)</f>
        <v/>
      </c>
    </row>
  </sheetData>
  <mergeCells count="366">
    <mergeCell ref="BC31:BD31"/>
    <mergeCell ref="BC6:BD6"/>
    <mergeCell ref="AN25:AP25"/>
    <mergeCell ref="BE6:BF6"/>
    <mergeCell ref="AJ42:AK42"/>
    <mergeCell ref="Z3:AB3"/>
    <mergeCell ref="DR3:DX3"/>
    <mergeCell ref="DJ18:DK18"/>
    <mergeCell ref="Z5:AB5"/>
    <mergeCell ref="IB4:IB6"/>
    <mergeCell ref="GO3:GS3"/>
    <mergeCell ref="GW24:GX24"/>
    <mergeCell ref="GW9:GX9"/>
    <mergeCell ref="GG6:GJ6"/>
    <mergeCell ref="AN13:AP13"/>
    <mergeCell ref="DJ29:DK29"/>
    <mergeCell ref="BC17:BD17"/>
    <mergeCell ref="FN3:FO3"/>
    <mergeCell ref="EU23:EV23"/>
    <mergeCell ref="FP5:FR5"/>
    <mergeCell ref="J3:N3"/>
    <mergeCell ref="AN15:AP15"/>
    <mergeCell ref="BC19:BD19"/>
    <mergeCell ref="AH32:AI32"/>
    <mergeCell ref="DJ6:DK6"/>
    <mergeCell ref="AJ32:AK32"/>
    <mergeCell ref="HB3:HD3"/>
    <mergeCell ref="DP32:DQ32"/>
    <mergeCell ref="GT5:GV5"/>
    <mergeCell ref="AJ40:AK40"/>
    <mergeCell ref="AJ27:AK27"/>
    <mergeCell ref="BC45:BD45"/>
    <mergeCell ref="AN8:AP8"/>
    <mergeCell ref="AE2:BD2"/>
    <mergeCell ref="GR5:GS5"/>
    <mergeCell ref="AN10:AP10"/>
    <mergeCell ref="X5:Y5"/>
    <mergeCell ref="FC5:FF5"/>
    <mergeCell ref="AN28:AP28"/>
    <mergeCell ref="AN3:AP3"/>
    <mergeCell ref="AJ20:AK20"/>
    <mergeCell ref="AN30:AP30"/>
    <mergeCell ref="AH22:AI22"/>
    <mergeCell ref="AJ22:AK22"/>
    <mergeCell ref="EK3:EP3"/>
    <mergeCell ref="CL3:CP3"/>
    <mergeCell ref="BC27:BD27"/>
    <mergeCell ref="DP13:DQ13"/>
    <mergeCell ref="DP7:DQ7"/>
    <mergeCell ref="BK3:BM3"/>
    <mergeCell ref="AN21:AP21"/>
    <mergeCell ref="AN23:AP23"/>
    <mergeCell ref="BC22:BD22"/>
    <mergeCell ref="AJ33:AK33"/>
    <mergeCell ref="CW5:CY5"/>
    <mergeCell ref="EU29:EV29"/>
    <mergeCell ref="AN34:AP34"/>
    <mergeCell ref="AJ35:AK35"/>
    <mergeCell ref="BC38:BD38"/>
    <mergeCell ref="AN36:AP36"/>
    <mergeCell ref="BC46:BD46"/>
    <mergeCell ref="CZ5:DA5"/>
    <mergeCell ref="GW25:GX25"/>
    <mergeCell ref="EG13:EH13"/>
    <mergeCell ref="AJ46:AK46"/>
    <mergeCell ref="EG7:EH7"/>
    <mergeCell ref="AN44:AP44"/>
    <mergeCell ref="BC41:BD41"/>
    <mergeCell ref="AX5:BA5"/>
    <mergeCell ref="CH3:CK3"/>
    <mergeCell ref="DY3:EE3"/>
    <mergeCell ref="IA4:IA6"/>
    <mergeCell ref="BC43:BD43"/>
    <mergeCell ref="DB3:DF3"/>
    <mergeCell ref="AH3:AM3"/>
    <mergeCell ref="BE2:CA2"/>
    <mergeCell ref="EG35:EH35"/>
    <mergeCell ref="AN24:AP24"/>
    <mergeCell ref="FG5:FH5"/>
    <mergeCell ref="AH16:AI16"/>
    <mergeCell ref="AJ41:AK41"/>
    <mergeCell ref="AJ16:AK16"/>
    <mergeCell ref="AE3:AG3"/>
    <mergeCell ref="HU1:HU46"/>
    <mergeCell ref="AN26:AP26"/>
    <mergeCell ref="CO5:CP5"/>
    <mergeCell ref="AJ43:AK43"/>
    <mergeCell ref="HX4:HX6"/>
    <mergeCell ref="EU45:EV45"/>
    <mergeCell ref="HI3:HT3"/>
    <mergeCell ref="GP37:GQ37"/>
    <mergeCell ref="GO2:HT2"/>
    <mergeCell ref="EU32:EV32"/>
    <mergeCell ref="AN42:AP42"/>
    <mergeCell ref="HV1:IE2"/>
    <mergeCell ref="EQ5:ET5"/>
    <mergeCell ref="AN39:AP39"/>
    <mergeCell ref="BU3:CA3"/>
    <mergeCell ref="DJ43:DK43"/>
    <mergeCell ref="DP5:DQ5"/>
    <mergeCell ref="FI3:FM3"/>
    <mergeCell ref="AH6:AI6"/>
    <mergeCell ref="AN37:AP37"/>
    <mergeCell ref="DR6:DT6"/>
    <mergeCell ref="AJ6:AK6"/>
    <mergeCell ref="GY3:HA3"/>
    <mergeCell ref="BN6:BR6"/>
    <mergeCell ref="GW13:GX13"/>
    <mergeCell ref="BC9:BD9"/>
    <mergeCell ref="DP23:DQ23"/>
    <mergeCell ref="AN32:AP32"/>
    <mergeCell ref="BC11:BD11"/>
    <mergeCell ref="AH24:AI24"/>
    <mergeCell ref="EF3:EJ3"/>
    <mergeCell ref="AH18:AI18"/>
    <mergeCell ref="AH17:AI17"/>
    <mergeCell ref="HZ4:HZ6"/>
    <mergeCell ref="AJ17:AK17"/>
    <mergeCell ref="GW23:GX23"/>
    <mergeCell ref="DP18:DQ18"/>
    <mergeCell ref="AN27:AP27"/>
    <mergeCell ref="AH19:AI19"/>
    <mergeCell ref="AJ19:AK19"/>
    <mergeCell ref="EG29:EH29"/>
    <mergeCell ref="GP23:GQ23"/>
    <mergeCell ref="GP7:GQ7"/>
    <mergeCell ref="BC24:BD24"/>
    <mergeCell ref="CW2:EE2"/>
    <mergeCell ref="GP24:GQ24"/>
    <mergeCell ref="DJ9:DK9"/>
    <mergeCell ref="B46:D46"/>
    <mergeCell ref="AH37:AI37"/>
    <mergeCell ref="BH3:BJ3"/>
    <mergeCell ref="AH12:AI12"/>
    <mergeCell ref="AJ12:AK12"/>
    <mergeCell ref="BV6:BW6"/>
    <mergeCell ref="M5:N5"/>
    <mergeCell ref="AH14:AI14"/>
    <mergeCell ref="EG32:EH32"/>
    <mergeCell ref="AJ14:AK14"/>
    <mergeCell ref="GY6:HA6"/>
    <mergeCell ref="CT3:CV3"/>
    <mergeCell ref="AJ7:AK7"/>
    <mergeCell ref="AH43:AI43"/>
    <mergeCell ref="GP29:GQ29"/>
    <mergeCell ref="DP37:DQ37"/>
    <mergeCell ref="DP24:DQ24"/>
    <mergeCell ref="DJ37:DK37"/>
    <mergeCell ref="BC37:BD37"/>
    <mergeCell ref="BC12:BD12"/>
    <mergeCell ref="EU5:EV5"/>
    <mergeCell ref="BC14:BD14"/>
    <mergeCell ref="AH27:AI27"/>
    <mergeCell ref="BC13:BD13"/>
    <mergeCell ref="FI5:FK5"/>
    <mergeCell ref="AH25:AI25"/>
    <mergeCell ref="AJ25:AK25"/>
    <mergeCell ref="CB2:CV2"/>
    <mergeCell ref="DG3:DK3"/>
    <mergeCell ref="GP32:GQ32"/>
    <mergeCell ref="BC40:BD40"/>
    <mergeCell ref="GK3:GN3"/>
    <mergeCell ref="AN46:AP46"/>
    <mergeCell ref="DJ25:DK25"/>
    <mergeCell ref="DP9:DQ9"/>
    <mergeCell ref="BC25:BD25"/>
    <mergeCell ref="AH38:AI38"/>
    <mergeCell ref="DL5:DO5"/>
    <mergeCell ref="AJ38:AK38"/>
    <mergeCell ref="EU18:EV18"/>
    <mergeCell ref="AJ13:AK13"/>
    <mergeCell ref="EF5:EH5"/>
    <mergeCell ref="BV5:BY5"/>
    <mergeCell ref="AH40:AI40"/>
    <mergeCell ref="U5:W5"/>
    <mergeCell ref="AH15:AI15"/>
    <mergeCell ref="AJ15:AK15"/>
    <mergeCell ref="DJ13:DK13"/>
    <mergeCell ref="AH30:AI30"/>
    <mergeCell ref="BE3:BG3"/>
    <mergeCell ref="HW4:HW6"/>
    <mergeCell ref="BC20:BD20"/>
    <mergeCell ref="GP45:GQ45"/>
    <mergeCell ref="GW35:GX35"/>
    <mergeCell ref="GW7:GX7"/>
    <mergeCell ref="E3:I3"/>
    <mergeCell ref="CQ3:CS3"/>
    <mergeCell ref="AN16:AP16"/>
    <mergeCell ref="BC15:BD15"/>
    <mergeCell ref="AH33:AI33"/>
    <mergeCell ref="BC30:BD30"/>
    <mergeCell ref="AH35:AI35"/>
    <mergeCell ref="GO5:GQ5"/>
    <mergeCell ref="AN11:AP11"/>
    <mergeCell ref="HE3:HH3"/>
    <mergeCell ref="AJ28:AK28"/>
    <mergeCell ref="EU37:EV37"/>
    <mergeCell ref="EU24:EV24"/>
    <mergeCell ref="AJ30:AK30"/>
    <mergeCell ref="HY4:HY6"/>
    <mergeCell ref="R5:T5"/>
    <mergeCell ref="BC33:BD33"/>
    <mergeCell ref="AH46:AI46"/>
    <mergeCell ref="FC3:FH3"/>
    <mergeCell ref="EG25:EH25"/>
    <mergeCell ref="DJ35:DK35"/>
    <mergeCell ref="GW29:GX29"/>
    <mergeCell ref="AN6:AP6"/>
    <mergeCell ref="BC35:BD35"/>
    <mergeCell ref="BH6:BI6"/>
    <mergeCell ref="EZ3:FB3"/>
    <mergeCell ref="BC34:BD34"/>
    <mergeCell ref="AH41:AI41"/>
    <mergeCell ref="FP3:FT3"/>
    <mergeCell ref="EZ5:FB5"/>
    <mergeCell ref="CB3:CG3"/>
    <mergeCell ref="DY6:DZ6"/>
    <mergeCell ref="GT3:GX3"/>
    <mergeCell ref="AN18:AP18"/>
    <mergeCell ref="EU25:EV25"/>
    <mergeCell ref="FU3:GF3"/>
    <mergeCell ref="AN17:AP17"/>
    <mergeCell ref="AH34:AI34"/>
    <mergeCell ref="AH9:AI9"/>
    <mergeCell ref="AJ34:AK34"/>
    <mergeCell ref="AN19:AP19"/>
    <mergeCell ref="BZ5:CA5"/>
    <mergeCell ref="AH11:AI11"/>
    <mergeCell ref="EU13:EV13"/>
    <mergeCell ref="AH36:AI36"/>
    <mergeCell ref="AJ36:AK36"/>
    <mergeCell ref="J5:L5"/>
    <mergeCell ref="AJ29:AK29"/>
    <mergeCell ref="GW6:GX6"/>
    <mergeCell ref="H5:I5"/>
    <mergeCell ref="AJ44:AK44"/>
    <mergeCell ref="AJ31:AK31"/>
    <mergeCell ref="EU46:EV46"/>
    <mergeCell ref="BC36:BD36"/>
    <mergeCell ref="AC3:AD3"/>
    <mergeCell ref="GW32:GX32"/>
    <mergeCell ref="EG18:EH18"/>
    <mergeCell ref="AN7:AP7"/>
    <mergeCell ref="EI5:EJ5"/>
    <mergeCell ref="EW3:EY3"/>
    <mergeCell ref="EU9:EV9"/>
    <mergeCell ref="BC39:BD39"/>
    <mergeCell ref="EG6:EH6"/>
    <mergeCell ref="FS5:FT5"/>
    <mergeCell ref="CW3:DA3"/>
    <mergeCell ref="CW1:HT1"/>
    <mergeCell ref="AN20:AP20"/>
    <mergeCell ref="EG23:EH23"/>
    <mergeCell ref="GW45:GX45"/>
    <mergeCell ref="AN22:AP22"/>
    <mergeCell ref="AU3:BA3"/>
    <mergeCell ref="BC32:BD32"/>
    <mergeCell ref="BC26:BD26"/>
    <mergeCell ref="CJ5:CK5"/>
    <mergeCell ref="AJ39:AK39"/>
    <mergeCell ref="EG37:EH37"/>
    <mergeCell ref="EG24:EH24"/>
    <mergeCell ref="GP18:GQ18"/>
    <mergeCell ref="DP6:DQ6"/>
    <mergeCell ref="AH5:AK5"/>
    <mergeCell ref="AN38:AP38"/>
    <mergeCell ref="EU43:EV43"/>
    <mergeCell ref="GP6:GQ6"/>
    <mergeCell ref="BN3:BT3"/>
    <mergeCell ref="AN40:AP40"/>
    <mergeCell ref="DE5:DF5"/>
    <mergeCell ref="AU5:AW5"/>
    <mergeCell ref="AN33:AP33"/>
    <mergeCell ref="AH7:AI7"/>
    <mergeCell ref="DJ24:DK24"/>
    <mergeCell ref="AN35:AP35"/>
    <mergeCell ref="A1:A46"/>
    <mergeCell ref="DJ32:DK32"/>
    <mergeCell ref="GW18:GX18"/>
    <mergeCell ref="ID4:ID6"/>
    <mergeCell ref="BC7:BD7"/>
    <mergeCell ref="AH20:AI20"/>
    <mergeCell ref="EG45:EH45"/>
    <mergeCell ref="EQ3:EV3"/>
    <mergeCell ref="FL5:FM5"/>
    <mergeCell ref="DB5:DD5"/>
    <mergeCell ref="FC46:FD46"/>
    <mergeCell ref="AH13:AI13"/>
    <mergeCell ref="O5:Q5"/>
    <mergeCell ref="GW37:GX37"/>
    <mergeCell ref="AN41:AP41"/>
    <mergeCell ref="DJ7:DK7"/>
    <mergeCell ref="AH8:AI8"/>
    <mergeCell ref="AN43:AP43"/>
    <mergeCell ref="AJ8:AK8"/>
    <mergeCell ref="AH10:AI10"/>
    <mergeCell ref="AJ10:AK10"/>
    <mergeCell ref="GW43:GX43"/>
    <mergeCell ref="FI2:GF2"/>
    <mergeCell ref="AH39:AI39"/>
    <mergeCell ref="O3:T3"/>
    <mergeCell ref="AN9:AP9"/>
    <mergeCell ref="E2:AD2"/>
    <mergeCell ref="AL5:AM5"/>
    <mergeCell ref="BC8:BD8"/>
    <mergeCell ref="DP35:DQ35"/>
    <mergeCell ref="BB3:BD3"/>
    <mergeCell ref="BC10:BD10"/>
    <mergeCell ref="AH28:AI28"/>
    <mergeCell ref="GP35:GQ35"/>
    <mergeCell ref="AN29:AP29"/>
    <mergeCell ref="IC4:IC6"/>
    <mergeCell ref="AH21:AI21"/>
    <mergeCell ref="IE4:IE6"/>
    <mergeCell ref="AJ21:AK21"/>
    <mergeCell ref="AN31:AP31"/>
    <mergeCell ref="GP9:GQ9"/>
    <mergeCell ref="AH23:AI23"/>
    <mergeCell ref="CT6:CU6"/>
    <mergeCell ref="AJ23:AK23"/>
    <mergeCell ref="EF2:FB2"/>
    <mergeCell ref="EG43:EH43"/>
    <mergeCell ref="GP13:GQ13"/>
    <mergeCell ref="AJ18:AK18"/>
    <mergeCell ref="AE5:AG5"/>
    <mergeCell ref="BC21:BD21"/>
    <mergeCell ref="U3:Y3"/>
    <mergeCell ref="GW5:GX5"/>
    <mergeCell ref="AQ3:AT3"/>
    <mergeCell ref="DJ23:DK23"/>
    <mergeCell ref="BC23:BD23"/>
    <mergeCell ref="AJ9:AK9"/>
    <mergeCell ref="DP43:DQ43"/>
    <mergeCell ref="GG3:GJ3"/>
    <mergeCell ref="AJ11:AK11"/>
    <mergeCell ref="GP43:GQ43"/>
    <mergeCell ref="EU7:EV7"/>
    <mergeCell ref="AN12:AP12"/>
    <mergeCell ref="AH42:AI42"/>
    <mergeCell ref="BC16:BD16"/>
    <mergeCell ref="AH29:AI29"/>
    <mergeCell ref="CL5:CN5"/>
    <mergeCell ref="AN14:AP14"/>
    <mergeCell ref="BX6:BY6"/>
    <mergeCell ref="AH44:AI44"/>
    <mergeCell ref="BC18:BD18"/>
    <mergeCell ref="AH31:AI31"/>
    <mergeCell ref="DJ5:DK5"/>
    <mergeCell ref="DP29:DQ29"/>
    <mergeCell ref="DP25:DQ25"/>
    <mergeCell ref="DL3:DQ3"/>
    <mergeCell ref="AJ37:AK37"/>
    <mergeCell ref="AJ24:AK24"/>
    <mergeCell ref="EG9:EH9"/>
    <mergeCell ref="GP25:GQ25"/>
    <mergeCell ref="B2:B6"/>
    <mergeCell ref="D2:D6"/>
    <mergeCell ref="AH26:AI26"/>
    <mergeCell ref="AJ26:AK26"/>
    <mergeCell ref="BC42:BD42"/>
    <mergeCell ref="HV4:HV6"/>
    <mergeCell ref="E5:G5"/>
    <mergeCell ref="BC29:BD29"/>
    <mergeCell ref="EU35:EV35"/>
    <mergeCell ref="DG5:DI5"/>
    <mergeCell ref="BC44:BD44"/>
  </mergeCells>
  <conditionalFormatting sqref="E46:AH46 Z7:AB45 Z8:AD8 Z11:AD12 Z17:AD17 Z22:AD23 Z27:AD28 AC7:AD7 AC9:AD10 AC13:AD16 AC18:AD21 AC24:AD26 AC29:AD32 AQ7:AT7">
    <cfRule type="cellIs" priority="27" operator="lessThan" dxfId="0">
      <formula>5</formula>
    </cfRule>
  </conditionalFormatting>
  <conditionalFormatting sqref="J8">
    <cfRule type="cellIs" priority="74" operator="lessThan" dxfId="0">
      <formula>5</formula>
    </cfRule>
  </conditionalFormatting>
  <conditionalFormatting sqref="AQ8:AT8">
    <cfRule type="cellIs" priority="31" operator="lessThan" dxfId="0">
      <formula>5</formula>
    </cfRule>
  </conditionalFormatting>
  <conditionalFormatting sqref="J8:L8 J10:L12 J17:L17 J22:L23 J27:L28 J37:L37 J40:L40 J44:L45">
    <cfRule type="cellIs" priority="73" operator="lessThan" dxfId="0">
      <formula>5</formula>
    </cfRule>
  </conditionalFormatting>
  <conditionalFormatting sqref="AQ9:AT9">
    <cfRule type="cellIs" priority="28" operator="lessThan" dxfId="0">
      <formula>5</formula>
    </cfRule>
  </conditionalFormatting>
  <conditionalFormatting sqref="J10:K10">
    <cfRule type="cellIs" priority="72" operator="lessThan" dxfId="0">
      <formula>5</formula>
    </cfRule>
  </conditionalFormatting>
  <conditionalFormatting sqref="AQ10:AT10">
    <cfRule type="cellIs" priority="30" operator="lessThan" dxfId="0">
      <formula>5</formula>
    </cfRule>
  </conditionalFormatting>
  <conditionalFormatting sqref="J11">
    <cfRule type="cellIs" priority="71" operator="lessThan" dxfId="0">
      <formula>5</formula>
    </cfRule>
  </conditionalFormatting>
  <conditionalFormatting sqref="J12:K12">
    <cfRule type="cellIs" priority="70" operator="lessThan" dxfId="0">
      <formula>5</formula>
    </cfRule>
  </conditionalFormatting>
  <conditionalFormatting sqref="J17:K17">
    <cfRule type="cellIs" priority="65" operator="lessThan" dxfId="0">
      <formula>5</formula>
    </cfRule>
  </conditionalFormatting>
  <conditionalFormatting sqref="J22:K22">
    <cfRule type="cellIs" priority="60" operator="lessThan" dxfId="0">
      <formula>5</formula>
    </cfRule>
  </conditionalFormatting>
  <conditionalFormatting sqref="J23:K23">
    <cfRule type="cellIs" priority="59" operator="lessThan" dxfId="0">
      <formula>5</formula>
    </cfRule>
  </conditionalFormatting>
  <conditionalFormatting sqref="DJ23">
    <cfRule type="cellIs" priority="230" operator="lessThan" dxfId="0">
      <formula>5</formula>
    </cfRule>
  </conditionalFormatting>
  <conditionalFormatting sqref="DP23">
    <cfRule type="cellIs" priority="236" operator="lessThan" dxfId="0">
      <formula>5</formula>
    </cfRule>
  </conditionalFormatting>
  <conditionalFormatting sqref="EQ23:EU23">
    <cfRule type="cellIs" priority="217" operator="lessThan" dxfId="0">
      <formula>5</formula>
    </cfRule>
  </conditionalFormatting>
  <conditionalFormatting sqref="FC23">
    <cfRule type="cellIs" priority="179" operator="lessThan" dxfId="0">
      <formula>5</formula>
    </cfRule>
  </conditionalFormatting>
  <conditionalFormatting sqref="FD23">
    <cfRule type="cellIs" priority="178" operator="lessThan" dxfId="0">
      <formula>5</formula>
    </cfRule>
  </conditionalFormatting>
  <conditionalFormatting sqref="FE23">
    <cfRule type="cellIs" priority="177" operator="lessThan" dxfId="0">
      <formula>5</formula>
    </cfRule>
  </conditionalFormatting>
  <conditionalFormatting sqref="FF23">
    <cfRule type="cellIs" priority="176" operator="lessThan" dxfId="0">
      <formula>5</formula>
    </cfRule>
  </conditionalFormatting>
  <conditionalFormatting sqref="FG23">
    <cfRule type="cellIs" priority="175" operator="lessThan" dxfId="0">
      <formula>5</formula>
    </cfRule>
  </conditionalFormatting>
  <conditionalFormatting sqref="FH23">
    <cfRule type="cellIs" priority="174" operator="lessThan" dxfId="0">
      <formula>5</formula>
    </cfRule>
  </conditionalFormatting>
  <conditionalFormatting sqref="DJ24">
    <cfRule type="cellIs" priority="229" operator="lessThan" dxfId="0">
      <formula>5</formula>
    </cfRule>
  </conditionalFormatting>
  <conditionalFormatting sqref="DP24">
    <cfRule type="cellIs" priority="235" operator="lessThan" dxfId="0">
      <formula>5</formula>
    </cfRule>
  </conditionalFormatting>
  <conditionalFormatting sqref="EQ24:EU24">
    <cfRule type="cellIs" priority="216" operator="lessThan" dxfId="0">
      <formula>5</formula>
    </cfRule>
  </conditionalFormatting>
  <conditionalFormatting sqref="FC24">
    <cfRule type="cellIs" priority="173" operator="lessThan" dxfId="0">
      <formula>5</formula>
    </cfRule>
  </conditionalFormatting>
  <conditionalFormatting sqref="FD24">
    <cfRule type="cellIs" priority="172" operator="lessThan" dxfId="0">
      <formula>5</formula>
    </cfRule>
  </conditionalFormatting>
  <conditionalFormatting sqref="FE24">
    <cfRule type="cellIs" priority="171" operator="lessThan" dxfId="0">
      <formula>5</formula>
    </cfRule>
  </conditionalFormatting>
  <conditionalFormatting sqref="FF24">
    <cfRule type="cellIs" priority="170" operator="lessThan" dxfId="0">
      <formula>5</formula>
    </cfRule>
  </conditionalFormatting>
  <conditionalFormatting sqref="FG24">
    <cfRule type="cellIs" priority="169" operator="lessThan" dxfId="0">
      <formula>5</formula>
    </cfRule>
  </conditionalFormatting>
  <conditionalFormatting sqref="FH24">
    <cfRule type="cellIs" priority="168" operator="lessThan" dxfId="0">
      <formula>5</formula>
    </cfRule>
  </conditionalFormatting>
  <conditionalFormatting sqref="J27:K27">
    <cfRule type="cellIs" priority="55" operator="lessThan" dxfId="0">
      <formula>5</formula>
    </cfRule>
  </conditionalFormatting>
  <conditionalFormatting sqref="J28:K28">
    <cfRule type="cellIs" priority="54" operator="lessThan" dxfId="0">
      <formula>5</formula>
    </cfRule>
  </conditionalFormatting>
  <conditionalFormatting sqref="J37:K37">
    <cfRule type="cellIs" priority="45" operator="lessThan" dxfId="0">
      <formula>5</formula>
    </cfRule>
  </conditionalFormatting>
  <conditionalFormatting sqref="J40:K40">
    <cfRule type="cellIs" priority="42" operator="lessThan" dxfId="0">
      <formula>5</formula>
    </cfRule>
  </conditionalFormatting>
  <conditionalFormatting sqref="J44:K44">
    <cfRule type="cellIs" priority="37" operator="lessThan" dxfId="0">
      <formula>5</formula>
    </cfRule>
  </conditionalFormatting>
  <conditionalFormatting sqref="J45:K45">
    <cfRule type="cellIs" priority="36" operator="lessThan" dxfId="0">
      <formula>5</formula>
    </cfRule>
  </conditionalFormatting>
  <conditionalFormatting sqref="EG45">
    <cfRule type="cellIs" priority="150" operator="lessThan" dxfId="0">
      <formula>5</formula>
    </cfRule>
  </conditionalFormatting>
  <conditionalFormatting sqref="EU45">
    <cfRule type="cellIs" priority="156" operator="lessThan" dxfId="0">
      <formula>5</formula>
    </cfRule>
  </conditionalFormatting>
  <conditionalFormatting sqref="GP45">
    <cfRule type="cellIs" priority="144" operator="lessThan" dxfId="0">
      <formula>5</formula>
    </cfRule>
  </conditionalFormatting>
  <conditionalFormatting sqref="GW45">
    <cfRule type="cellIs" priority="138" operator="lessThan" dxfId="0">
      <formula>5</formula>
    </cfRule>
  </conditionalFormatting>
  <conditionalFormatting sqref="HE46">
    <cfRule type="cellIs" priority="287" operator="lessThan" dxfId="0">
      <formula>5</formula>
    </cfRule>
  </conditionalFormatting>
  <conditionalFormatting sqref="HF46">
    <cfRule type="cellIs" priority="286" operator="lessThan" dxfId="0">
      <formula>5</formula>
    </cfRule>
  </conditionalFormatting>
  <conditionalFormatting sqref="HG46">
    <cfRule type="cellIs" priority="285" operator="lessThan" dxfId="0">
      <formula>5</formula>
    </cfRule>
  </conditionalFormatting>
  <conditionalFormatting sqref="HH46">
    <cfRule type="cellIs" priority="284" operator="lessThan" dxfId="0">
      <formula>5</formula>
    </cfRule>
  </conditionalFormatting>
  <conditionalFormatting sqref="CS7:CS28">
    <cfRule type="cellIs" priority="160" operator="lessThan" dxfId="0">
      <formula>5</formula>
    </cfRule>
  </conditionalFormatting>
  <conditionalFormatting sqref="CS29:CS31">
    <cfRule type="cellIs" priority="159" operator="lessThan" dxfId="0">
      <formula>5</formula>
    </cfRule>
  </conditionalFormatting>
  <conditionalFormatting sqref="CS32:CS34">
    <cfRule type="cellIs" priority="158" operator="lessThan" dxfId="0">
      <formula>5</formula>
    </cfRule>
  </conditionalFormatting>
  <conditionalFormatting sqref="CS35:CS45">
    <cfRule type="cellIs" priority="157" operator="lessThan" dxfId="0">
      <formula>5</formula>
    </cfRule>
  </conditionalFormatting>
  <conditionalFormatting sqref="DB29:DB45">
    <cfRule type="cellIs" priority="241" operator="lessThan" dxfId="0">
      <formula>5</formula>
    </cfRule>
  </conditionalFormatting>
  <conditionalFormatting sqref="DG25:DG45">
    <cfRule type="cellIs" priority="243" operator="lessThan" dxfId="0">
      <formula>5</formula>
    </cfRule>
  </conditionalFormatting>
  <conditionalFormatting sqref="DJ9:DJ12">
    <cfRule type="cellIs" priority="233" operator="lessThan" dxfId="0">
      <formula>5</formula>
    </cfRule>
  </conditionalFormatting>
  <conditionalFormatting sqref="DJ13:DJ17">
    <cfRule type="cellIs" priority="232" operator="lessThan" dxfId="0">
      <formula>5</formula>
    </cfRule>
  </conditionalFormatting>
  <conditionalFormatting sqref="DJ18:DJ22">
    <cfRule type="cellIs" priority="231" operator="lessThan" dxfId="0">
      <formula>5</formula>
    </cfRule>
  </conditionalFormatting>
  <conditionalFormatting sqref="DJ25:DJ28">
    <cfRule type="cellIs" priority="228" operator="lessThan" dxfId="0">
      <formula>5</formula>
    </cfRule>
  </conditionalFormatting>
  <conditionalFormatting sqref="DJ29:DJ31">
    <cfRule type="cellIs" priority="227" operator="lessThan" dxfId="0">
      <formula>5</formula>
    </cfRule>
  </conditionalFormatting>
  <conditionalFormatting sqref="DJ32:DJ34">
    <cfRule type="cellIs" priority="226" operator="lessThan" dxfId="0">
      <formula>5</formula>
    </cfRule>
  </conditionalFormatting>
  <conditionalFormatting sqref="DJ35:DJ36">
    <cfRule type="cellIs" priority="225" operator="lessThan" dxfId="0">
      <formula>5</formula>
    </cfRule>
  </conditionalFormatting>
  <conditionalFormatting sqref="DJ37:DJ40">
    <cfRule type="cellIs" priority="224" operator="lessThan" dxfId="0">
      <formula>5</formula>
    </cfRule>
  </conditionalFormatting>
  <conditionalFormatting sqref="DJ41:DJ42">
    <cfRule type="cellIs" priority="223" operator="lessThan" dxfId="0">
      <formula>5</formula>
    </cfRule>
  </conditionalFormatting>
  <conditionalFormatting sqref="DJ43:DJ45">
    <cfRule type="cellIs" priority="222" operator="lessThan" dxfId="0">
      <formula>5</formula>
    </cfRule>
  </conditionalFormatting>
  <conditionalFormatting sqref="DP9:DP12">
    <cfRule type="cellIs" priority="239" operator="lessThan" dxfId="0">
      <formula>5</formula>
    </cfRule>
  </conditionalFormatting>
  <conditionalFormatting sqref="DP13:DP17">
    <cfRule type="cellIs" priority="238" operator="lessThan" dxfId="0">
      <formula>5</formula>
    </cfRule>
  </conditionalFormatting>
  <conditionalFormatting sqref="DP18:DP22">
    <cfRule type="cellIs" priority="237" operator="lessThan" dxfId="0">
      <formula>5</formula>
    </cfRule>
  </conditionalFormatting>
  <conditionalFormatting sqref="DP25:DP28">
    <cfRule type="cellIs" priority="234" operator="lessThan" dxfId="0">
      <formula>5</formula>
    </cfRule>
  </conditionalFormatting>
  <conditionalFormatting sqref="EF29:EF31">
    <cfRule type="cellIs" priority="300" operator="lessThan" dxfId="0">
      <formula>5</formula>
    </cfRule>
  </conditionalFormatting>
  <conditionalFormatting sqref="EF32:EF34">
    <cfRule type="cellIs" priority="299" operator="lessThan" dxfId="0">
      <formula>5</formula>
    </cfRule>
  </conditionalFormatting>
  <conditionalFormatting sqref="EF35:EF36">
    <cfRule type="cellIs" priority="298" operator="lessThan" dxfId="0">
      <formula>5</formula>
    </cfRule>
  </conditionalFormatting>
  <conditionalFormatting sqref="EF37:EF40">
    <cfRule type="cellIs" priority="297" operator="lessThan" dxfId="0">
      <formula>5</formula>
    </cfRule>
  </conditionalFormatting>
  <conditionalFormatting sqref="EF41:EF42">
    <cfRule type="cellIs" priority="210" operator="lessThan" dxfId="0">
      <formula>5</formula>
    </cfRule>
  </conditionalFormatting>
  <conditionalFormatting sqref="EF43:EF45">
    <cfRule type="cellIs" priority="206" operator="lessThan" dxfId="0">
      <formula>5</formula>
    </cfRule>
  </conditionalFormatting>
  <conditionalFormatting sqref="EG29:EG31">
    <cfRule type="cellIs" priority="304" operator="lessThan" dxfId="0">
      <formula>5</formula>
    </cfRule>
  </conditionalFormatting>
  <conditionalFormatting sqref="EG32:EG34">
    <cfRule type="cellIs" priority="303" operator="lessThan" dxfId="0">
      <formula>5</formula>
    </cfRule>
  </conditionalFormatting>
  <conditionalFormatting sqref="EG35:EG36">
    <cfRule type="cellIs" priority="302" operator="lessThan" dxfId="0">
      <formula>5</formula>
    </cfRule>
  </conditionalFormatting>
  <conditionalFormatting sqref="EG37:EG40">
    <cfRule type="cellIs" priority="301" operator="lessThan" dxfId="0">
      <formula>5</formula>
    </cfRule>
  </conditionalFormatting>
  <conditionalFormatting sqref="EG41:EG42">
    <cfRule type="cellIs" priority="211" operator="lessThan" dxfId="0">
      <formula>5</formula>
    </cfRule>
  </conditionalFormatting>
  <conditionalFormatting sqref="EG43:EG44">
    <cfRule type="cellIs" priority="207" operator="lessThan" dxfId="0">
      <formula>5</formula>
    </cfRule>
  </conditionalFormatting>
  <conditionalFormatting sqref="EI29:EI31">
    <cfRule type="cellIs" priority="295" operator="lessThan" dxfId="0">
      <formula>5</formula>
    </cfRule>
  </conditionalFormatting>
  <conditionalFormatting sqref="EI32:EI34">
    <cfRule type="cellIs" priority="294" operator="lessThan" dxfId="0">
      <formula>5</formula>
    </cfRule>
  </conditionalFormatting>
  <conditionalFormatting sqref="EI35:EI36">
    <cfRule type="cellIs" priority="293" operator="lessThan" dxfId="0">
      <formula>5</formula>
    </cfRule>
  </conditionalFormatting>
  <conditionalFormatting sqref="EI37:EI40">
    <cfRule type="cellIs" priority="292" operator="lessThan" dxfId="0">
      <formula>5</formula>
    </cfRule>
  </conditionalFormatting>
  <conditionalFormatting sqref="EI41:EI42">
    <cfRule type="cellIs" priority="208" operator="lessThan" dxfId="0">
      <formula>5</formula>
    </cfRule>
  </conditionalFormatting>
  <conditionalFormatting sqref="EI43:EI45">
    <cfRule type="cellIs" priority="204" operator="lessThan" dxfId="0">
      <formula>5</formula>
    </cfRule>
  </conditionalFormatting>
  <conditionalFormatting sqref="EJ29:EJ40">
    <cfRule type="cellIs" priority="296" operator="lessThan" dxfId="0">
      <formula>5</formula>
    </cfRule>
  </conditionalFormatting>
  <conditionalFormatting sqref="EJ41:EJ42">
    <cfRule type="cellIs" priority="209" operator="lessThan" dxfId="0">
      <formula>5</formula>
    </cfRule>
  </conditionalFormatting>
  <conditionalFormatting sqref="EJ43:EJ45">
    <cfRule type="cellIs" priority="205" operator="lessThan" dxfId="0">
      <formula>5</formula>
    </cfRule>
  </conditionalFormatting>
  <conditionalFormatting sqref="EX29:EX45">
    <cfRule type="cellIs" priority="288" operator="lessThan" dxfId="0">
      <formula>5</formula>
    </cfRule>
  </conditionalFormatting>
  <conditionalFormatting sqref="FC7:FC8">
    <cfRule type="cellIs" priority="203" operator="lessThan" dxfId="0">
      <formula>5</formula>
    </cfRule>
  </conditionalFormatting>
  <conditionalFormatting sqref="FC9:FC12">
    <cfRule type="cellIs" priority="197" operator="lessThan" dxfId="0">
      <formula>5</formula>
    </cfRule>
  </conditionalFormatting>
  <conditionalFormatting sqref="FC13:FC17">
    <cfRule type="cellIs" priority="191" operator="lessThan" dxfId="0">
      <formula>5</formula>
    </cfRule>
  </conditionalFormatting>
  <conditionalFormatting sqref="FC18:FC22">
    <cfRule type="cellIs" priority="185" operator="lessThan" dxfId="0">
      <formula>5</formula>
    </cfRule>
  </conditionalFormatting>
  <conditionalFormatting sqref="FC25:FC28">
    <cfRule type="cellIs" priority="167" operator="lessThan" dxfId="0">
      <formula>5</formula>
    </cfRule>
  </conditionalFormatting>
  <conditionalFormatting sqref="FC29:FC31">
    <cfRule type="cellIs" priority="278" operator="lessThan" dxfId="0">
      <formula>5</formula>
    </cfRule>
  </conditionalFormatting>
  <conditionalFormatting sqref="FC32:FC34">
    <cfRule type="cellIs" priority="277" operator="lessThan" dxfId="0">
      <formula>5</formula>
    </cfRule>
  </conditionalFormatting>
  <conditionalFormatting sqref="FC35:FC36">
    <cfRule type="cellIs" priority="276" operator="lessThan" dxfId="0">
      <formula>5</formula>
    </cfRule>
  </conditionalFormatting>
  <conditionalFormatting sqref="FC37:FC40">
    <cfRule type="cellIs" priority="275" operator="lessThan" dxfId="0">
      <formula>5</formula>
    </cfRule>
  </conditionalFormatting>
  <conditionalFormatting sqref="FC41:FC42">
    <cfRule type="cellIs" priority="274" operator="lessThan" dxfId="0">
      <formula>5</formula>
    </cfRule>
  </conditionalFormatting>
  <conditionalFormatting sqref="FC43:FC45">
    <cfRule type="cellIs" priority="273" operator="lessThan" dxfId="0">
      <formula>5</formula>
    </cfRule>
  </conditionalFormatting>
  <conditionalFormatting sqref="FD7:FD8">
    <cfRule type="cellIs" priority="202" operator="lessThan" dxfId="0">
      <formula>5</formula>
    </cfRule>
  </conditionalFormatting>
  <conditionalFormatting sqref="FD9:FD12">
    <cfRule type="cellIs" priority="196" operator="lessThan" dxfId="0">
      <formula>5</formula>
    </cfRule>
  </conditionalFormatting>
  <conditionalFormatting sqref="FD13:FD17">
    <cfRule type="cellIs" priority="190" operator="lessThan" dxfId="0">
      <formula>5</formula>
    </cfRule>
  </conditionalFormatting>
  <conditionalFormatting sqref="FD18:FD22">
    <cfRule type="cellIs" priority="184" operator="lessThan" dxfId="0">
      <formula>5</formula>
    </cfRule>
  </conditionalFormatting>
  <conditionalFormatting sqref="FD25:FD28">
    <cfRule type="cellIs" priority="166" operator="lessThan" dxfId="0">
      <formula>5</formula>
    </cfRule>
  </conditionalFormatting>
  <conditionalFormatting sqref="FD29:FD31">
    <cfRule type="cellIs" priority="272" operator="lessThan" dxfId="0">
      <formula>5</formula>
    </cfRule>
  </conditionalFormatting>
  <conditionalFormatting sqref="FD32:FD34">
    <cfRule type="cellIs" priority="271" operator="lessThan" dxfId="0">
      <formula>5</formula>
    </cfRule>
  </conditionalFormatting>
  <conditionalFormatting sqref="FD35:FD36">
    <cfRule type="cellIs" priority="270" operator="lessThan" dxfId="0">
      <formula>5</formula>
    </cfRule>
  </conditionalFormatting>
  <conditionalFormatting sqref="FD37:FD40">
    <cfRule type="cellIs" priority="269" operator="lessThan" dxfId="0">
      <formula>5</formula>
    </cfRule>
  </conditionalFormatting>
  <conditionalFormatting sqref="FD41:FD42">
    <cfRule type="cellIs" priority="268" operator="lessThan" dxfId="0">
      <formula>5</formula>
    </cfRule>
  </conditionalFormatting>
  <conditionalFormatting sqref="FD43:FD45">
    <cfRule type="cellIs" priority="267" operator="lessThan" dxfId="0">
      <formula>5</formula>
    </cfRule>
  </conditionalFormatting>
  <conditionalFormatting sqref="FE7:FE8">
    <cfRule type="cellIs" priority="201" operator="lessThan" dxfId="0">
      <formula>5</formula>
    </cfRule>
  </conditionalFormatting>
  <conditionalFormatting sqref="FE9:FE12">
    <cfRule type="cellIs" priority="195" operator="lessThan" dxfId="0">
      <formula>5</formula>
    </cfRule>
  </conditionalFormatting>
  <conditionalFormatting sqref="FE13:FE17">
    <cfRule type="cellIs" priority="189" operator="lessThan" dxfId="0">
      <formula>5</formula>
    </cfRule>
  </conditionalFormatting>
  <conditionalFormatting sqref="FE18:FE22">
    <cfRule type="cellIs" priority="183" operator="lessThan" dxfId="0">
      <formula>5</formula>
    </cfRule>
  </conditionalFormatting>
  <conditionalFormatting sqref="FE25:FE28">
    <cfRule type="cellIs" priority="165" operator="lessThan" dxfId="0">
      <formula>5</formula>
    </cfRule>
  </conditionalFormatting>
  <conditionalFormatting sqref="FE29:FE31">
    <cfRule type="cellIs" priority="266" operator="lessThan" dxfId="0">
      <formula>5</formula>
    </cfRule>
  </conditionalFormatting>
  <conditionalFormatting sqref="FE32:FE34">
    <cfRule type="cellIs" priority="265" operator="lessThan" dxfId="0">
      <formula>5</formula>
    </cfRule>
  </conditionalFormatting>
  <conditionalFormatting sqref="FE35:FE36">
    <cfRule type="cellIs" priority="264" operator="lessThan" dxfId="0">
      <formula>5</formula>
    </cfRule>
  </conditionalFormatting>
  <conditionalFormatting sqref="FE37:FE40">
    <cfRule type="cellIs" priority="263" operator="lessThan" dxfId="0">
      <formula>5</formula>
    </cfRule>
  </conditionalFormatting>
  <conditionalFormatting sqref="FE41:FE42">
    <cfRule type="cellIs" priority="262" operator="lessThan" dxfId="0">
      <formula>5</formula>
    </cfRule>
  </conditionalFormatting>
  <conditionalFormatting sqref="FE43:FE45">
    <cfRule type="cellIs" priority="261" operator="lessThan" dxfId="0">
      <formula>5</formula>
    </cfRule>
  </conditionalFormatting>
  <conditionalFormatting sqref="FF7:FF8">
    <cfRule type="cellIs" priority="200" operator="lessThan" dxfId="0">
      <formula>5</formula>
    </cfRule>
  </conditionalFormatting>
  <conditionalFormatting sqref="FF9:FF12">
    <cfRule type="cellIs" priority="194" operator="lessThan" dxfId="0">
      <formula>5</formula>
    </cfRule>
  </conditionalFormatting>
  <conditionalFormatting sqref="FF13:FF17">
    <cfRule type="cellIs" priority="188" operator="lessThan" dxfId="0">
      <formula>5</formula>
    </cfRule>
  </conditionalFormatting>
  <conditionalFormatting sqref="FF18:FF22">
    <cfRule type="cellIs" priority="182" operator="lessThan" dxfId="0">
      <formula>5</formula>
    </cfRule>
  </conditionalFormatting>
  <conditionalFormatting sqref="FF25:FF28">
    <cfRule type="cellIs" priority="164" operator="lessThan" dxfId="0">
      <formula>5</formula>
    </cfRule>
  </conditionalFormatting>
  <conditionalFormatting sqref="FF29:FF31">
    <cfRule type="cellIs" priority="260" operator="lessThan" dxfId="0">
      <formula>5</formula>
    </cfRule>
  </conditionalFormatting>
  <conditionalFormatting sqref="FF32:FF34">
    <cfRule type="cellIs" priority="259" operator="lessThan" dxfId="0">
      <formula>5</formula>
    </cfRule>
  </conditionalFormatting>
  <conditionalFormatting sqref="FF35:FF36">
    <cfRule type="cellIs" priority="258" operator="lessThan" dxfId="0">
      <formula>5</formula>
    </cfRule>
  </conditionalFormatting>
  <conditionalFormatting sqref="FF37:FF40">
    <cfRule type="cellIs" priority="257" operator="lessThan" dxfId="0">
      <formula>5</formula>
    </cfRule>
  </conditionalFormatting>
  <conditionalFormatting sqref="FF41:FF42">
    <cfRule type="cellIs" priority="256" operator="lessThan" dxfId="0">
      <formula>5</formula>
    </cfRule>
  </conditionalFormatting>
  <conditionalFormatting sqref="FF43:FF45">
    <cfRule type="cellIs" priority="255" operator="lessThan" dxfId="0">
      <formula>5</formula>
    </cfRule>
  </conditionalFormatting>
  <conditionalFormatting sqref="FG7:FG8">
    <cfRule type="cellIs" priority="199" operator="lessThan" dxfId="0">
      <formula>5</formula>
    </cfRule>
  </conditionalFormatting>
  <conditionalFormatting sqref="FG9:FG12">
    <cfRule type="cellIs" priority="193" operator="lessThan" dxfId="0">
      <formula>5</formula>
    </cfRule>
  </conditionalFormatting>
  <conditionalFormatting sqref="FG13:FG17">
    <cfRule type="cellIs" priority="187" operator="lessThan" dxfId="0">
      <formula>5</formula>
    </cfRule>
  </conditionalFormatting>
  <conditionalFormatting sqref="FG18:FG22">
    <cfRule type="cellIs" priority="181" operator="lessThan" dxfId="0">
      <formula>5</formula>
    </cfRule>
  </conditionalFormatting>
  <conditionalFormatting sqref="FG25:FG28">
    <cfRule type="cellIs" priority="163" operator="lessThan" dxfId="0">
      <formula>5</formula>
    </cfRule>
  </conditionalFormatting>
  <conditionalFormatting sqref="FG29:FG31">
    <cfRule type="cellIs" priority="254" operator="lessThan" dxfId="0">
      <formula>5</formula>
    </cfRule>
  </conditionalFormatting>
  <conditionalFormatting sqref="FG32:FG34">
    <cfRule type="cellIs" priority="253" operator="lessThan" dxfId="0">
      <formula>5</formula>
    </cfRule>
  </conditionalFormatting>
  <conditionalFormatting sqref="FG35:FG36">
    <cfRule type="cellIs" priority="252" operator="lessThan" dxfId="0">
      <formula>5</formula>
    </cfRule>
  </conditionalFormatting>
  <conditionalFormatting sqref="FG37:FG40">
    <cfRule type="cellIs" priority="251" operator="lessThan" dxfId="0">
      <formula>5</formula>
    </cfRule>
  </conditionalFormatting>
  <conditionalFormatting sqref="FG41:FG42">
    <cfRule type="cellIs" priority="250" operator="lessThan" dxfId="0">
      <formula>5</formula>
    </cfRule>
  </conditionalFormatting>
  <conditionalFormatting sqref="FG43:FG45">
    <cfRule type="cellIs" priority="249" operator="lessThan" dxfId="0">
      <formula>5</formula>
    </cfRule>
  </conditionalFormatting>
  <conditionalFormatting sqref="FH7:FH8">
    <cfRule type="cellIs" priority="198" operator="lessThan" dxfId="0">
      <formula>5</formula>
    </cfRule>
  </conditionalFormatting>
  <conditionalFormatting sqref="FH9:FH12">
    <cfRule type="cellIs" priority="192" operator="lessThan" dxfId="0">
      <formula>5</formula>
    </cfRule>
  </conditionalFormatting>
  <conditionalFormatting sqref="FH13:FH17">
    <cfRule type="cellIs" priority="186" operator="lessThan" dxfId="0">
      <formula>5</formula>
    </cfRule>
  </conditionalFormatting>
  <conditionalFormatting sqref="FH18:FH22">
    <cfRule type="cellIs" priority="180" operator="lessThan" dxfId="0">
      <formula>5</formula>
    </cfRule>
  </conditionalFormatting>
  <conditionalFormatting sqref="FH25:FH28">
    <cfRule type="cellIs" priority="162" operator="lessThan" dxfId="0">
      <formula>5</formula>
    </cfRule>
  </conditionalFormatting>
  <conditionalFormatting sqref="FH29:FH34">
    <cfRule type="cellIs" priority="248" operator="lessThan" dxfId="0">
      <formula>5</formula>
    </cfRule>
  </conditionalFormatting>
  <conditionalFormatting sqref="FH35:FH36">
    <cfRule type="cellIs" priority="247" operator="lessThan" dxfId="0">
      <formula>5</formula>
    </cfRule>
  </conditionalFormatting>
  <conditionalFormatting sqref="FH37:FH45">
    <cfRule type="cellIs" priority="246" operator="lessThan" dxfId="0">
      <formula>5</formula>
    </cfRule>
  </conditionalFormatting>
  <conditionalFormatting sqref="GO29:GO42">
    <cfRule type="cellIs" priority="319" operator="lessThan" dxfId="0">
      <formula>5</formula>
    </cfRule>
  </conditionalFormatting>
  <conditionalFormatting sqref="GO43:GO45">
    <cfRule type="cellIs" priority="318" operator="lessThan" dxfId="0">
      <formula>5</formula>
    </cfRule>
  </conditionalFormatting>
  <conditionalFormatting sqref="GP29:GP31">
    <cfRule type="cellIs" priority="317" operator="lessThan" dxfId="0">
      <formula>5</formula>
    </cfRule>
  </conditionalFormatting>
  <conditionalFormatting sqref="GP32:GP34">
    <cfRule type="cellIs" priority="316" operator="lessThan" dxfId="0">
      <formula>5</formula>
    </cfRule>
  </conditionalFormatting>
  <conditionalFormatting sqref="GP35:GP36">
    <cfRule type="cellIs" priority="315" operator="lessThan" dxfId="0">
      <formula>5</formula>
    </cfRule>
  </conditionalFormatting>
  <conditionalFormatting sqref="GP37:GP40">
    <cfRule type="cellIs" priority="314" operator="lessThan" dxfId="0">
      <formula>5</formula>
    </cfRule>
  </conditionalFormatting>
  <conditionalFormatting sqref="GP41:GP42">
    <cfRule type="cellIs" priority="313" operator="lessThan" dxfId="0">
      <formula>5</formula>
    </cfRule>
  </conditionalFormatting>
  <conditionalFormatting sqref="GP43:GP44">
    <cfRule type="cellIs" priority="312" operator="lessThan" dxfId="0">
      <formula>5</formula>
    </cfRule>
  </conditionalFormatting>
  <conditionalFormatting sqref="GR43:GR45">
    <cfRule type="cellIs" priority="311" operator="lessThan" dxfId="0">
      <formula>5</formula>
    </cfRule>
  </conditionalFormatting>
  <conditionalFormatting sqref="GS29:GS45">
    <cfRule type="cellIs" priority="320" operator="lessThan" dxfId="0">
      <formula>5</formula>
    </cfRule>
  </conditionalFormatting>
  <conditionalFormatting sqref="GT29:GT40">
    <cfRule type="cellIs" priority="322" operator="lessThan" dxfId="0">
      <formula>5</formula>
    </cfRule>
  </conditionalFormatting>
  <conditionalFormatting sqref="GT41:GT45">
    <cfRule type="cellIs" priority="321" operator="lessThan" dxfId="0">
      <formula>5</formula>
    </cfRule>
  </conditionalFormatting>
  <conditionalFormatting sqref="GW29:GW31">
    <cfRule type="cellIs" priority="310" operator="lessThan" dxfId="0">
      <formula>5</formula>
    </cfRule>
  </conditionalFormatting>
  <conditionalFormatting sqref="GW32:GW34">
    <cfRule type="cellIs" priority="309" operator="lessThan" dxfId="0">
      <formula>5</formula>
    </cfRule>
  </conditionalFormatting>
  <conditionalFormatting sqref="GW35:GW36">
    <cfRule type="cellIs" priority="308" operator="lessThan" dxfId="0">
      <formula>5</formula>
    </cfRule>
  </conditionalFormatting>
  <conditionalFormatting sqref="GW37:GW40">
    <cfRule type="cellIs" priority="307" operator="lessThan" dxfId="0">
      <formula>5</formula>
    </cfRule>
  </conditionalFormatting>
  <conditionalFormatting sqref="GW41:GW42">
    <cfRule type="cellIs" priority="306" operator="lessThan" dxfId="0">
      <formula>5</formula>
    </cfRule>
  </conditionalFormatting>
  <conditionalFormatting sqref="GW43:GW44">
    <cfRule type="cellIs" priority="305" operator="lessThan" dxfId="0">
      <formula>5</formula>
    </cfRule>
  </conditionalFormatting>
  <conditionalFormatting sqref="HD7:HD45">
    <cfRule type="cellIs" priority="324" operator="lessThan" dxfId="0">
      <formula>5</formula>
    </cfRule>
  </conditionalFormatting>
  <conditionalFormatting sqref="E7:Q9 E10:L10 E11:Q15 E16:L16 E17:Q19 E20:L21 E22:T23 E24:L24 E25:Q28 E29:L29 E30:Q32 E33:L34 E35:Q40 E41:L41 E42:Q42 E43:L43 E44:Q45 M8:N44 O8:T8 O10:Q10 O11:T12 O16:Q16 O17:T17 O20:Q21 O24:Q24 O27:T27 O29:Q29 O33:Q34 O41:Q41 O43:Q43 R7:T7 R9:T10 R13:T16 R18:T21 R24:T26">
    <cfRule type="cellIs" priority="123" operator="lessThan" dxfId="0">
      <formula>5</formula>
    </cfRule>
  </conditionalFormatting>
  <conditionalFormatting sqref="AE7:AH28 AJ7:AJ28 AJ46 AL7:AN28 AL46:AN46 AQ46:BB46 AU7:AX28 AY7:BC27 AY28:BZ28 BE7:BZ27 BE46:DQ46 CC7:CR28 CT7:CV28 DG7:DJ8 DG9:DI24 DH25:DI28 DL7:DP8 DL9:DO28 GO7:GP28 GO46:GX46 GR7:GW28 GR29:GR42">
    <cfRule type="cellIs" priority="332" operator="lessThan" dxfId="0">
      <formula>5</formula>
    </cfRule>
  </conditionalFormatting>
  <conditionalFormatting sqref="CA7:CB45">
    <cfRule type="cellIs" priority="161" operator="lessThan" dxfId="0">
      <formula>5</formula>
    </cfRule>
  </conditionalFormatting>
  <conditionalFormatting sqref="CW7:DA45">
    <cfRule type="cellIs" priority="245" operator="lessThan" dxfId="0">
      <formula>5</formula>
    </cfRule>
  </conditionalFormatting>
  <conditionalFormatting sqref="DB7:DF28">
    <cfRule type="cellIs" priority="244" operator="lessThan" dxfId="0">
      <formula>5</formula>
    </cfRule>
  </conditionalFormatting>
  <conditionalFormatting sqref="DR7:EE46 EK7:EP45 EK46:EU46 EW7:FB28 EW29:EW45 EW46:FB46 EY29:FB36 EY37:EY45">
    <cfRule type="cellIs" priority="331" operator="lessThan" dxfId="0">
      <formula>5</formula>
    </cfRule>
  </conditionalFormatting>
  <conditionalFormatting sqref="EF7:EG28 EF46:EJ46 EI7:EJ28">
    <cfRule type="cellIs" priority="327" operator="lessThan" dxfId="0">
      <formula>5</formula>
    </cfRule>
  </conditionalFormatting>
  <conditionalFormatting sqref="EQ7:EU8">
    <cfRule type="cellIs" priority="221" operator="lessThan" dxfId="0">
      <formula>5</formula>
    </cfRule>
  </conditionalFormatting>
  <conditionalFormatting sqref="FI7:GN46">
    <cfRule type="cellIs" priority="329" operator="lessThan" dxfId="0">
      <formula>5</formula>
    </cfRule>
  </conditionalFormatting>
  <conditionalFormatting sqref="GY7:HA45 GY46:HD46 HI7:HT46">
    <cfRule type="cellIs" priority="328" operator="lessThan" dxfId="0">
      <formula>5</formula>
    </cfRule>
  </conditionalFormatting>
  <conditionalFormatting sqref="HB7:HC45">
    <cfRule type="cellIs" priority="325" operator="lessThan" dxfId="0">
      <formula>5</formula>
    </cfRule>
  </conditionalFormatting>
  <conditionalFormatting sqref="HE7:HH45">
    <cfRule type="cellIs" priority="326" operator="lessThan" dxfId="0">
      <formula>5</formula>
    </cfRule>
  </conditionalFormatting>
  <conditionalFormatting sqref="EQ9:EU12">
    <cfRule type="cellIs" priority="220" operator="lessThan" dxfId="0">
      <formula>5</formula>
    </cfRule>
  </conditionalFormatting>
  <conditionalFormatting sqref="AQ11:AT45">
    <cfRule type="cellIs" priority="29" operator="lessThan" dxfId="0">
      <formula>5</formula>
    </cfRule>
  </conditionalFormatting>
  <conditionalFormatting sqref="EQ13:EU17">
    <cfRule type="cellIs" priority="219" operator="lessThan" dxfId="0">
      <formula>5</formula>
    </cfRule>
  </conditionalFormatting>
  <conditionalFormatting sqref="EQ18:EU22">
    <cfRule type="cellIs" priority="218" operator="lessThan" dxfId="0">
      <formula>5</formula>
    </cfRule>
  </conditionalFormatting>
  <conditionalFormatting sqref="EQ25:EU28">
    <cfRule type="cellIs" priority="215" operator="lessThan" dxfId="0">
      <formula>5</formula>
    </cfRule>
  </conditionalFormatting>
  <conditionalFormatting sqref="E28:I28 H30:I30 O28:T28 O30:T30 R29:T29">
    <cfRule type="cellIs" priority="122" operator="lessThan" dxfId="0">
      <formula>5</formula>
    </cfRule>
  </conditionalFormatting>
  <conditionalFormatting sqref="AE29:AH31 AJ29:AJ31 AL29:AN31 AU29:BC31 BE29:BZ31 CC29:CR31 CT29:CV31">
    <cfRule type="cellIs" priority="282" operator="lessThan" dxfId="0">
      <formula>5</formula>
    </cfRule>
  </conditionalFormatting>
  <conditionalFormatting sqref="DC29:DF45">
    <cfRule type="cellIs" priority="240" operator="lessThan" dxfId="0">
      <formula>5</formula>
    </cfRule>
  </conditionalFormatting>
  <conditionalFormatting sqref="DH29:DI45">
    <cfRule type="cellIs" priority="242" operator="lessThan" dxfId="0">
      <formula>5</formula>
    </cfRule>
  </conditionalFormatting>
  <conditionalFormatting sqref="DL29:DP45">
    <cfRule type="cellIs" priority="283" operator="lessThan" dxfId="0">
      <formula>5</formula>
    </cfRule>
  </conditionalFormatting>
  <conditionalFormatting sqref="EQ29:EU31">
    <cfRule type="cellIs" priority="291" operator="lessThan" dxfId="0">
      <formula>5</formula>
    </cfRule>
  </conditionalFormatting>
  <conditionalFormatting sqref="GU29:GV45">
    <cfRule type="cellIs" priority="323" operator="lessThan" dxfId="0">
      <formula>5</formula>
    </cfRule>
  </conditionalFormatting>
  <conditionalFormatting sqref="R31:T33">
    <cfRule type="cellIs" priority="121" operator="lessThan" dxfId="0">
      <formula>5</formula>
    </cfRule>
  </conditionalFormatting>
  <conditionalFormatting sqref="AE32:AH34 AJ32:AJ34 AL32:AN34 AU32:BC34 BE32:BZ34 CC32:CR34 CT32:CV34">
    <cfRule type="cellIs" priority="281" operator="lessThan" dxfId="0">
      <formula>5</formula>
    </cfRule>
  </conditionalFormatting>
  <conditionalFormatting sqref="EQ32:EU34">
    <cfRule type="cellIs" priority="290" operator="lessThan" dxfId="0">
      <formula>5</formula>
    </cfRule>
  </conditionalFormatting>
  <conditionalFormatting sqref="Z37:AB37 Z44:AB44 AC33:AD40 AC41:AE45 AE35:AH40 AF41:AH44 AF45:AP45 AJ35:AJ44 AL35:AN44 AU35:BC45 BC46 BE35:BZ45 CC35:CR45 CT35:CV45">
    <cfRule type="cellIs" priority="280" operator="lessThan" dxfId="0">
      <formula>5</formula>
    </cfRule>
  </conditionalFormatting>
  <conditionalFormatting sqref="E37:G37 E40:G40 E44:G45">
    <cfRule type="cellIs" priority="131" operator="lessThan" dxfId="0">
      <formula>5</formula>
    </cfRule>
  </conditionalFormatting>
  <conditionalFormatting sqref="H36:I37 H40:I40 H42:I42 H44:I45 O37:T37 O40:T40 O44:T45 R34:T36 R38:T39 R41:T43">
    <cfRule type="cellIs" priority="120" operator="lessThan" dxfId="0">
      <formula>5</formula>
    </cfRule>
  </conditionalFormatting>
  <conditionalFormatting sqref="EQ35:EU36">
    <cfRule type="cellIs" priority="289" operator="lessThan" dxfId="0">
      <formula>5</formula>
    </cfRule>
  </conditionalFormatting>
  <conditionalFormatting sqref="EQ37:EU40">
    <cfRule type="cellIs" priority="214" operator="lessThan" dxfId="0">
      <formula>5</formula>
    </cfRule>
  </conditionalFormatting>
  <conditionalFormatting sqref="EZ37:FB45">
    <cfRule type="cellIs" priority="279" operator="lessThan" dxfId="0">
      <formula>5</formula>
    </cfRule>
  </conditionalFormatting>
  <conditionalFormatting sqref="EQ41:EU42">
    <cfRule type="cellIs" priority="213" operator="lessThan" dxfId="0">
      <formula>5</formula>
    </cfRule>
  </conditionalFormatting>
  <conditionalFormatting sqref="EQ43:EU44 EQ45:ET45">
    <cfRule type="cellIs" priority="212" operator="lessThan" dxfId="0">
      <formula>5</formula>
    </cfRule>
  </conditionalFormatting>
  <conditionalFormatting sqref="FC46 FE46:FH46">
    <cfRule type="cellIs" priority="330" operator="lessThan" dxfId="0">
      <formula>5</formula>
    </cfRule>
  </conditionalFormatting>
  <conditionalFormatting sqref="M7:N7">
    <cfRule type="cellIs" priority="7" operator="lessThan" dxfId="0">
      <formula>5</formula>
    </cfRule>
  </conditionalFormatting>
  <conditionalFormatting sqref="M8:N45">
    <cfRule type="cellIs" priority="6" operator="lessThan" dxfId="0">
      <formula>5</formula>
    </cfRule>
  </conditionalFormatting>
  <conditionalFormatting sqref="U7:Y45">
    <cfRule type="cellIs" priority="5" operator="lessThan" dxfId="0">
      <formula>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65"/>
  <sheetViews>
    <sheetView zoomScale="70" zoomScaleNormal="70" workbookViewId="0">
      <pane xSplit="4" topLeftCell="E1" activePane="topRight" state="frozen"/>
      <selection pane="topRight" activeCell="Z4" sqref="Z4:BO36"/>
    </sheetView>
  </sheetViews>
  <sheetFormatPr baseColWidth="8" defaultColWidth="9.125" defaultRowHeight="13.5" customHeight="1"/>
  <cols>
    <col width="21" customWidth="1" style="590" min="3" max="3"/>
    <col width="30.875" customWidth="1" style="590" min="4" max="4"/>
    <col width="9.125" customWidth="1" style="590" min="5" max="17"/>
    <col width="18.25" customWidth="1" style="590" min="18" max="18"/>
    <col width="8.5" customWidth="1" style="590" min="24" max="24"/>
    <col width="14.375" customWidth="1" style="590" min="25" max="25"/>
    <col width="7" customWidth="1" style="590" min="26" max="68"/>
  </cols>
  <sheetData>
    <row r="1" ht="25.5" customHeight="1" s="590">
      <c r="A1" s="337" t="inlineStr">
        <is>
          <t>Batch  Spring 2025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592" t="inlineStr">
        <is>
          <t>Attainment of GAs</t>
        </is>
      </c>
      <c r="BR1" s="336" t="inlineStr">
        <is>
          <t>Attainment of Graduate Attribute</t>
        </is>
      </c>
    </row>
    <row r="2" ht="24" customHeight="1" s="590">
      <c r="B2" s="671" t="inlineStr">
        <is>
          <t>Sr. No.</t>
        </is>
      </c>
      <c r="C2" s="341" t="n"/>
      <c r="D2" s="593" t="inlineStr">
        <is>
          <t>Student Name</t>
        </is>
      </c>
      <c r="E2" s="427" t="inlineStr">
        <is>
          <t>Semester 4</t>
        </is>
      </c>
      <c r="F2" s="600" t="n"/>
      <c r="G2" s="600" t="n"/>
      <c r="H2" s="600" t="n"/>
      <c r="I2" s="600" t="n"/>
      <c r="J2" s="600" t="n"/>
      <c r="K2" s="600" t="n"/>
      <c r="L2" s="600" t="n"/>
      <c r="M2" s="600" t="n"/>
      <c r="N2" s="600" t="n"/>
      <c r="O2" s="600" t="n"/>
      <c r="P2" s="600" t="n"/>
      <c r="Q2" s="600" t="n"/>
      <c r="R2" s="600" t="n"/>
      <c r="S2" s="600" t="n"/>
      <c r="T2" s="600" t="n"/>
      <c r="U2" s="600" t="n"/>
      <c r="V2" s="600" t="n"/>
      <c r="W2" s="600" t="n"/>
      <c r="X2" s="600" t="n"/>
      <c r="Y2" s="601" t="n"/>
      <c r="Z2" s="212" t="n"/>
      <c r="AA2" s="212" t="n"/>
      <c r="AB2" s="212" t="n"/>
      <c r="AC2" s="212" t="n"/>
      <c r="AD2" s="212" t="n"/>
      <c r="AE2" s="212" t="n"/>
      <c r="AF2" s="212" t="n"/>
      <c r="AG2" s="212" t="inlineStr">
        <is>
          <t>Semester 5</t>
        </is>
      </c>
      <c r="AH2" s="212" t="n"/>
      <c r="AI2" s="212" t="n"/>
      <c r="AJ2" s="212" t="n"/>
      <c r="AK2" s="212" t="n"/>
      <c r="AL2" s="212" t="n"/>
      <c r="AM2" s="212" t="n"/>
      <c r="AN2" s="212" t="n"/>
      <c r="AO2" s="212" t="n"/>
      <c r="AP2" s="212" t="n"/>
      <c r="AQ2" s="212" t="n"/>
      <c r="AR2" s="212" t="n"/>
      <c r="AS2" s="212" t="n"/>
      <c r="AT2" s="212" t="n"/>
      <c r="AU2" s="212" t="n"/>
      <c r="AV2" s="212" t="n"/>
      <c r="AW2" s="212" t="n"/>
      <c r="AX2" s="212" t="n"/>
      <c r="AY2" s="212" t="n"/>
      <c r="AZ2" s="212" t="n"/>
      <c r="BA2" s="212" t="n"/>
      <c r="BB2" s="212" t="n"/>
      <c r="BC2" s="212" t="n"/>
      <c r="BD2" s="212" t="n"/>
      <c r="BE2" s="212" t="n"/>
      <c r="BF2" s="212" t="n"/>
      <c r="BG2" s="212" t="n"/>
      <c r="BH2" s="212" t="n"/>
      <c r="BI2" s="212" t="n"/>
      <c r="BJ2" s="212" t="n"/>
      <c r="BK2" s="212" t="n"/>
      <c r="BL2" s="212" t="n"/>
      <c r="BM2" s="212" t="n"/>
      <c r="BN2" s="212" t="n"/>
      <c r="BO2" s="212" t="n"/>
      <c r="BP2" s="212" t="n"/>
      <c r="BQ2" s="606" t="n"/>
      <c r="BR2" s="607" t="n"/>
      <c r="BS2" s="607" t="n"/>
      <c r="BT2" s="607" t="n"/>
      <c r="BU2" s="607" t="n"/>
      <c r="BV2" s="607" t="n"/>
      <c r="BW2" s="607" t="n"/>
      <c r="BX2" s="607" t="n"/>
      <c r="BY2" s="607" t="n"/>
      <c r="BZ2" s="607" t="n"/>
      <c r="CA2" s="607" t="n"/>
    </row>
    <row r="3" ht="45" customHeight="1" s="590">
      <c r="B3" s="606" t="n"/>
      <c r="C3" s="342" t="n"/>
      <c r="D3" s="608" t="n"/>
      <c r="E3" s="472" t="inlineStr">
        <is>
          <t>OPERATING SYSTEMS</t>
        </is>
      </c>
      <c r="F3" s="609" t="n"/>
      <c r="G3" s="609" t="n"/>
      <c r="H3" s="609" t="n"/>
      <c r="I3" s="609" t="n"/>
      <c r="J3" s="619" t="inlineStr">
        <is>
          <t>PROGRAMMING FOR AI</t>
        </is>
      </c>
      <c r="K3" s="609" t="n"/>
      <c r="L3" s="609" t="n"/>
      <c r="M3" s="609" t="n"/>
      <c r="N3" s="609" t="n"/>
      <c r="O3" s="611" t="n"/>
      <c r="P3" s="620" t="inlineStr">
        <is>
          <t>LINEAR ALGEBRA</t>
        </is>
      </c>
      <c r="Q3" s="609" t="n"/>
      <c r="R3" s="611" t="n"/>
      <c r="S3" s="451" t="inlineStr">
        <is>
          <t>ANALYSIS OF ALGORITHMS</t>
        </is>
      </c>
      <c r="T3" s="609" t="n"/>
      <c r="U3" s="609" t="n"/>
      <c r="V3" s="609" t="n"/>
      <c r="W3" s="451" t="inlineStr">
        <is>
          <t>TECHNICAL &amp; BUSINESS WRITING</t>
        </is>
      </c>
      <c r="X3" s="609" t="n"/>
      <c r="Y3" s="609" t="n"/>
      <c r="Z3" s="692" t="n"/>
      <c r="AA3" s="693" t="n"/>
      <c r="AB3" s="693" t="n"/>
      <c r="AC3" s="693" t="n"/>
      <c r="AD3" s="694" t="n"/>
      <c r="AE3" s="619" t="n"/>
      <c r="AF3" s="609" t="n"/>
      <c r="AG3" s="609" t="n"/>
      <c r="AH3" s="609" t="n"/>
      <c r="AI3" s="609" t="n"/>
      <c r="AJ3" s="611" t="n"/>
      <c r="AK3" s="620" t="n"/>
      <c r="AL3" s="609" t="n"/>
      <c r="AM3" s="611" t="n"/>
      <c r="AN3" s="692" t="n"/>
      <c r="AO3" s="693" t="n"/>
      <c r="AP3" s="693" t="n"/>
      <c r="AQ3" s="693" t="n"/>
      <c r="AR3" s="694" t="n"/>
      <c r="AS3" s="619" t="n"/>
      <c r="AT3" s="609" t="n"/>
      <c r="AU3" s="609" t="n"/>
      <c r="AV3" s="609" t="n"/>
      <c r="AW3" s="609" t="n"/>
      <c r="AX3" s="611" t="n"/>
      <c r="AY3" s="620" t="n"/>
      <c r="AZ3" s="609" t="n"/>
      <c r="BA3" s="611" t="n"/>
      <c r="BB3" s="692" t="n"/>
      <c r="BC3" s="693" t="n"/>
      <c r="BD3" s="693" t="n"/>
      <c r="BE3" s="693" t="n"/>
      <c r="BF3" s="694" t="n"/>
      <c r="BG3" s="619" t="n"/>
      <c r="BH3" s="609" t="n"/>
      <c r="BI3" s="609" t="n"/>
      <c r="BJ3" s="609" t="n"/>
      <c r="BK3" s="609" t="n"/>
      <c r="BL3" s="611" t="n"/>
      <c r="BM3" s="620" t="n"/>
      <c r="BN3" s="609" t="n"/>
      <c r="BO3" s="611" t="n"/>
      <c r="BP3" s="312" t="n"/>
      <c r="BQ3" s="606" t="n"/>
      <c r="BR3" s="109" t="n"/>
      <c r="BS3" s="109" t="n"/>
      <c r="BT3" s="109" t="n"/>
      <c r="BU3" s="109" t="n"/>
      <c r="BV3" s="109" t="n"/>
      <c r="BW3" s="109" t="n"/>
      <c r="BX3" s="109" t="n"/>
      <c r="BY3" s="109" t="n"/>
      <c r="BZ3" s="109" t="n"/>
      <c r="CA3" s="109" t="n"/>
    </row>
    <row r="4" ht="24" customHeight="1" s="590">
      <c r="B4" s="606" t="n"/>
      <c r="C4" s="342" t="n"/>
      <c r="D4" s="608" t="n"/>
      <c r="E4" s="110" t="inlineStr">
        <is>
          <t>CLO 1</t>
        </is>
      </c>
      <c r="F4" s="111" t="inlineStr">
        <is>
          <t>CLO 2</t>
        </is>
      </c>
      <c r="G4" s="111" t="inlineStr">
        <is>
          <t>CLO 3</t>
        </is>
      </c>
      <c r="H4" s="111" t="inlineStr">
        <is>
          <t xml:space="preserve">CLO </t>
        </is>
      </c>
      <c r="I4" s="111" t="inlineStr">
        <is>
          <t>CLO 2</t>
        </is>
      </c>
      <c r="J4" s="110" t="inlineStr">
        <is>
          <t>CLO 1</t>
        </is>
      </c>
      <c r="K4" s="111" t="inlineStr">
        <is>
          <t>CLO 2</t>
        </is>
      </c>
      <c r="L4" s="111" t="inlineStr">
        <is>
          <t>CLO 3</t>
        </is>
      </c>
      <c r="M4" s="112" t="inlineStr">
        <is>
          <t>CLO 4</t>
        </is>
      </c>
      <c r="N4" s="112" t="inlineStr">
        <is>
          <t>CLO1</t>
        </is>
      </c>
      <c r="O4" s="111" t="inlineStr">
        <is>
          <t>CLO 2</t>
        </is>
      </c>
      <c r="P4" s="111" t="inlineStr">
        <is>
          <t>CLO 1</t>
        </is>
      </c>
      <c r="Q4" s="111" t="inlineStr">
        <is>
          <t>CLO 2</t>
        </is>
      </c>
      <c r="R4" s="110" t="inlineStr">
        <is>
          <t>CLO 3</t>
        </is>
      </c>
      <c r="S4" s="110" t="inlineStr">
        <is>
          <t>CLO 1</t>
        </is>
      </c>
      <c r="T4" s="111" t="inlineStr">
        <is>
          <t>CLO 2</t>
        </is>
      </c>
      <c r="U4" s="111" t="inlineStr">
        <is>
          <t>CLO 3</t>
        </is>
      </c>
      <c r="V4" s="111" t="n"/>
      <c r="W4" s="110" t="inlineStr">
        <is>
          <t>CLO 1</t>
        </is>
      </c>
      <c r="X4" s="111" t="inlineStr">
        <is>
          <t>CLO 2</t>
        </is>
      </c>
      <c r="Y4" s="7" t="inlineStr">
        <is>
          <t>CLO 3</t>
        </is>
      </c>
      <c r="Z4" s="285" t="n"/>
      <c r="AA4" s="285" t="n"/>
      <c r="AB4" s="285" t="n"/>
      <c r="AC4" s="285" t="n"/>
      <c r="AD4" s="285" t="n"/>
      <c r="AE4" s="110" t="n"/>
      <c r="AF4" s="111" t="n"/>
      <c r="AG4" s="111" t="n"/>
      <c r="AH4" s="112" t="n"/>
      <c r="AI4" s="112" t="n"/>
      <c r="AJ4" s="111" t="n"/>
      <c r="AK4" s="111" t="n"/>
      <c r="AL4" s="111" t="n"/>
      <c r="AM4" s="110" t="n"/>
      <c r="AN4" s="285" t="n"/>
      <c r="AO4" s="285" t="n"/>
      <c r="AP4" s="285" t="n"/>
      <c r="AQ4" s="285" t="n"/>
      <c r="AR4" s="285" t="n"/>
      <c r="AS4" s="110" t="n"/>
      <c r="AT4" s="111" t="n"/>
      <c r="AU4" s="111" t="n"/>
      <c r="AV4" s="112" t="n"/>
      <c r="AW4" s="112" t="n"/>
      <c r="AX4" s="111" t="n"/>
      <c r="AY4" s="111" t="n"/>
      <c r="AZ4" s="111" t="n"/>
      <c r="BA4" s="110" t="n"/>
      <c r="BB4" s="285" t="n"/>
      <c r="BC4" s="285" t="n"/>
      <c r="BD4" s="285" t="n"/>
      <c r="BE4" s="285" t="n"/>
      <c r="BF4" s="285" t="n"/>
      <c r="BG4" s="110" t="n"/>
      <c r="BH4" s="111" t="n"/>
      <c r="BI4" s="111" t="n"/>
      <c r="BJ4" s="112" t="n"/>
      <c r="BK4" s="112" t="n"/>
      <c r="BL4" s="111" t="n"/>
      <c r="BM4" s="111" t="n"/>
      <c r="BN4" s="111" t="n"/>
      <c r="BO4" s="110" t="n"/>
      <c r="BP4" s="313" t="n"/>
      <c r="BQ4" s="606" t="n"/>
      <c r="BR4" s="646" t="inlineStr">
        <is>
          <t>GA1</t>
        </is>
      </c>
      <c r="BS4" s="646" t="inlineStr">
        <is>
          <t>GA2</t>
        </is>
      </c>
      <c r="BT4" s="646" t="inlineStr">
        <is>
          <t>GA3</t>
        </is>
      </c>
      <c r="BU4" s="646" t="inlineStr">
        <is>
          <t>GA4</t>
        </is>
      </c>
      <c r="BV4" s="646" t="inlineStr">
        <is>
          <t>GA5</t>
        </is>
      </c>
      <c r="BW4" s="646" t="inlineStr">
        <is>
          <t>GA6</t>
        </is>
      </c>
      <c r="BX4" s="646" t="inlineStr">
        <is>
          <t>GA7</t>
        </is>
      </c>
      <c r="BY4" s="646" t="inlineStr">
        <is>
          <t>GA8</t>
        </is>
      </c>
      <c r="BZ4" s="646" t="inlineStr">
        <is>
          <t>GA9</t>
        </is>
      </c>
      <c r="CA4" s="646" t="inlineStr">
        <is>
          <t>GA10</t>
        </is>
      </c>
    </row>
    <row r="5" ht="24" customHeight="1" s="590">
      <c r="B5" s="606" t="n"/>
      <c r="C5" s="342" t="n"/>
      <c r="D5" s="608" t="n"/>
      <c r="E5" s="418" t="inlineStr">
        <is>
          <t>Theory</t>
        </is>
      </c>
      <c r="F5" s="603" t="n"/>
      <c r="G5" s="603" t="n"/>
      <c r="H5" s="489" t="inlineStr">
        <is>
          <t>Lab</t>
        </is>
      </c>
      <c r="I5" s="648" t="n"/>
      <c r="J5" s="418" t="inlineStr">
        <is>
          <t>Theory</t>
        </is>
      </c>
      <c r="K5" s="603" t="n"/>
      <c r="L5" s="603" t="n"/>
      <c r="M5" s="603" t="n"/>
      <c r="N5" s="384" t="inlineStr">
        <is>
          <t>Lab</t>
        </is>
      </c>
      <c r="O5" s="591" t="n"/>
      <c r="P5" s="647" t="inlineStr">
        <is>
          <t>Theory</t>
        </is>
      </c>
      <c r="Q5" s="603" t="n"/>
      <c r="R5" s="648" t="n"/>
      <c r="S5" s="383" t="inlineStr">
        <is>
          <t>Theory</t>
        </is>
      </c>
      <c r="W5" s="418" t="inlineStr">
        <is>
          <t>Theory</t>
        </is>
      </c>
      <c r="X5" s="603" t="n"/>
      <c r="Y5" s="603" t="n"/>
      <c r="Z5" s="556" t="n"/>
      <c r="AA5" s="695" t="n"/>
      <c r="AB5" s="695" t="n"/>
      <c r="AC5" s="695" t="n"/>
      <c r="AD5" s="696" t="n"/>
      <c r="AE5" s="418" t="n"/>
      <c r="AF5" s="603" t="n"/>
      <c r="AG5" s="603" t="n"/>
      <c r="AH5" s="603" t="n"/>
      <c r="AI5" s="384" t="n"/>
      <c r="AJ5" s="591" t="n"/>
      <c r="AK5" s="647" t="n"/>
      <c r="AL5" s="603" t="n"/>
      <c r="AM5" s="648" t="n"/>
      <c r="AN5" s="556" t="n"/>
      <c r="AO5" s="695" t="n"/>
      <c r="AP5" s="695" t="n"/>
      <c r="AQ5" s="695" t="n"/>
      <c r="AR5" s="696" t="n"/>
      <c r="AS5" s="418" t="n"/>
      <c r="AT5" s="603" t="n"/>
      <c r="AU5" s="603" t="n"/>
      <c r="AV5" s="603" t="n"/>
      <c r="AW5" s="384" t="n"/>
      <c r="AX5" s="591" t="n"/>
      <c r="AY5" s="647" t="n"/>
      <c r="AZ5" s="603" t="n"/>
      <c r="BA5" s="648" t="n"/>
      <c r="BB5" s="556" t="n"/>
      <c r="BC5" s="695" t="n"/>
      <c r="BD5" s="695" t="n"/>
      <c r="BE5" s="695" t="n"/>
      <c r="BF5" s="696" t="n"/>
      <c r="BG5" s="418" t="n"/>
      <c r="BH5" s="603" t="n"/>
      <c r="BI5" s="603" t="n"/>
      <c r="BJ5" s="603" t="n"/>
      <c r="BK5" s="384" t="n"/>
      <c r="BL5" s="591" t="n"/>
      <c r="BM5" s="647" t="n"/>
      <c r="BN5" s="603" t="n"/>
      <c r="BO5" s="648" t="n"/>
      <c r="BP5" s="384" t="n"/>
      <c r="BQ5" s="606" t="n"/>
      <c r="BR5" s="606" t="n"/>
      <c r="BS5" s="606" t="n"/>
      <c r="BT5" s="606" t="n"/>
      <c r="BU5" s="606" t="n"/>
      <c r="BV5" s="606" t="n"/>
      <c r="BW5" s="606" t="n"/>
      <c r="BX5" s="606" t="n"/>
      <c r="BY5" s="606" t="n"/>
      <c r="BZ5" s="606" t="n"/>
      <c r="CA5" s="606" t="n"/>
    </row>
    <row r="6" ht="24" customHeight="1" s="590">
      <c r="B6" s="652" t="n"/>
      <c r="C6" s="343" t="n"/>
      <c r="D6" s="650" t="n"/>
      <c r="E6" s="123" t="inlineStr">
        <is>
          <t>GA 2</t>
        </is>
      </c>
      <c r="F6" s="124" t="inlineStr">
        <is>
          <t>GA 2</t>
        </is>
      </c>
      <c r="G6" s="124" t="inlineStr">
        <is>
          <t>GA 3</t>
        </is>
      </c>
      <c r="H6" s="124" t="inlineStr">
        <is>
          <t>GA 5</t>
        </is>
      </c>
      <c r="I6" s="124" t="inlineStr">
        <is>
          <t>GA 5</t>
        </is>
      </c>
      <c r="J6" s="123" t="inlineStr">
        <is>
          <t>GA2</t>
        </is>
      </c>
      <c r="K6" s="124" t="inlineStr">
        <is>
          <t>GA3</t>
        </is>
      </c>
      <c r="L6" s="124" t="inlineStr">
        <is>
          <t>GA3</t>
        </is>
      </c>
      <c r="M6" s="124" t="inlineStr">
        <is>
          <t>GA3</t>
        </is>
      </c>
      <c r="N6" s="373" t="inlineStr">
        <is>
          <t>GA 1</t>
        </is>
      </c>
      <c r="O6" s="89" t="inlineStr">
        <is>
          <t>GA5</t>
        </is>
      </c>
      <c r="P6" s="361" t="inlineStr">
        <is>
          <t>GA 1</t>
        </is>
      </c>
      <c r="Q6" s="361" t="inlineStr">
        <is>
          <t>GA 1</t>
        </is>
      </c>
      <c r="R6" s="130" t="inlineStr">
        <is>
          <t>GA3</t>
        </is>
      </c>
      <c r="S6" s="383" t="inlineStr">
        <is>
          <t>GA2</t>
        </is>
      </c>
      <c r="T6" s="124" t="inlineStr">
        <is>
          <t>GA3</t>
        </is>
      </c>
      <c r="U6" s="124" t="inlineStr">
        <is>
          <t>GA4</t>
        </is>
      </c>
      <c r="V6" s="124" t="n"/>
      <c r="W6" s="275" t="inlineStr">
        <is>
          <t>GA 2</t>
        </is>
      </c>
      <c r="X6" s="275" t="inlineStr">
        <is>
          <t>GA 3</t>
        </is>
      </c>
      <c r="Y6" s="275" t="inlineStr">
        <is>
          <t>GA 3</t>
        </is>
      </c>
      <c r="Z6" s="363" t="n"/>
      <c r="AA6" s="363" t="n"/>
      <c r="AB6" s="363" t="n"/>
      <c r="AC6" s="363" t="n"/>
      <c r="AD6" s="363" t="n"/>
      <c r="AE6" s="123" t="n"/>
      <c r="AF6" s="124" t="n"/>
      <c r="AG6" s="124" t="n"/>
      <c r="AH6" s="124" t="n"/>
      <c r="AI6" s="373" t="n"/>
      <c r="AJ6" s="89" t="n"/>
      <c r="AK6" s="361" t="n"/>
      <c r="AL6" s="361" t="n"/>
      <c r="AM6" s="130" t="n"/>
      <c r="AN6" s="363" t="n"/>
      <c r="AO6" s="363" t="n"/>
      <c r="AP6" s="363" t="n"/>
      <c r="AQ6" s="363" t="n"/>
      <c r="AR6" s="363" t="n"/>
      <c r="AS6" s="123" t="n"/>
      <c r="AT6" s="124" t="n"/>
      <c r="AU6" s="124" t="n"/>
      <c r="AV6" s="124" t="n"/>
      <c r="AW6" s="373" t="n"/>
      <c r="AX6" s="89" t="n"/>
      <c r="AY6" s="361" t="n"/>
      <c r="AZ6" s="361" t="n"/>
      <c r="BA6" s="130" t="n"/>
      <c r="BB6" s="363" t="n"/>
      <c r="BC6" s="363" t="n"/>
      <c r="BD6" s="363" t="n"/>
      <c r="BE6" s="363" t="n"/>
      <c r="BF6" s="363" t="n"/>
      <c r="BG6" s="123" t="n"/>
      <c r="BH6" s="124" t="n"/>
      <c r="BI6" s="124" t="n"/>
      <c r="BJ6" s="124" t="n"/>
      <c r="BK6" s="373" t="n"/>
      <c r="BL6" s="89" t="n"/>
      <c r="BM6" s="361" t="n"/>
      <c r="BN6" s="361" t="n"/>
      <c r="BO6" s="130" t="n"/>
      <c r="BP6" s="363" t="n"/>
      <c r="BQ6" s="606" t="n"/>
      <c r="BR6" s="652" t="n"/>
      <c r="BS6" s="652" t="n"/>
      <c r="BT6" s="652" t="n"/>
      <c r="BU6" s="652" t="n"/>
      <c r="BV6" s="652" t="n"/>
      <c r="BW6" s="652" t="n"/>
      <c r="BX6" s="652" t="n"/>
      <c r="BY6" s="652" t="n"/>
      <c r="BZ6" s="652" t="n"/>
      <c r="CA6" s="652" t="n"/>
    </row>
    <row r="7" ht="18" customHeight="1" s="590">
      <c r="B7" s="12" t="n">
        <v>1</v>
      </c>
      <c r="C7" s="13" t="inlineStr">
        <is>
          <t>052-24-124020</t>
        </is>
      </c>
      <c r="D7" s="14" t="inlineStr">
        <is>
          <t>ABDULLAH NASIR</t>
        </is>
      </c>
      <c r="E7" s="213" t="n"/>
      <c r="F7" s="214" t="n"/>
      <c r="G7" s="286" t="n"/>
      <c r="H7" s="214" t="n"/>
      <c r="I7" s="286" t="n"/>
      <c r="J7" s="114" t="n"/>
      <c r="K7" s="114" t="n"/>
      <c r="L7" s="114" t="n"/>
      <c r="M7" s="583" t="n"/>
      <c r="N7" s="583" t="n"/>
      <c r="O7" s="511" t="n"/>
      <c r="P7" s="114" t="n">
        <v>0</v>
      </c>
      <c r="Q7" s="546" t="n">
        <v>40</v>
      </c>
      <c r="R7" s="546" t="n">
        <v>40</v>
      </c>
      <c r="S7" s="284" t="n">
        <v>0</v>
      </c>
      <c r="T7" s="546" t="n">
        <v>0</v>
      </c>
      <c r="U7" s="546" t="n">
        <v>0</v>
      </c>
      <c r="V7" s="583" t="n"/>
      <c r="W7" s="276" t="n"/>
      <c r="X7" s="246" t="n"/>
      <c r="Y7" s="277" t="n"/>
      <c r="Z7" s="546" t="n"/>
      <c r="AA7" s="546" t="n"/>
      <c r="AB7" s="546" t="n"/>
      <c r="AC7" s="546" t="n"/>
      <c r="AD7" s="546" t="n"/>
      <c r="AE7" s="114" t="n"/>
      <c r="AF7" s="114" t="n"/>
      <c r="AG7" s="114" t="n"/>
      <c r="AH7" s="583" t="n"/>
      <c r="AI7" s="583" t="n"/>
      <c r="AJ7" s="511" t="n"/>
      <c r="AK7" s="114" t="n"/>
      <c r="AL7" s="546" t="n"/>
      <c r="AM7" s="546" t="n"/>
      <c r="AN7" s="546" t="n"/>
      <c r="AO7" s="546" t="n"/>
      <c r="AP7" s="546" t="n"/>
      <c r="AQ7" s="546" t="n"/>
      <c r="AR7" s="546" t="n"/>
      <c r="AS7" s="114" t="n"/>
      <c r="AT7" s="114" t="n"/>
      <c r="AU7" s="114" t="n"/>
      <c r="AV7" s="583" t="n"/>
      <c r="AW7" s="583" t="n"/>
      <c r="AX7" s="511" t="n"/>
      <c r="AY7" s="114" t="n"/>
      <c r="AZ7" s="546" t="n"/>
      <c r="BA7" s="546" t="n"/>
      <c r="BB7" s="546" t="n"/>
      <c r="BC7" s="546" t="n"/>
      <c r="BD7" s="546" t="n"/>
      <c r="BE7" s="546" t="n"/>
      <c r="BF7" s="546" t="n"/>
      <c r="BG7" s="114" t="n"/>
      <c r="BH7" s="114" t="n"/>
      <c r="BI7" s="114" t="n"/>
      <c r="BJ7" s="583" t="n"/>
      <c r="BK7" s="583" t="n"/>
      <c r="BL7" s="511" t="n"/>
      <c r="BM7" s="114" t="n"/>
      <c r="BN7" s="546" t="n"/>
      <c r="BO7" s="546" t="n"/>
      <c r="BP7" s="314" t="n"/>
      <c r="BQ7" s="606" t="n"/>
      <c r="BR7" s="65">
        <f>AVERAGE(S8,N7)</f>
        <v/>
      </c>
      <c r="BS7" s="66">
        <f>AVERAGE(W7,R7,J7,F7,E7)</f>
        <v/>
      </c>
      <c r="BT7" s="66">
        <f>AVERAGE(G8,K8,L8,M8,R7,T7,X7,Y7,AA7,AB7)</f>
        <v/>
      </c>
      <c r="BU7" s="66">
        <f>AVERAGE(U7)</f>
        <v/>
      </c>
      <c r="BV7" s="66">
        <f>AVERAGE(0)</f>
        <v/>
      </c>
      <c r="BW7" s="66" t="n"/>
      <c r="BX7" s="66" t="n"/>
      <c r="BY7" s="66" t="n"/>
      <c r="BZ7" s="66" t="n"/>
      <c r="CA7" s="66" t="n"/>
    </row>
    <row r="8" ht="18" customHeight="1" s="590">
      <c r="B8" s="12" t="n">
        <v>2</v>
      </c>
      <c r="C8" s="13" t="inlineStr">
        <is>
          <t>052-24-124021</t>
        </is>
      </c>
      <c r="D8" s="14" t="inlineStr">
        <is>
          <t>MUHAMMAD ALI RAZA</t>
        </is>
      </c>
      <c r="E8" s="216" t="n">
        <v>56</v>
      </c>
      <c r="F8" s="217" t="n">
        <v>91.67</v>
      </c>
      <c r="G8" s="217" t="n">
        <v>80.04000000000001</v>
      </c>
      <c r="H8" s="218" t="n">
        <v>74.01000000000001</v>
      </c>
      <c r="I8" s="219" t="n">
        <v>74.42</v>
      </c>
      <c r="J8" s="114" t="n">
        <v>85.67</v>
      </c>
      <c r="K8" s="114" t="n">
        <v>87.92</v>
      </c>
      <c r="L8" s="114" t="n">
        <v>92.78</v>
      </c>
      <c r="M8" s="114" t="n">
        <v>103.33</v>
      </c>
      <c r="N8" s="218" t="n">
        <v>90</v>
      </c>
      <c r="O8" s="219" t="n">
        <v>96.36</v>
      </c>
      <c r="P8" s="114" t="n">
        <v>40</v>
      </c>
      <c r="Q8" s="546" t="n">
        <v>20</v>
      </c>
      <c r="R8" s="546" t="n">
        <v>20</v>
      </c>
      <c r="S8" s="232" t="n">
        <v>81.94</v>
      </c>
      <c r="T8" s="234" t="n">
        <v>77.5</v>
      </c>
      <c r="U8" s="234" t="n">
        <v>89.72</v>
      </c>
      <c r="V8" s="583" t="n"/>
      <c r="W8" s="276" t="n">
        <v>88.89</v>
      </c>
      <c r="X8" s="246" t="n">
        <v>77.23999999999999</v>
      </c>
      <c r="Y8" s="277" t="n">
        <v>90</v>
      </c>
      <c r="Z8" s="246" t="n"/>
      <c r="AA8" s="246" t="n"/>
      <c r="AB8" s="246" t="n"/>
      <c r="AC8" s="246" t="n"/>
      <c r="AD8" s="246" t="n"/>
      <c r="AE8" s="114" t="n"/>
      <c r="AF8" s="114" t="n"/>
      <c r="AG8" s="114" t="n"/>
      <c r="AH8" s="114" t="n"/>
      <c r="AI8" s="218" t="n"/>
      <c r="AJ8" s="219" t="n"/>
      <c r="AK8" s="114" t="n"/>
      <c r="AL8" s="546" t="n"/>
      <c r="AM8" s="546" t="n"/>
      <c r="AN8" s="246" t="n"/>
      <c r="AO8" s="246" t="n"/>
      <c r="AP8" s="246" t="n"/>
      <c r="AQ8" s="246" t="n"/>
      <c r="AR8" s="246" t="n"/>
      <c r="AS8" s="114" t="n"/>
      <c r="AT8" s="114" t="n"/>
      <c r="AU8" s="114" t="n"/>
      <c r="AV8" s="114" t="n"/>
      <c r="AW8" s="218" t="n"/>
      <c r="AX8" s="219" t="n"/>
      <c r="AY8" s="114" t="n"/>
      <c r="AZ8" s="546" t="n"/>
      <c r="BA8" s="546" t="n"/>
      <c r="BB8" s="246" t="n"/>
      <c r="BC8" s="246" t="n"/>
      <c r="BD8" s="246" t="n"/>
      <c r="BE8" s="246" t="n"/>
      <c r="BF8" s="246" t="n"/>
      <c r="BG8" s="114" t="n"/>
      <c r="BH8" s="114" t="n"/>
      <c r="BI8" s="114" t="n"/>
      <c r="BJ8" s="114" t="n"/>
      <c r="BK8" s="218" t="n"/>
      <c r="BL8" s="219" t="n"/>
      <c r="BM8" s="114" t="n"/>
      <c r="BN8" s="546" t="n"/>
      <c r="BO8" s="546" t="n"/>
      <c r="BP8" s="315" t="n"/>
      <c r="BQ8" s="606" t="n"/>
      <c r="BR8" s="65">
        <f>AVERAGE(S9,N8)</f>
        <v/>
      </c>
      <c r="BS8" s="66">
        <f>AVERAGE(W8,R8,J8,F8,E8)</f>
        <v/>
      </c>
      <c r="BT8" s="66">
        <f>AVERAGE(G9,K9,L9,M9,R8,T8,X8,Y8,AA8,AB8)</f>
        <v/>
      </c>
      <c r="BU8" s="66">
        <f>AVERAGE(U8)</f>
        <v/>
      </c>
      <c r="BV8" s="66">
        <f>AVERAGE(V8,O8,I8,H8)</f>
        <v/>
      </c>
      <c r="BW8" s="66" t="n"/>
      <c r="BX8" s="66" t="n"/>
      <c r="BY8" s="66" t="n"/>
      <c r="BZ8" s="66" t="n"/>
      <c r="CA8" s="66" t="n"/>
    </row>
    <row r="9" ht="18" customHeight="1" s="590">
      <c r="B9" s="12" t="n">
        <v>3</v>
      </c>
      <c r="C9" s="13" t="inlineStr">
        <is>
          <t>052-24-124024</t>
        </is>
      </c>
      <c r="D9" s="14" t="inlineStr">
        <is>
          <t>KAYNAT BIBI</t>
        </is>
      </c>
      <c r="E9" s="216" t="n">
        <v>55</v>
      </c>
      <c r="F9" s="217" t="n">
        <v>75</v>
      </c>
      <c r="G9" s="217" t="n">
        <v>88.84</v>
      </c>
      <c r="H9" s="218" t="n">
        <v>82.01000000000001</v>
      </c>
      <c r="I9" s="219" t="n">
        <v>79.88</v>
      </c>
      <c r="J9" s="114" t="n">
        <v>84.5</v>
      </c>
      <c r="K9" s="114" t="n">
        <v>82.08</v>
      </c>
      <c r="L9" s="114" t="n">
        <v>73.61</v>
      </c>
      <c r="M9" s="114" t="n">
        <v>107.78</v>
      </c>
      <c r="N9" s="218" t="n">
        <v>86.67</v>
      </c>
      <c r="O9" s="219" t="n">
        <v>87.27</v>
      </c>
      <c r="P9" s="114" t="n">
        <v>40</v>
      </c>
      <c r="Q9" s="546" t="n">
        <v>40</v>
      </c>
      <c r="R9" s="546" t="n">
        <v>80</v>
      </c>
      <c r="S9" s="232" t="n">
        <v>79.44</v>
      </c>
      <c r="T9" s="234" t="n">
        <v>70</v>
      </c>
      <c r="U9" s="234" t="n">
        <v>79.72</v>
      </c>
      <c r="V9" s="583" t="n"/>
      <c r="W9" s="276" t="n">
        <v>88.33</v>
      </c>
      <c r="X9" s="246" t="n">
        <v>79.23999999999999</v>
      </c>
      <c r="Y9" s="277" t="n">
        <v>87.78</v>
      </c>
      <c r="Z9" s="246" t="n"/>
      <c r="AA9" s="246" t="n"/>
      <c r="AB9" s="246" t="n"/>
      <c r="AC9" s="246" t="n"/>
      <c r="AD9" s="246" t="n"/>
      <c r="AE9" s="114" t="n"/>
      <c r="AF9" s="114" t="n"/>
      <c r="AG9" s="114" t="n"/>
      <c r="AH9" s="114" t="n"/>
      <c r="AI9" s="218" t="n"/>
      <c r="AJ9" s="219" t="n"/>
      <c r="AK9" s="114" t="n"/>
      <c r="AL9" s="546" t="n"/>
      <c r="AM9" s="546" t="n"/>
      <c r="AN9" s="246" t="n"/>
      <c r="AO9" s="246" t="n"/>
      <c r="AP9" s="246" t="n"/>
      <c r="AQ9" s="246" t="n"/>
      <c r="AR9" s="246" t="n"/>
      <c r="AS9" s="114" t="n"/>
      <c r="AT9" s="114" t="n"/>
      <c r="AU9" s="114" t="n"/>
      <c r="AV9" s="114" t="n"/>
      <c r="AW9" s="218" t="n"/>
      <c r="AX9" s="219" t="n"/>
      <c r="AY9" s="114" t="n"/>
      <c r="AZ9" s="546" t="n"/>
      <c r="BA9" s="546" t="n"/>
      <c r="BB9" s="246" t="n"/>
      <c r="BC9" s="246" t="n"/>
      <c r="BD9" s="246" t="n"/>
      <c r="BE9" s="246" t="n"/>
      <c r="BF9" s="246" t="n"/>
      <c r="BG9" s="114" t="n"/>
      <c r="BH9" s="114" t="n"/>
      <c r="BI9" s="114" t="n"/>
      <c r="BJ9" s="114" t="n"/>
      <c r="BK9" s="218" t="n"/>
      <c r="BL9" s="219" t="n"/>
      <c r="BM9" s="114" t="n"/>
      <c r="BN9" s="546" t="n"/>
      <c r="BO9" s="546" t="n"/>
      <c r="BP9" s="315" t="n"/>
      <c r="BQ9" s="606" t="n"/>
      <c r="BR9" s="65">
        <f>AVERAGE(S10,N9)</f>
        <v/>
      </c>
      <c r="BS9" s="66">
        <f>AVERAGE(W9,R9,J9,F9,E9)</f>
        <v/>
      </c>
      <c r="BT9" s="66">
        <f>AVERAGE(G10,K10,L10,M10,R9,T9,X9,Y9,AA9,AB9)</f>
        <v/>
      </c>
      <c r="BU9" s="66">
        <f>AVERAGE(U9)</f>
        <v/>
      </c>
      <c r="BV9" s="66">
        <f>AVERAGE(V9,O9,I9,H9)</f>
        <v/>
      </c>
      <c r="BW9" s="66" t="n"/>
      <c r="BX9" s="66" t="n"/>
      <c r="BY9" s="66" t="n"/>
      <c r="BZ9" s="66" t="n"/>
      <c r="CA9" s="66" t="n"/>
    </row>
    <row r="10" ht="18" customHeight="1" s="590">
      <c r="B10" s="12" t="n">
        <v>4</v>
      </c>
      <c r="C10" s="13" t="inlineStr">
        <is>
          <t>052-24-124031</t>
        </is>
      </c>
      <c r="D10" s="14" t="inlineStr">
        <is>
          <t>SYED UMAIR HUSSAIN SHAH</t>
        </is>
      </c>
      <c r="E10" s="216" t="n">
        <v>67</v>
      </c>
      <c r="F10" s="217" t="n">
        <v>92.5</v>
      </c>
      <c r="G10" s="217" t="n">
        <v>92.98</v>
      </c>
      <c r="H10" s="218" t="n">
        <v>80.2</v>
      </c>
      <c r="I10" s="219" t="n">
        <v>73.58</v>
      </c>
      <c r="J10" s="114" t="n">
        <v>80.33</v>
      </c>
      <c r="K10" s="114" t="n">
        <v>80.83</v>
      </c>
      <c r="L10" s="114" t="n">
        <v>97.22</v>
      </c>
      <c r="M10" s="114" t="n">
        <v>103.33</v>
      </c>
      <c r="N10" s="218" t="n">
        <v>93.33</v>
      </c>
      <c r="O10" s="219" t="n">
        <v>96.06</v>
      </c>
      <c r="P10" s="114" t="n">
        <v>70</v>
      </c>
      <c r="Q10" s="546" t="n">
        <v>80</v>
      </c>
      <c r="R10" s="546" t="n">
        <v>40</v>
      </c>
      <c r="S10" s="232" t="n">
        <v>90</v>
      </c>
      <c r="T10" s="234" t="n">
        <v>91.25</v>
      </c>
      <c r="U10" s="234" t="n">
        <v>88.33</v>
      </c>
      <c r="V10" s="583" t="n"/>
      <c r="W10" s="276" t="n">
        <v>90.56</v>
      </c>
      <c r="X10" s="246" t="n">
        <v>85.81</v>
      </c>
      <c r="Y10" s="277" t="n">
        <v>91.67</v>
      </c>
      <c r="Z10" s="246" t="n"/>
      <c r="AA10" s="246" t="n"/>
      <c r="AB10" s="246" t="n"/>
      <c r="AC10" s="246" t="n"/>
      <c r="AD10" s="246" t="n"/>
      <c r="AE10" s="114" t="n"/>
      <c r="AF10" s="114" t="n"/>
      <c r="AG10" s="114" t="n"/>
      <c r="AH10" s="114" t="n"/>
      <c r="AI10" s="218" t="n"/>
      <c r="AJ10" s="219" t="n"/>
      <c r="AK10" s="114" t="n"/>
      <c r="AL10" s="546" t="n"/>
      <c r="AM10" s="546" t="n"/>
      <c r="AN10" s="246" t="n"/>
      <c r="AO10" s="246" t="n"/>
      <c r="AP10" s="246" t="n"/>
      <c r="AQ10" s="246" t="n"/>
      <c r="AR10" s="246" t="n"/>
      <c r="AS10" s="114" t="n"/>
      <c r="AT10" s="114" t="n"/>
      <c r="AU10" s="114" t="n"/>
      <c r="AV10" s="114" t="n"/>
      <c r="AW10" s="218" t="n"/>
      <c r="AX10" s="219" t="n"/>
      <c r="AY10" s="114" t="n"/>
      <c r="AZ10" s="546" t="n"/>
      <c r="BA10" s="546" t="n"/>
      <c r="BB10" s="246" t="n"/>
      <c r="BC10" s="246" t="n"/>
      <c r="BD10" s="246" t="n"/>
      <c r="BE10" s="246" t="n"/>
      <c r="BF10" s="246" t="n"/>
      <c r="BG10" s="114" t="n"/>
      <c r="BH10" s="114" t="n"/>
      <c r="BI10" s="114" t="n"/>
      <c r="BJ10" s="114" t="n"/>
      <c r="BK10" s="218" t="n"/>
      <c r="BL10" s="219" t="n"/>
      <c r="BM10" s="114" t="n"/>
      <c r="BN10" s="546" t="n"/>
      <c r="BO10" s="546" t="n"/>
      <c r="BP10" s="315" t="n"/>
      <c r="BQ10" s="606" t="n"/>
      <c r="BR10" s="65">
        <f>AVERAGE(S11,N10)</f>
        <v/>
      </c>
      <c r="BS10" s="66">
        <f>AVERAGE(W10,R10,J10,F10,E10)</f>
        <v/>
      </c>
      <c r="BT10" s="66">
        <f>AVERAGE(G11,K11,L11,M11,R10,T10,X10,Y10,AA10,AB10)</f>
        <v/>
      </c>
      <c r="BU10" s="66">
        <f>AVERAGE(U10)</f>
        <v/>
      </c>
      <c r="BV10" s="66">
        <f>AVERAGE(V10,O10,I10,H10)</f>
        <v/>
      </c>
      <c r="BW10" s="66" t="n"/>
      <c r="BX10" s="66" t="n"/>
      <c r="BY10" s="66" t="n"/>
      <c r="BZ10" s="66" t="n"/>
      <c r="CA10" s="66" t="n"/>
    </row>
    <row r="11" ht="18" customHeight="1" s="590">
      <c r="B11" s="12" t="n">
        <v>5</v>
      </c>
      <c r="C11" s="13" t="inlineStr">
        <is>
          <t>052-24-124035</t>
        </is>
      </c>
      <c r="D11" s="14" t="inlineStr">
        <is>
          <t>QAIL IJAZ</t>
        </is>
      </c>
      <c r="E11" s="220" t="n">
        <v>77</v>
      </c>
      <c r="F11" s="221" t="n">
        <v>84.17</v>
      </c>
      <c r="G11" s="221" t="n">
        <v>62.13</v>
      </c>
      <c r="H11" s="218" t="n">
        <v>54.11</v>
      </c>
      <c r="I11" s="219" t="n">
        <v>57.76</v>
      </c>
      <c r="J11" s="114" t="n">
        <v>69.45</v>
      </c>
      <c r="K11" s="114" t="n">
        <v>75.42</v>
      </c>
      <c r="L11" s="114" t="n">
        <v>85.56</v>
      </c>
      <c r="M11" s="114" t="n">
        <v>102.22</v>
      </c>
      <c r="N11" s="218" t="n">
        <v>74.87</v>
      </c>
      <c r="O11" s="219" t="n">
        <v>78.18000000000001</v>
      </c>
      <c r="P11" s="114" t="n">
        <v>60</v>
      </c>
      <c r="Q11" s="546" t="n">
        <v>60</v>
      </c>
      <c r="R11" s="546" t="n">
        <v>40</v>
      </c>
      <c r="S11" s="232" t="n">
        <v>70.28</v>
      </c>
      <c r="T11" s="234" t="n">
        <v>76.25</v>
      </c>
      <c r="U11" s="234" t="n">
        <v>64.17</v>
      </c>
      <c r="V11" s="583" t="n"/>
      <c r="W11" s="276" t="n">
        <v>82.78</v>
      </c>
      <c r="X11" s="246" t="n">
        <v>73.23999999999999</v>
      </c>
      <c r="Y11" s="277" t="n">
        <v>83.89</v>
      </c>
      <c r="Z11" s="246" t="n"/>
      <c r="AA11" s="246" t="n"/>
      <c r="AB11" s="246" t="n"/>
      <c r="AC11" s="246" t="n"/>
      <c r="AD11" s="246" t="n"/>
      <c r="AE11" s="114" t="n"/>
      <c r="AF11" s="114" t="n"/>
      <c r="AG11" s="114" t="n"/>
      <c r="AH11" s="114" t="n"/>
      <c r="AI11" s="218" t="n"/>
      <c r="AJ11" s="219" t="n"/>
      <c r="AK11" s="114" t="n"/>
      <c r="AL11" s="546" t="n"/>
      <c r="AM11" s="546" t="n"/>
      <c r="AN11" s="246" t="n"/>
      <c r="AO11" s="246" t="n"/>
      <c r="AP11" s="246" t="n"/>
      <c r="AQ11" s="246" t="n"/>
      <c r="AR11" s="246" t="n"/>
      <c r="AS11" s="114" t="n"/>
      <c r="AT11" s="114" t="n"/>
      <c r="AU11" s="114" t="n"/>
      <c r="AV11" s="114" t="n"/>
      <c r="AW11" s="218" t="n"/>
      <c r="AX11" s="219" t="n"/>
      <c r="AY11" s="114" t="n"/>
      <c r="AZ11" s="546" t="n"/>
      <c r="BA11" s="546" t="n"/>
      <c r="BB11" s="246" t="n"/>
      <c r="BC11" s="246" t="n"/>
      <c r="BD11" s="246" t="n"/>
      <c r="BE11" s="246" t="n"/>
      <c r="BF11" s="246" t="n"/>
      <c r="BG11" s="114" t="n"/>
      <c r="BH11" s="114" t="n"/>
      <c r="BI11" s="114" t="n"/>
      <c r="BJ11" s="114" t="n"/>
      <c r="BK11" s="218" t="n"/>
      <c r="BL11" s="219" t="n"/>
      <c r="BM11" s="114" t="n"/>
      <c r="BN11" s="546" t="n"/>
      <c r="BO11" s="546" t="n"/>
      <c r="BP11" s="315" t="n"/>
      <c r="BQ11" s="606" t="n"/>
      <c r="BR11" s="65">
        <f>AVERAGE(S12,N11)</f>
        <v/>
      </c>
      <c r="BS11" s="66">
        <f>AVERAGE(W11,R11,J11,F11,E11)</f>
        <v/>
      </c>
      <c r="BT11" s="66">
        <f>AVERAGE(G12,K12,L12,M12,R11,T11,X11,Y11,AA11,AB11)</f>
        <v/>
      </c>
      <c r="BU11" s="66">
        <f>AVERAGE(U11)</f>
        <v/>
      </c>
      <c r="BV11" s="66">
        <f>AVERAGE(V11,O11,I11,H11)</f>
        <v/>
      </c>
      <c r="BW11" s="66" t="n"/>
      <c r="BX11" s="66" t="n"/>
      <c r="BY11" s="66" t="n"/>
      <c r="BZ11" s="66" t="n"/>
      <c r="CA11" s="66" t="n"/>
    </row>
    <row r="12" ht="18" customHeight="1" s="590">
      <c r="B12" s="12" t="n">
        <v>6</v>
      </c>
      <c r="C12" s="13" t="inlineStr">
        <is>
          <t>052-24-124036</t>
        </is>
      </c>
      <c r="D12" s="14" t="inlineStr">
        <is>
          <t>MAMOON SOHAIL</t>
        </is>
      </c>
      <c r="E12" s="220" t="n">
        <v>67</v>
      </c>
      <c r="F12" s="221" t="n">
        <v>58.33</v>
      </c>
      <c r="G12" s="221" t="n">
        <v>52.76</v>
      </c>
      <c r="H12" s="218" t="n">
        <v>51.72</v>
      </c>
      <c r="I12" s="219" t="n">
        <v>50.79</v>
      </c>
      <c r="J12" s="114" t="n">
        <v>64.76000000000001</v>
      </c>
      <c r="K12" s="114" t="n">
        <v>55.42</v>
      </c>
      <c r="L12" s="114" t="n">
        <v>90</v>
      </c>
      <c r="M12" s="114" t="n">
        <v>113.33</v>
      </c>
      <c r="N12" s="218" t="n">
        <v>78.20999999999999</v>
      </c>
      <c r="O12" s="219" t="n">
        <v>75.76000000000001</v>
      </c>
      <c r="P12" s="114" t="n">
        <v>40</v>
      </c>
      <c r="Q12" s="546" t="n">
        <v>0</v>
      </c>
      <c r="R12" s="546" t="n">
        <v>0</v>
      </c>
      <c r="S12" s="232" t="n">
        <v>51.11</v>
      </c>
      <c r="T12" s="234" t="n">
        <v>63.75</v>
      </c>
      <c r="U12" s="234" t="n">
        <v>83.89</v>
      </c>
      <c r="V12" s="583" t="n"/>
      <c r="W12" s="276" t="n"/>
      <c r="X12" s="246" t="n"/>
      <c r="Y12" s="277" t="n"/>
      <c r="Z12" s="246" t="n"/>
      <c r="AA12" s="246" t="n"/>
      <c r="AB12" s="246" t="n"/>
      <c r="AC12" s="246" t="n"/>
      <c r="AD12" s="246" t="n"/>
      <c r="AE12" s="114" t="n"/>
      <c r="AF12" s="114" t="n"/>
      <c r="AG12" s="114" t="n"/>
      <c r="AH12" s="114" t="n"/>
      <c r="AI12" s="218" t="n"/>
      <c r="AJ12" s="219" t="n"/>
      <c r="AK12" s="114" t="n"/>
      <c r="AL12" s="546" t="n"/>
      <c r="AM12" s="546" t="n"/>
      <c r="AN12" s="246" t="n"/>
      <c r="AO12" s="246" t="n"/>
      <c r="AP12" s="246" t="n"/>
      <c r="AQ12" s="246" t="n"/>
      <c r="AR12" s="246" t="n"/>
      <c r="AS12" s="114" t="n"/>
      <c r="AT12" s="114" t="n"/>
      <c r="AU12" s="114" t="n"/>
      <c r="AV12" s="114" t="n"/>
      <c r="AW12" s="218" t="n"/>
      <c r="AX12" s="219" t="n"/>
      <c r="AY12" s="114" t="n"/>
      <c r="AZ12" s="546" t="n"/>
      <c r="BA12" s="546" t="n"/>
      <c r="BB12" s="246" t="n"/>
      <c r="BC12" s="246" t="n"/>
      <c r="BD12" s="246" t="n"/>
      <c r="BE12" s="246" t="n"/>
      <c r="BF12" s="246" t="n"/>
      <c r="BG12" s="114" t="n"/>
      <c r="BH12" s="114" t="n"/>
      <c r="BI12" s="114" t="n"/>
      <c r="BJ12" s="114" t="n"/>
      <c r="BK12" s="218" t="n"/>
      <c r="BL12" s="219" t="n"/>
      <c r="BM12" s="114" t="n"/>
      <c r="BN12" s="546" t="n"/>
      <c r="BO12" s="546" t="n"/>
      <c r="BP12" s="315" t="n"/>
      <c r="BQ12" s="606" t="n"/>
      <c r="BR12" s="65">
        <f>AVERAGE(S13,N12)</f>
        <v/>
      </c>
      <c r="BS12" s="66">
        <f>AVERAGE(W12,R12,J12,F12,E12)</f>
        <v/>
      </c>
      <c r="BT12" s="66">
        <f>AVERAGE(G13,K13,L13,M13,R12,T12,X12,Y12,AA12,AB12)</f>
        <v/>
      </c>
      <c r="BU12" s="66">
        <f>AVERAGE(U12)</f>
        <v/>
      </c>
      <c r="BV12" s="66">
        <f>AVERAGE(V12,O12,I12,H12)</f>
        <v/>
      </c>
      <c r="BW12" s="66" t="n"/>
      <c r="BX12" s="66" t="n"/>
      <c r="BY12" s="66" t="n"/>
      <c r="BZ12" s="66" t="n"/>
      <c r="CA12" s="66" t="n"/>
    </row>
    <row r="13" ht="18" customHeight="1" s="590">
      <c r="B13" s="12" t="n">
        <v>7</v>
      </c>
      <c r="C13" s="13" t="inlineStr">
        <is>
          <t>052-24-124045</t>
        </is>
      </c>
      <c r="D13" s="14" t="inlineStr">
        <is>
          <t>MALAIKA ZUBAIR</t>
        </is>
      </c>
      <c r="E13" s="213" t="n">
        <v>50</v>
      </c>
      <c r="F13" s="213" t="n"/>
      <c r="G13" s="213" t="n"/>
      <c r="H13" s="213" t="n"/>
      <c r="I13" s="213" t="n"/>
      <c r="J13" s="114" t="n"/>
      <c r="K13" s="114" t="n"/>
      <c r="L13" s="114" t="n"/>
      <c r="M13" s="114" t="n"/>
      <c r="N13" s="223" t="n"/>
      <c r="O13" s="224" t="n"/>
      <c r="P13" s="114" t="n">
        <v>0</v>
      </c>
      <c r="Q13" s="546" t="n">
        <v>20</v>
      </c>
      <c r="R13" s="546" t="n">
        <v>0</v>
      </c>
      <c r="S13" s="114" t="n">
        <v>0</v>
      </c>
      <c r="T13" s="546" t="n">
        <v>0</v>
      </c>
      <c r="U13" s="546" t="n">
        <v>0</v>
      </c>
      <c r="V13" s="583" t="n"/>
      <c r="W13" s="276" t="n"/>
      <c r="X13" s="246" t="n"/>
      <c r="Y13" s="277" t="n"/>
      <c r="Z13" s="246" t="n"/>
      <c r="AA13" s="246" t="n"/>
      <c r="AB13" s="246" t="n"/>
      <c r="AC13" s="246" t="n"/>
      <c r="AD13" s="246" t="n"/>
      <c r="AE13" s="114" t="n"/>
      <c r="AF13" s="114" t="n"/>
      <c r="AG13" s="114" t="n"/>
      <c r="AH13" s="114" t="n"/>
      <c r="AI13" s="223" t="n"/>
      <c r="AJ13" s="224" t="n"/>
      <c r="AK13" s="114" t="n"/>
      <c r="AL13" s="546" t="n"/>
      <c r="AM13" s="546" t="n"/>
      <c r="AN13" s="246" t="n"/>
      <c r="AO13" s="246" t="n"/>
      <c r="AP13" s="246" t="n"/>
      <c r="AQ13" s="246" t="n"/>
      <c r="AR13" s="246" t="n"/>
      <c r="AS13" s="114" t="n"/>
      <c r="AT13" s="114" t="n"/>
      <c r="AU13" s="114" t="n"/>
      <c r="AV13" s="114" t="n"/>
      <c r="AW13" s="223" t="n"/>
      <c r="AX13" s="224" t="n"/>
      <c r="AY13" s="114" t="n"/>
      <c r="AZ13" s="546" t="n"/>
      <c r="BA13" s="546" t="n"/>
      <c r="BB13" s="246" t="n"/>
      <c r="BC13" s="246" t="n"/>
      <c r="BD13" s="246" t="n"/>
      <c r="BE13" s="246" t="n"/>
      <c r="BF13" s="246" t="n"/>
      <c r="BG13" s="114" t="n"/>
      <c r="BH13" s="114" t="n"/>
      <c r="BI13" s="114" t="n"/>
      <c r="BJ13" s="114" t="n"/>
      <c r="BK13" s="223" t="n"/>
      <c r="BL13" s="224" t="n"/>
      <c r="BM13" s="114" t="n"/>
      <c r="BN13" s="546" t="n"/>
      <c r="BO13" s="546" t="n"/>
      <c r="BP13" s="315" t="n"/>
      <c r="BQ13" s="606" t="n"/>
      <c r="BR13" s="65">
        <f>AVERAGE(S14,N13)</f>
        <v/>
      </c>
      <c r="BS13" s="66">
        <f>AVERAGE(W13,R13,J13,F13,E13)</f>
        <v/>
      </c>
      <c r="BT13" s="66">
        <f>AVERAGE(G14,K14,L14,M14,R13,T13,X13,Y13,AA13,AB13)</f>
        <v/>
      </c>
      <c r="BU13" s="66">
        <f>AVERAGE(U13)</f>
        <v/>
      </c>
      <c r="BV13" s="66">
        <f>AVERAGE(0)</f>
        <v/>
      </c>
      <c r="BW13" s="66" t="n"/>
      <c r="BX13" s="66" t="n"/>
      <c r="BY13" s="66" t="n"/>
      <c r="BZ13" s="66" t="n"/>
      <c r="CA13" s="66" t="n"/>
    </row>
    <row r="14" ht="18" customHeight="1" s="590">
      <c r="B14" s="12" t="n">
        <v>8</v>
      </c>
      <c r="C14" s="13" t="inlineStr">
        <is>
          <t>052-24-124050</t>
        </is>
      </c>
      <c r="D14" s="14" t="inlineStr">
        <is>
          <t>HAMZA MEHBOOB</t>
        </is>
      </c>
      <c r="E14" s="216" t="n">
        <v>78</v>
      </c>
      <c r="F14" s="217" t="n">
        <v>74.17</v>
      </c>
      <c r="G14" s="217" t="n">
        <v>90.76000000000001</v>
      </c>
      <c r="H14" s="218" t="n">
        <v>69.7</v>
      </c>
      <c r="I14" s="219" t="n">
        <v>60.97</v>
      </c>
      <c r="J14" s="114" t="n">
        <v>85.83</v>
      </c>
      <c r="K14" s="114" t="n">
        <v>59.58</v>
      </c>
      <c r="L14" s="114" t="n">
        <v>80.56</v>
      </c>
      <c r="M14" s="114" t="n">
        <v>100</v>
      </c>
      <c r="N14" s="218" t="n">
        <v>83.33</v>
      </c>
      <c r="O14" s="219" t="n">
        <v>80.3</v>
      </c>
      <c r="P14" s="114" t="n">
        <v>30</v>
      </c>
      <c r="Q14" s="546" t="n">
        <v>0</v>
      </c>
      <c r="R14" s="546" t="n">
        <v>0</v>
      </c>
      <c r="S14" s="232" t="n">
        <v>61.39</v>
      </c>
      <c r="T14" s="234" t="n">
        <v>65.83</v>
      </c>
      <c r="U14" s="234" t="n">
        <v>76.11</v>
      </c>
      <c r="V14" s="583" t="n"/>
      <c r="W14" s="276" t="n">
        <v>73.89</v>
      </c>
      <c r="X14" s="246" t="n">
        <v>67.90000000000001</v>
      </c>
      <c r="Y14" s="277" t="n">
        <v>81.67</v>
      </c>
      <c r="Z14" s="246" t="n"/>
      <c r="AA14" s="246" t="n"/>
      <c r="AB14" s="246" t="n"/>
      <c r="AC14" s="246" t="n"/>
      <c r="AD14" s="246" t="n"/>
      <c r="AE14" s="114" t="n"/>
      <c r="AF14" s="114" t="n"/>
      <c r="AG14" s="114" t="n"/>
      <c r="AH14" s="114" t="n"/>
      <c r="AI14" s="218" t="n"/>
      <c r="AJ14" s="219" t="n"/>
      <c r="AK14" s="114" t="n"/>
      <c r="AL14" s="546" t="n"/>
      <c r="AM14" s="546" t="n"/>
      <c r="AN14" s="246" t="n"/>
      <c r="AO14" s="246" t="n"/>
      <c r="AP14" s="246" t="n"/>
      <c r="AQ14" s="246" t="n"/>
      <c r="AR14" s="246" t="n"/>
      <c r="AS14" s="114" t="n"/>
      <c r="AT14" s="114" t="n"/>
      <c r="AU14" s="114" t="n"/>
      <c r="AV14" s="114" t="n"/>
      <c r="AW14" s="218" t="n"/>
      <c r="AX14" s="219" t="n"/>
      <c r="AY14" s="114" t="n"/>
      <c r="AZ14" s="546" t="n"/>
      <c r="BA14" s="546" t="n"/>
      <c r="BB14" s="246" t="n"/>
      <c r="BC14" s="246" t="n"/>
      <c r="BD14" s="246" t="n"/>
      <c r="BE14" s="246" t="n"/>
      <c r="BF14" s="246" t="n"/>
      <c r="BG14" s="114" t="n"/>
      <c r="BH14" s="114" t="n"/>
      <c r="BI14" s="114" t="n"/>
      <c r="BJ14" s="114" t="n"/>
      <c r="BK14" s="218" t="n"/>
      <c r="BL14" s="219" t="n"/>
      <c r="BM14" s="114" t="n"/>
      <c r="BN14" s="546" t="n"/>
      <c r="BO14" s="546" t="n"/>
      <c r="BP14" s="315" t="n"/>
      <c r="BQ14" s="606" t="n"/>
      <c r="BR14" s="65">
        <f>AVERAGE(S15,N14)</f>
        <v/>
      </c>
      <c r="BS14" s="66">
        <f>AVERAGE(W14,R14,J14,F14,E14)</f>
        <v/>
      </c>
      <c r="BT14" s="66">
        <f>AVERAGE(G15,K15,L15,M15,R14,T14,X14,Y14,AA14,AB14)</f>
        <v/>
      </c>
      <c r="BU14" s="66">
        <f>AVERAGE(U14)</f>
        <v/>
      </c>
      <c r="BV14" s="66">
        <f>AVERAGE(V14,O14,I14,H14)</f>
        <v/>
      </c>
      <c r="BW14" s="66" t="n"/>
      <c r="BX14" s="66" t="n"/>
      <c r="BY14" s="66" t="n"/>
      <c r="BZ14" s="66" t="n"/>
      <c r="CA14" s="66" t="n"/>
    </row>
    <row r="15" ht="18" customHeight="1" s="590">
      <c r="B15" s="12" t="n">
        <v>9</v>
      </c>
      <c r="C15" s="13" t="inlineStr">
        <is>
          <t>052-24-124058</t>
        </is>
      </c>
      <c r="D15" s="14" t="inlineStr">
        <is>
          <t>MUSA AKEEL AWAN</t>
        </is>
      </c>
      <c r="E15" s="220" t="n">
        <v>70</v>
      </c>
      <c r="F15" s="221" t="n">
        <v>61.67</v>
      </c>
      <c r="G15" s="221" t="n">
        <v>69.95999999999999</v>
      </c>
      <c r="H15" s="218" t="n">
        <v>46.08</v>
      </c>
      <c r="I15" s="219" t="n">
        <v>43.03</v>
      </c>
      <c r="J15" s="114" t="n"/>
      <c r="K15" s="114" t="n"/>
      <c r="L15" s="114" t="n"/>
      <c r="M15" s="114" t="n"/>
      <c r="N15" s="223" t="n"/>
      <c r="O15" s="224" t="n"/>
      <c r="P15" s="114" t="n">
        <v>0</v>
      </c>
      <c r="Q15" s="546" t="n">
        <v>0</v>
      </c>
      <c r="R15" s="546" t="n">
        <v>0</v>
      </c>
      <c r="S15" s="232" t="n">
        <v>51.11</v>
      </c>
      <c r="T15" s="234" t="n">
        <v>68.75</v>
      </c>
      <c r="U15" s="234" t="n">
        <v>67.78</v>
      </c>
      <c r="V15" s="583" t="n"/>
      <c r="W15" s="276" t="n"/>
      <c r="X15" s="246" t="n"/>
      <c r="Y15" s="277" t="n"/>
      <c r="Z15" s="246" t="n"/>
      <c r="AA15" s="246" t="n"/>
      <c r="AB15" s="246" t="n"/>
      <c r="AC15" s="246" t="n"/>
      <c r="AD15" s="246" t="n"/>
      <c r="AE15" s="114" t="n"/>
      <c r="AF15" s="114" t="n"/>
      <c r="AG15" s="114" t="n"/>
      <c r="AH15" s="114" t="n"/>
      <c r="AI15" s="223" t="n"/>
      <c r="AJ15" s="224" t="n"/>
      <c r="AK15" s="114" t="n"/>
      <c r="AL15" s="546" t="n"/>
      <c r="AM15" s="546" t="n"/>
      <c r="AN15" s="246" t="n"/>
      <c r="AO15" s="246" t="n"/>
      <c r="AP15" s="246" t="n"/>
      <c r="AQ15" s="246" t="n"/>
      <c r="AR15" s="246" t="n"/>
      <c r="AS15" s="114" t="n"/>
      <c r="AT15" s="114" t="n"/>
      <c r="AU15" s="114" t="n"/>
      <c r="AV15" s="114" t="n"/>
      <c r="AW15" s="223" t="n"/>
      <c r="AX15" s="224" t="n"/>
      <c r="AY15" s="114" t="n"/>
      <c r="AZ15" s="546" t="n"/>
      <c r="BA15" s="546" t="n"/>
      <c r="BB15" s="246" t="n"/>
      <c r="BC15" s="246" t="n"/>
      <c r="BD15" s="246" t="n"/>
      <c r="BE15" s="246" t="n"/>
      <c r="BF15" s="246" t="n"/>
      <c r="BG15" s="114" t="n"/>
      <c r="BH15" s="114" t="n"/>
      <c r="BI15" s="114" t="n"/>
      <c r="BJ15" s="114" t="n"/>
      <c r="BK15" s="223" t="n"/>
      <c r="BL15" s="224" t="n"/>
      <c r="BM15" s="114" t="n"/>
      <c r="BN15" s="546" t="n"/>
      <c r="BO15" s="546" t="n"/>
      <c r="BP15" s="315" t="n"/>
      <c r="BQ15" s="606" t="n"/>
      <c r="BR15" s="65">
        <f>AVERAGE(S16,N15)</f>
        <v/>
      </c>
      <c r="BS15" s="66">
        <f>AVERAGE(W15,R15,J15,F15,E15)</f>
        <v/>
      </c>
      <c r="BT15" s="66">
        <f>AVERAGE(G16,K16,L16,M16,R15,T15,X15,Y15,AA15,AB15)</f>
        <v/>
      </c>
      <c r="BU15" s="66">
        <f>AVERAGE(U15)</f>
        <v/>
      </c>
      <c r="BV15" s="66">
        <f>AVERAGE(V15,O15,I15,H15)</f>
        <v/>
      </c>
      <c r="BW15" s="66" t="n"/>
      <c r="BX15" s="66" t="n"/>
      <c r="BY15" s="66" t="n"/>
      <c r="BZ15" s="66" t="n"/>
      <c r="CA15" s="66" t="n"/>
    </row>
    <row r="16" ht="18" customHeight="1" s="590">
      <c r="B16" s="12" t="n">
        <v>10</v>
      </c>
      <c r="C16" s="13" t="inlineStr">
        <is>
          <t>052-24-124064</t>
        </is>
      </c>
      <c r="D16" s="14" t="inlineStr">
        <is>
          <t>HIKMAT KHAN</t>
        </is>
      </c>
      <c r="E16" s="213" t="n"/>
      <c r="F16" s="214" t="n"/>
      <c r="G16" s="215" t="n"/>
      <c r="H16" s="214" t="n"/>
      <c r="I16" s="215" t="n"/>
      <c r="J16" s="114" t="n">
        <v>39.12</v>
      </c>
      <c r="K16" s="114" t="n">
        <v>37.5</v>
      </c>
      <c r="L16" s="114" t="n">
        <v>35.28</v>
      </c>
      <c r="M16" s="114" t="n">
        <v>63.33</v>
      </c>
      <c r="N16" s="218" t="n">
        <v>57.18</v>
      </c>
      <c r="O16" s="219" t="n">
        <v>37.27</v>
      </c>
      <c r="P16" s="114" t="n">
        <v>0</v>
      </c>
      <c r="Q16" s="546" t="n">
        <v>60</v>
      </c>
      <c r="R16" s="546" t="n">
        <v>40</v>
      </c>
      <c r="S16" s="114" t="n">
        <v>0</v>
      </c>
      <c r="T16" s="546" t="n">
        <v>0</v>
      </c>
      <c r="U16" s="546" t="n">
        <v>0</v>
      </c>
      <c r="V16" s="583" t="n"/>
      <c r="W16" s="276" t="n">
        <v>73.89</v>
      </c>
      <c r="X16" s="246" t="n">
        <v>76.56999999999999</v>
      </c>
      <c r="Y16" s="277" t="n">
        <v>80.56</v>
      </c>
      <c r="Z16" s="246" t="n"/>
      <c r="AA16" s="246" t="n"/>
      <c r="AB16" s="246" t="n"/>
      <c r="AC16" s="246" t="n"/>
      <c r="AD16" s="246" t="n"/>
      <c r="AE16" s="114" t="n"/>
      <c r="AF16" s="114" t="n"/>
      <c r="AG16" s="114" t="n"/>
      <c r="AH16" s="114" t="n"/>
      <c r="AI16" s="218" t="n"/>
      <c r="AJ16" s="219" t="n"/>
      <c r="AK16" s="114" t="n"/>
      <c r="AL16" s="546" t="n"/>
      <c r="AM16" s="546" t="n"/>
      <c r="AN16" s="246" t="n"/>
      <c r="AO16" s="246" t="n"/>
      <c r="AP16" s="246" t="n"/>
      <c r="AQ16" s="246" t="n"/>
      <c r="AR16" s="246" t="n"/>
      <c r="AS16" s="114" t="n"/>
      <c r="AT16" s="114" t="n"/>
      <c r="AU16" s="114" t="n"/>
      <c r="AV16" s="114" t="n"/>
      <c r="AW16" s="218" t="n"/>
      <c r="AX16" s="219" t="n"/>
      <c r="AY16" s="114" t="n"/>
      <c r="AZ16" s="546" t="n"/>
      <c r="BA16" s="546" t="n"/>
      <c r="BB16" s="246" t="n"/>
      <c r="BC16" s="246" t="n"/>
      <c r="BD16" s="246" t="n"/>
      <c r="BE16" s="246" t="n"/>
      <c r="BF16" s="246" t="n"/>
      <c r="BG16" s="114" t="n"/>
      <c r="BH16" s="114" t="n"/>
      <c r="BI16" s="114" t="n"/>
      <c r="BJ16" s="114" t="n"/>
      <c r="BK16" s="218" t="n"/>
      <c r="BL16" s="219" t="n"/>
      <c r="BM16" s="114" t="n"/>
      <c r="BN16" s="546" t="n"/>
      <c r="BO16" s="546" t="n"/>
      <c r="BP16" s="315" t="n"/>
      <c r="BQ16" s="606" t="n"/>
      <c r="BR16" s="65">
        <f>AVERAGE(S17,N16)</f>
        <v/>
      </c>
      <c r="BS16" s="66">
        <f>AVERAGE(W16,R16,J16,F16,E16)</f>
        <v/>
      </c>
      <c r="BT16" s="66">
        <f>AVERAGE(G17,K17,L17,M17,R16,T16,X16,Y16,AA16,AB16)</f>
        <v/>
      </c>
      <c r="BU16" s="66">
        <f>AVERAGE(U16)</f>
        <v/>
      </c>
      <c r="BV16" s="66">
        <f>AVERAGE(V16,O16,I16,H16)</f>
        <v/>
      </c>
      <c r="BW16" s="66" t="n"/>
      <c r="BX16" s="66" t="n"/>
      <c r="BY16" s="66" t="n"/>
      <c r="BZ16" s="66" t="n"/>
      <c r="CA16" s="66" t="n"/>
    </row>
    <row r="17" ht="18" customHeight="1" s="590">
      <c r="B17" s="12" t="n">
        <v>11</v>
      </c>
      <c r="C17" s="13" t="inlineStr">
        <is>
          <t>052-24-124074</t>
        </is>
      </c>
      <c r="D17" s="14" t="inlineStr">
        <is>
          <t>MUHAMMAD SUFIAN</t>
        </is>
      </c>
      <c r="E17" s="216" t="n">
        <v>66</v>
      </c>
      <c r="F17" s="217" t="n">
        <v>87.5</v>
      </c>
      <c r="G17" s="217" t="n">
        <v>72.70999999999999</v>
      </c>
      <c r="H17" s="218" t="n">
        <v>76.09999999999999</v>
      </c>
      <c r="I17" s="219" t="n">
        <v>69.52</v>
      </c>
      <c r="J17" s="114" t="n">
        <v>80.17</v>
      </c>
      <c r="K17" s="114" t="n">
        <v>76.67</v>
      </c>
      <c r="L17" s="114" t="n">
        <v>84.44</v>
      </c>
      <c r="M17" s="114" t="n">
        <v>100</v>
      </c>
      <c r="N17" s="218" t="n">
        <v>87.44</v>
      </c>
      <c r="O17" s="219" t="n">
        <v>78.18000000000001</v>
      </c>
      <c r="P17" s="114" t="n">
        <v>50</v>
      </c>
      <c r="Q17" s="546" t="n">
        <v>40</v>
      </c>
      <c r="R17" s="546" t="n">
        <v>40</v>
      </c>
      <c r="S17" s="232" t="n">
        <v>74.44</v>
      </c>
      <c r="T17" s="234" t="n">
        <v>94.58</v>
      </c>
      <c r="U17" s="234" t="n">
        <v>82.22</v>
      </c>
      <c r="V17" s="583" t="n"/>
      <c r="W17" s="276" t="n">
        <v>87.78</v>
      </c>
      <c r="X17" s="246" t="n">
        <v>87.81</v>
      </c>
      <c r="Y17" s="277" t="n">
        <v>89.44</v>
      </c>
      <c r="Z17" s="246" t="n"/>
      <c r="AA17" s="246" t="n"/>
      <c r="AB17" s="246" t="n"/>
      <c r="AC17" s="246" t="n"/>
      <c r="AD17" s="246" t="n"/>
      <c r="AE17" s="114" t="n"/>
      <c r="AF17" s="114" t="n"/>
      <c r="AG17" s="114" t="n"/>
      <c r="AH17" s="114" t="n"/>
      <c r="AI17" s="218" t="n"/>
      <c r="AJ17" s="219" t="n"/>
      <c r="AK17" s="114" t="n"/>
      <c r="AL17" s="546" t="n"/>
      <c r="AM17" s="546" t="n"/>
      <c r="AN17" s="246" t="n"/>
      <c r="AO17" s="246" t="n"/>
      <c r="AP17" s="246" t="n"/>
      <c r="AQ17" s="246" t="n"/>
      <c r="AR17" s="246" t="n"/>
      <c r="AS17" s="114" t="n"/>
      <c r="AT17" s="114" t="n"/>
      <c r="AU17" s="114" t="n"/>
      <c r="AV17" s="114" t="n"/>
      <c r="AW17" s="218" t="n"/>
      <c r="AX17" s="219" t="n"/>
      <c r="AY17" s="114" t="n"/>
      <c r="AZ17" s="546" t="n"/>
      <c r="BA17" s="546" t="n"/>
      <c r="BB17" s="246" t="n"/>
      <c r="BC17" s="246" t="n"/>
      <c r="BD17" s="246" t="n"/>
      <c r="BE17" s="246" t="n"/>
      <c r="BF17" s="246" t="n"/>
      <c r="BG17" s="114" t="n"/>
      <c r="BH17" s="114" t="n"/>
      <c r="BI17" s="114" t="n"/>
      <c r="BJ17" s="114" t="n"/>
      <c r="BK17" s="218" t="n"/>
      <c r="BL17" s="219" t="n"/>
      <c r="BM17" s="114" t="n"/>
      <c r="BN17" s="546" t="n"/>
      <c r="BO17" s="546" t="n"/>
      <c r="BP17" s="315" t="n"/>
      <c r="BQ17" s="606" t="n"/>
      <c r="BR17" s="65">
        <f>AVERAGE(S18,N17)</f>
        <v/>
      </c>
      <c r="BS17" s="66">
        <f>AVERAGE(W17,R17,J17,F17,E17)</f>
        <v/>
      </c>
      <c r="BT17" s="66">
        <f>AVERAGE(G18,K18,L18,M18,R17,T17,X17,Y17,AA17,AB17)</f>
        <v/>
      </c>
      <c r="BU17" s="66">
        <f>AVERAGE(U17)</f>
        <v/>
      </c>
      <c r="BV17" s="66">
        <f>AVERAGE(V17,O17,I17,H17)</f>
        <v/>
      </c>
      <c r="BW17" s="66" t="n"/>
      <c r="BX17" s="66" t="n"/>
      <c r="BY17" s="66" t="n"/>
      <c r="BZ17" s="66" t="n"/>
      <c r="CA17" s="66" t="n"/>
    </row>
    <row r="18" ht="18" customHeight="1" s="590">
      <c r="B18" s="12" t="n">
        <v>12</v>
      </c>
      <c r="C18" s="13" t="inlineStr">
        <is>
          <t>052-24-124081</t>
        </is>
      </c>
      <c r="D18" s="14" t="inlineStr">
        <is>
          <t>MOOSA IFTIKHAR ABBASI</t>
        </is>
      </c>
      <c r="E18" s="220" t="n">
        <v>64</v>
      </c>
      <c r="F18" s="221" t="n">
        <v>67.5</v>
      </c>
      <c r="G18" s="221" t="n">
        <v>82.70999999999999</v>
      </c>
      <c r="H18" s="218" t="n">
        <v>76.44</v>
      </c>
      <c r="I18" s="219" t="n">
        <v>66.3</v>
      </c>
      <c r="J18" s="114" t="n">
        <v>65.67</v>
      </c>
      <c r="K18" s="114" t="n">
        <v>75.83</v>
      </c>
      <c r="L18" s="114" t="n">
        <v>84.17</v>
      </c>
      <c r="M18" s="114" t="n">
        <v>103.33</v>
      </c>
      <c r="N18" s="218" t="n">
        <v>90.51000000000001</v>
      </c>
      <c r="O18" s="219" t="n">
        <v>87.88</v>
      </c>
      <c r="P18" s="114" t="n">
        <v>40</v>
      </c>
      <c r="Q18" s="546" t="n">
        <v>0</v>
      </c>
      <c r="R18" s="546" t="n">
        <v>0</v>
      </c>
      <c r="S18" s="232" t="n">
        <v>70.83</v>
      </c>
      <c r="T18" s="234" t="n">
        <v>73.33</v>
      </c>
      <c r="U18" s="234" t="n">
        <v>65</v>
      </c>
      <c r="V18" s="583" t="n"/>
      <c r="W18" s="276" t="n">
        <v>85.56</v>
      </c>
      <c r="X18" s="246" t="n">
        <v>80.09999999999999</v>
      </c>
      <c r="Y18" s="277" t="n">
        <v>88.89</v>
      </c>
      <c r="Z18" s="246" t="n"/>
      <c r="AA18" s="246" t="n"/>
      <c r="AB18" s="246" t="n"/>
      <c r="AC18" s="246" t="n"/>
      <c r="AD18" s="246" t="n"/>
      <c r="AE18" s="114" t="n"/>
      <c r="AF18" s="114" t="n"/>
      <c r="AG18" s="114" t="n"/>
      <c r="AH18" s="114" t="n"/>
      <c r="AI18" s="218" t="n"/>
      <c r="AJ18" s="219" t="n"/>
      <c r="AK18" s="114" t="n"/>
      <c r="AL18" s="546" t="n"/>
      <c r="AM18" s="546" t="n"/>
      <c r="AN18" s="246" t="n"/>
      <c r="AO18" s="246" t="n"/>
      <c r="AP18" s="246" t="n"/>
      <c r="AQ18" s="246" t="n"/>
      <c r="AR18" s="246" t="n"/>
      <c r="AS18" s="114" t="n"/>
      <c r="AT18" s="114" t="n"/>
      <c r="AU18" s="114" t="n"/>
      <c r="AV18" s="114" t="n"/>
      <c r="AW18" s="218" t="n"/>
      <c r="AX18" s="219" t="n"/>
      <c r="AY18" s="114" t="n"/>
      <c r="AZ18" s="546" t="n"/>
      <c r="BA18" s="546" t="n"/>
      <c r="BB18" s="246" t="n"/>
      <c r="BC18" s="246" t="n"/>
      <c r="BD18" s="246" t="n"/>
      <c r="BE18" s="246" t="n"/>
      <c r="BF18" s="246" t="n"/>
      <c r="BG18" s="114" t="n"/>
      <c r="BH18" s="114" t="n"/>
      <c r="BI18" s="114" t="n"/>
      <c r="BJ18" s="114" t="n"/>
      <c r="BK18" s="218" t="n"/>
      <c r="BL18" s="219" t="n"/>
      <c r="BM18" s="114" t="n"/>
      <c r="BN18" s="546" t="n"/>
      <c r="BO18" s="546" t="n"/>
      <c r="BP18" s="315" t="n"/>
      <c r="BQ18" s="606" t="n"/>
      <c r="BR18" s="65">
        <f>AVERAGE(S19,N18)</f>
        <v/>
      </c>
      <c r="BS18" s="66">
        <f>AVERAGE(W18,R18,J18,F18,E18)</f>
        <v/>
      </c>
      <c r="BT18" s="66">
        <f>AVERAGE(G19,K19,L19,M19,R18,T18,X18,Y18,AA18,AB18)</f>
        <v/>
      </c>
      <c r="BU18" s="66">
        <f>AVERAGE(U18)</f>
        <v/>
      </c>
      <c r="BV18" s="66">
        <f>AVERAGE(V18,O18,I18,H18)</f>
        <v/>
      </c>
      <c r="BW18" s="66" t="n"/>
      <c r="BX18" s="66" t="n"/>
      <c r="BY18" s="66" t="n"/>
      <c r="BZ18" s="66" t="n"/>
      <c r="CA18" s="66" t="n"/>
    </row>
    <row r="19" ht="18" customHeight="1" s="590">
      <c r="B19" s="12" t="n">
        <v>13</v>
      </c>
      <c r="C19" s="13" t="inlineStr">
        <is>
          <t>052-24-124087</t>
        </is>
      </c>
      <c r="D19" s="14" t="inlineStr">
        <is>
          <t>HASNAIN MUNIR</t>
        </is>
      </c>
      <c r="E19" s="220" t="n">
        <v>50</v>
      </c>
      <c r="F19" s="221" t="n">
        <v>90.83</v>
      </c>
      <c r="G19" s="221" t="n">
        <v>75.29000000000001</v>
      </c>
      <c r="H19" s="218" t="n">
        <v>73.56999999999999</v>
      </c>
      <c r="I19" s="219" t="n">
        <v>68.91</v>
      </c>
      <c r="J19" s="114" t="n">
        <v>78.83</v>
      </c>
      <c r="K19" s="114" t="n">
        <v>84.17</v>
      </c>
      <c r="L19" s="114" t="n">
        <v>81.11</v>
      </c>
      <c r="M19" s="114" t="n">
        <v>103.33</v>
      </c>
      <c r="N19" s="218" t="n">
        <v>87.95</v>
      </c>
      <c r="O19" s="219" t="n">
        <v>81.20999999999999</v>
      </c>
      <c r="P19" s="114" t="n">
        <v>0</v>
      </c>
      <c r="Q19" s="546" t="n">
        <v>20</v>
      </c>
      <c r="R19" s="546" t="n">
        <v>20</v>
      </c>
      <c r="S19" s="232" t="n">
        <v>80</v>
      </c>
      <c r="T19" s="234" t="n">
        <v>87.92</v>
      </c>
      <c r="U19" s="234" t="n">
        <v>75.83</v>
      </c>
      <c r="V19" s="583" t="n"/>
      <c r="W19" s="276" t="n">
        <v>79.44</v>
      </c>
      <c r="X19" s="246" t="n">
        <v>78.76000000000001</v>
      </c>
      <c r="Y19" s="277" t="n">
        <v>88.33</v>
      </c>
      <c r="Z19" s="246" t="n"/>
      <c r="AA19" s="246" t="n"/>
      <c r="AB19" s="246" t="n"/>
      <c r="AC19" s="246" t="n"/>
      <c r="AD19" s="246" t="n"/>
      <c r="AE19" s="114" t="n"/>
      <c r="AF19" s="114" t="n"/>
      <c r="AG19" s="114" t="n"/>
      <c r="AH19" s="114" t="n"/>
      <c r="AI19" s="218" t="n"/>
      <c r="AJ19" s="219" t="n"/>
      <c r="AK19" s="114" t="n"/>
      <c r="AL19" s="546" t="n"/>
      <c r="AM19" s="546" t="n"/>
      <c r="AN19" s="246" t="n"/>
      <c r="AO19" s="246" t="n"/>
      <c r="AP19" s="246" t="n"/>
      <c r="AQ19" s="246" t="n"/>
      <c r="AR19" s="246" t="n"/>
      <c r="AS19" s="114" t="n"/>
      <c r="AT19" s="114" t="n"/>
      <c r="AU19" s="114" t="n"/>
      <c r="AV19" s="114" t="n"/>
      <c r="AW19" s="218" t="n"/>
      <c r="AX19" s="219" t="n"/>
      <c r="AY19" s="114" t="n"/>
      <c r="AZ19" s="546" t="n"/>
      <c r="BA19" s="546" t="n"/>
      <c r="BB19" s="246" t="n"/>
      <c r="BC19" s="246" t="n"/>
      <c r="BD19" s="246" t="n"/>
      <c r="BE19" s="246" t="n"/>
      <c r="BF19" s="246" t="n"/>
      <c r="BG19" s="114" t="n"/>
      <c r="BH19" s="114" t="n"/>
      <c r="BI19" s="114" t="n"/>
      <c r="BJ19" s="114" t="n"/>
      <c r="BK19" s="218" t="n"/>
      <c r="BL19" s="219" t="n"/>
      <c r="BM19" s="114" t="n"/>
      <c r="BN19" s="546" t="n"/>
      <c r="BO19" s="546" t="n"/>
      <c r="BP19" s="315" t="n"/>
      <c r="BQ19" s="606" t="n"/>
      <c r="BR19" s="65">
        <f>AVERAGE(S20,N19)</f>
        <v/>
      </c>
      <c r="BS19" s="66">
        <f>AVERAGE(W19,R19,J19,F19,E19)</f>
        <v/>
      </c>
      <c r="BT19" s="66">
        <f>AVERAGE(G20,K20,L20,M20,R19,T19,X19,Y19,AA19,AB19)</f>
        <v/>
      </c>
      <c r="BU19" s="66">
        <f>AVERAGE(U19)</f>
        <v/>
      </c>
      <c r="BV19" s="66">
        <f>AVERAGE(V19,O19,I19,H19)</f>
        <v/>
      </c>
      <c r="BW19" s="66" t="n"/>
      <c r="BX19" s="66" t="n"/>
      <c r="BY19" s="66" t="n"/>
      <c r="BZ19" s="66" t="n"/>
      <c r="CA19" s="66" t="n"/>
    </row>
    <row r="20" ht="18" customHeight="1" s="590">
      <c r="B20" s="12" t="n">
        <v>14</v>
      </c>
      <c r="C20" s="13" t="inlineStr">
        <is>
          <t>052-24-124093</t>
        </is>
      </c>
      <c r="D20" s="14" t="inlineStr">
        <is>
          <t>ABDUL AHAD</t>
        </is>
      </c>
      <c r="E20" s="220" t="n">
        <v>67</v>
      </c>
      <c r="F20" s="221" t="n">
        <v>60</v>
      </c>
      <c r="G20" s="221" t="n">
        <v>58</v>
      </c>
      <c r="H20" s="218" t="n">
        <v>71.58</v>
      </c>
      <c r="I20" s="219" t="n">
        <v>65.39</v>
      </c>
      <c r="J20" s="114" t="n">
        <v>63.33</v>
      </c>
      <c r="K20" s="114" t="n">
        <v>57.5</v>
      </c>
      <c r="L20" s="114" t="n">
        <v>80.28</v>
      </c>
      <c r="M20" s="114" t="n">
        <v>96.67</v>
      </c>
      <c r="N20" s="218" t="n">
        <v>85.13</v>
      </c>
      <c r="O20" s="219" t="n">
        <v>84.84999999999999</v>
      </c>
      <c r="P20" s="114" t="n">
        <v>30</v>
      </c>
      <c r="Q20" s="546" t="n">
        <v>0</v>
      </c>
      <c r="R20" s="546" t="n">
        <v>0</v>
      </c>
      <c r="S20" s="232" t="n">
        <v>58.89</v>
      </c>
      <c r="T20" s="234" t="n">
        <v>75</v>
      </c>
      <c r="U20" s="234" t="n">
        <v>77.78</v>
      </c>
      <c r="V20" s="583" t="n"/>
      <c r="W20" s="276" t="n">
        <v>73.89</v>
      </c>
      <c r="X20" s="246" t="n">
        <v>67.05</v>
      </c>
      <c r="Y20" s="277" t="n">
        <v>80.56</v>
      </c>
      <c r="Z20" s="246" t="n"/>
      <c r="AA20" s="246" t="n"/>
      <c r="AB20" s="246" t="n"/>
      <c r="AC20" s="246" t="n"/>
      <c r="AD20" s="246" t="n"/>
      <c r="AE20" s="114" t="n"/>
      <c r="AF20" s="114" t="n"/>
      <c r="AG20" s="114" t="n"/>
      <c r="AH20" s="114" t="n"/>
      <c r="AI20" s="218" t="n"/>
      <c r="AJ20" s="219" t="n"/>
      <c r="AK20" s="114" t="n"/>
      <c r="AL20" s="546" t="n"/>
      <c r="AM20" s="546" t="n"/>
      <c r="AN20" s="246" t="n"/>
      <c r="AO20" s="246" t="n"/>
      <c r="AP20" s="246" t="n"/>
      <c r="AQ20" s="246" t="n"/>
      <c r="AR20" s="246" t="n"/>
      <c r="AS20" s="114" t="n"/>
      <c r="AT20" s="114" t="n"/>
      <c r="AU20" s="114" t="n"/>
      <c r="AV20" s="114" t="n"/>
      <c r="AW20" s="218" t="n"/>
      <c r="AX20" s="219" t="n"/>
      <c r="AY20" s="114" t="n"/>
      <c r="AZ20" s="546" t="n"/>
      <c r="BA20" s="546" t="n"/>
      <c r="BB20" s="246" t="n"/>
      <c r="BC20" s="246" t="n"/>
      <c r="BD20" s="246" t="n"/>
      <c r="BE20" s="246" t="n"/>
      <c r="BF20" s="246" t="n"/>
      <c r="BG20" s="114" t="n"/>
      <c r="BH20" s="114" t="n"/>
      <c r="BI20" s="114" t="n"/>
      <c r="BJ20" s="114" t="n"/>
      <c r="BK20" s="218" t="n"/>
      <c r="BL20" s="219" t="n"/>
      <c r="BM20" s="114" t="n"/>
      <c r="BN20" s="546" t="n"/>
      <c r="BO20" s="546" t="n"/>
      <c r="BP20" s="315" t="n"/>
      <c r="BQ20" s="606" t="n"/>
      <c r="BR20" s="65">
        <f>AVERAGE(S21,N20)</f>
        <v/>
      </c>
      <c r="BS20" s="66">
        <f>AVERAGE(W20,R20,J20,F20,E20)</f>
        <v/>
      </c>
      <c r="BT20" s="66">
        <f>AVERAGE(G21,K21,L21,M21,R20,T20,X20,Y20,AA20,AB20)</f>
        <v/>
      </c>
      <c r="BU20" s="66">
        <f>AVERAGE(U20)</f>
        <v/>
      </c>
      <c r="BV20" s="66">
        <f>AVERAGE(V20,O20,I20,H20)</f>
        <v/>
      </c>
      <c r="BW20" s="66" t="n"/>
      <c r="BX20" s="66" t="n"/>
      <c r="BY20" s="66" t="n"/>
      <c r="BZ20" s="66" t="n"/>
      <c r="CA20" s="66" t="n"/>
    </row>
    <row r="21" ht="18" customHeight="1" s="590">
      <c r="B21" s="12" t="n">
        <v>15</v>
      </c>
      <c r="C21" s="13" t="inlineStr">
        <is>
          <t>052-24-124121</t>
        </is>
      </c>
      <c r="D21" s="14" t="inlineStr">
        <is>
          <t>MUHAMMAD ASIM</t>
        </is>
      </c>
      <c r="E21" s="213" t="n"/>
      <c r="F21" s="213" t="n"/>
      <c r="G21" s="213" t="n"/>
      <c r="H21" s="213" t="n"/>
      <c r="I21" s="213" t="n"/>
      <c r="J21" s="114" t="n"/>
      <c r="K21" s="114" t="n"/>
      <c r="L21" s="114" t="n"/>
      <c r="M21" s="114" t="n"/>
      <c r="N21" s="223" t="n"/>
      <c r="O21" s="224" t="n"/>
      <c r="P21" s="114" t="n">
        <v>0</v>
      </c>
      <c r="Q21" s="546" t="n">
        <v>0</v>
      </c>
      <c r="R21" s="546" t="n">
        <v>0</v>
      </c>
      <c r="S21" s="114" t="n">
        <v>0</v>
      </c>
      <c r="T21" s="546" t="n">
        <v>0</v>
      </c>
      <c r="U21" s="546" t="n">
        <v>0</v>
      </c>
      <c r="V21" s="583" t="n"/>
      <c r="W21" s="276" t="n"/>
      <c r="X21" s="246" t="n"/>
      <c r="Y21" s="277" t="n"/>
      <c r="Z21" s="246" t="n"/>
      <c r="AA21" s="246" t="n"/>
      <c r="AB21" s="246" t="n"/>
      <c r="AC21" s="246" t="n"/>
      <c r="AD21" s="246" t="n"/>
      <c r="AE21" s="114" t="n"/>
      <c r="AF21" s="114" t="n"/>
      <c r="AG21" s="114" t="n"/>
      <c r="AH21" s="114" t="n"/>
      <c r="AI21" s="223" t="n"/>
      <c r="AJ21" s="224" t="n"/>
      <c r="AK21" s="114" t="n"/>
      <c r="AL21" s="546" t="n"/>
      <c r="AM21" s="546" t="n"/>
      <c r="AN21" s="246" t="n"/>
      <c r="AO21" s="246" t="n"/>
      <c r="AP21" s="246" t="n"/>
      <c r="AQ21" s="246" t="n"/>
      <c r="AR21" s="246" t="n"/>
      <c r="AS21" s="114" t="n"/>
      <c r="AT21" s="114" t="n"/>
      <c r="AU21" s="114" t="n"/>
      <c r="AV21" s="114" t="n"/>
      <c r="AW21" s="223" t="n"/>
      <c r="AX21" s="224" t="n"/>
      <c r="AY21" s="114" t="n"/>
      <c r="AZ21" s="546" t="n"/>
      <c r="BA21" s="546" t="n"/>
      <c r="BB21" s="246" t="n"/>
      <c r="BC21" s="246" t="n"/>
      <c r="BD21" s="246" t="n"/>
      <c r="BE21" s="246" t="n"/>
      <c r="BF21" s="246" t="n"/>
      <c r="BG21" s="114" t="n"/>
      <c r="BH21" s="114" t="n"/>
      <c r="BI21" s="114" t="n"/>
      <c r="BJ21" s="114" t="n"/>
      <c r="BK21" s="223" t="n"/>
      <c r="BL21" s="224" t="n"/>
      <c r="BM21" s="114" t="n"/>
      <c r="BN21" s="546" t="n"/>
      <c r="BO21" s="546" t="n"/>
      <c r="BP21" s="315" t="n"/>
      <c r="BQ21" s="606" t="n"/>
      <c r="BR21" s="65">
        <f>AVERAGE(S22,N21)</f>
        <v/>
      </c>
      <c r="BS21" s="66">
        <f>AVERAGE(W21,R21,J21,F21,E21)</f>
        <v/>
      </c>
      <c r="BT21" s="66">
        <f>AVERAGE(G22,K22,L22,M22,R21,T21,X21,Y21,AA21,AB21)</f>
        <v/>
      </c>
      <c r="BU21" s="66">
        <f>AVERAGE(U21)</f>
        <v/>
      </c>
      <c r="BV21" s="66">
        <f>AVERAGE(0)</f>
        <v/>
      </c>
      <c r="BW21" s="66" t="n"/>
      <c r="BX21" s="66" t="n"/>
      <c r="BY21" s="66" t="n"/>
      <c r="BZ21" s="66" t="n"/>
      <c r="CA21" s="66" t="n"/>
    </row>
    <row r="22" ht="18" customHeight="1" s="590">
      <c r="B22" s="12" t="n">
        <v>16</v>
      </c>
      <c r="C22" s="13" t="inlineStr">
        <is>
          <t>052-24-124129</t>
        </is>
      </c>
      <c r="D22" s="14" t="inlineStr">
        <is>
          <t>ABDULREHMAN SYAF</t>
        </is>
      </c>
      <c r="E22" s="213" t="n"/>
      <c r="F22" s="213" t="n"/>
      <c r="G22" s="213" t="n"/>
      <c r="H22" s="213" t="n"/>
      <c r="I22" s="213" t="n"/>
      <c r="J22" s="114" t="n"/>
      <c r="K22" s="114" t="n"/>
      <c r="L22" s="114" t="n"/>
      <c r="M22" s="114" t="n"/>
      <c r="N22" s="223" t="n"/>
      <c r="O22" s="224" t="n"/>
      <c r="P22" s="114" t="n">
        <v>0</v>
      </c>
      <c r="Q22" s="546" t="n">
        <v>20</v>
      </c>
      <c r="R22" s="546" t="n">
        <v>40</v>
      </c>
      <c r="S22" s="114" t="n">
        <v>0</v>
      </c>
      <c r="T22" s="546" t="n">
        <v>0</v>
      </c>
      <c r="U22" s="546" t="n">
        <v>0</v>
      </c>
      <c r="V22" s="583" t="n"/>
      <c r="W22" s="276" t="n"/>
      <c r="X22" s="246" t="n"/>
      <c r="Y22" s="277" t="n"/>
      <c r="Z22" s="246" t="n"/>
      <c r="AA22" s="246" t="n"/>
      <c r="AB22" s="246" t="n"/>
      <c r="AC22" s="246" t="n"/>
      <c r="AD22" s="246" t="n"/>
      <c r="AE22" s="114" t="n"/>
      <c r="AF22" s="114" t="n"/>
      <c r="AG22" s="114" t="n"/>
      <c r="AH22" s="114" t="n"/>
      <c r="AI22" s="223" t="n"/>
      <c r="AJ22" s="224" t="n"/>
      <c r="AK22" s="114" t="n"/>
      <c r="AL22" s="546" t="n"/>
      <c r="AM22" s="546" t="n"/>
      <c r="AN22" s="246" t="n"/>
      <c r="AO22" s="246" t="n"/>
      <c r="AP22" s="246" t="n"/>
      <c r="AQ22" s="246" t="n"/>
      <c r="AR22" s="246" t="n"/>
      <c r="AS22" s="114" t="n"/>
      <c r="AT22" s="114" t="n"/>
      <c r="AU22" s="114" t="n"/>
      <c r="AV22" s="114" t="n"/>
      <c r="AW22" s="223" t="n"/>
      <c r="AX22" s="224" t="n"/>
      <c r="AY22" s="114" t="n"/>
      <c r="AZ22" s="546" t="n"/>
      <c r="BA22" s="546" t="n"/>
      <c r="BB22" s="246" t="n"/>
      <c r="BC22" s="246" t="n"/>
      <c r="BD22" s="246" t="n"/>
      <c r="BE22" s="246" t="n"/>
      <c r="BF22" s="246" t="n"/>
      <c r="BG22" s="114" t="n"/>
      <c r="BH22" s="114" t="n"/>
      <c r="BI22" s="114" t="n"/>
      <c r="BJ22" s="114" t="n"/>
      <c r="BK22" s="223" t="n"/>
      <c r="BL22" s="224" t="n"/>
      <c r="BM22" s="114" t="n"/>
      <c r="BN22" s="546" t="n"/>
      <c r="BO22" s="546" t="n"/>
      <c r="BP22" s="315" t="n"/>
      <c r="BQ22" s="606" t="n"/>
      <c r="BR22" s="65">
        <f>AVERAGE(S23,N22)</f>
        <v/>
      </c>
      <c r="BS22" s="66">
        <f>AVERAGE(W22,R22,J22,F22,E22)</f>
        <v/>
      </c>
      <c r="BT22" s="66">
        <f>AVERAGE(G23,K23,L23,M23,R22,T22,X22,Y22,AA22,AB22)</f>
        <v/>
      </c>
      <c r="BU22" s="66">
        <f>AVERAGE(U22)</f>
        <v/>
      </c>
      <c r="BV22" s="66">
        <f>AVERAGE(0)</f>
        <v/>
      </c>
      <c r="BW22" s="66" t="n"/>
      <c r="BX22" s="66" t="n"/>
      <c r="BY22" s="66" t="n"/>
      <c r="BZ22" s="66" t="n"/>
      <c r="CA22" s="66" t="n"/>
    </row>
    <row r="23" ht="34.5" customHeight="1" s="590">
      <c r="B23" s="12" t="n">
        <v>17</v>
      </c>
      <c r="C23" s="13" t="inlineStr">
        <is>
          <t>052-24-124130</t>
        </is>
      </c>
      <c r="D23" s="14" t="inlineStr">
        <is>
          <t>MUHAMMAD HASNAIN RAEES ABBASI</t>
        </is>
      </c>
      <c r="E23" s="216" t="n">
        <v>78</v>
      </c>
      <c r="F23" s="217" t="n">
        <v>34.17</v>
      </c>
      <c r="G23" s="217" t="n">
        <v>39.69</v>
      </c>
      <c r="H23" s="218" t="n">
        <v>44.13</v>
      </c>
      <c r="I23" s="219" t="n">
        <v>40.3</v>
      </c>
      <c r="J23" s="114" t="n">
        <v>51.64</v>
      </c>
      <c r="K23" s="114" t="n">
        <v>55</v>
      </c>
      <c r="L23" s="114" t="n">
        <v>70</v>
      </c>
      <c r="M23" s="114" t="n">
        <v>100</v>
      </c>
      <c r="N23" s="218" t="n">
        <v>20</v>
      </c>
      <c r="O23" s="219" t="n">
        <v>23.33</v>
      </c>
      <c r="P23" s="114" t="n">
        <v>30</v>
      </c>
      <c r="Q23" s="546" t="n">
        <v>20</v>
      </c>
      <c r="R23" s="546" t="n">
        <v>20</v>
      </c>
      <c r="S23" s="232" t="n">
        <v>67.78</v>
      </c>
      <c r="T23" s="234" t="n">
        <v>61.67</v>
      </c>
      <c r="U23" s="234" t="n">
        <v>87.5</v>
      </c>
      <c r="V23" s="583" t="n"/>
      <c r="W23" s="276" t="n"/>
      <c r="X23" s="246" t="n"/>
      <c r="Y23" s="277" t="n"/>
      <c r="Z23" s="246" t="n"/>
      <c r="AA23" s="246" t="n"/>
      <c r="AB23" s="246" t="n"/>
      <c r="AC23" s="246" t="n"/>
      <c r="AD23" s="246" t="n"/>
      <c r="AE23" s="114" t="n"/>
      <c r="AF23" s="114" t="n"/>
      <c r="AG23" s="114" t="n"/>
      <c r="AH23" s="114" t="n"/>
      <c r="AI23" s="218" t="n"/>
      <c r="AJ23" s="219" t="n"/>
      <c r="AK23" s="114" t="n"/>
      <c r="AL23" s="546" t="n"/>
      <c r="AM23" s="546" t="n"/>
      <c r="AN23" s="246" t="n"/>
      <c r="AO23" s="246" t="n"/>
      <c r="AP23" s="246" t="n"/>
      <c r="AQ23" s="246" t="n"/>
      <c r="AR23" s="246" t="n"/>
      <c r="AS23" s="114" t="n"/>
      <c r="AT23" s="114" t="n"/>
      <c r="AU23" s="114" t="n"/>
      <c r="AV23" s="114" t="n"/>
      <c r="AW23" s="218" t="n"/>
      <c r="AX23" s="219" t="n"/>
      <c r="AY23" s="114" t="n"/>
      <c r="AZ23" s="546" t="n"/>
      <c r="BA23" s="546" t="n"/>
      <c r="BB23" s="246" t="n"/>
      <c r="BC23" s="246" t="n"/>
      <c r="BD23" s="246" t="n"/>
      <c r="BE23" s="246" t="n"/>
      <c r="BF23" s="246" t="n"/>
      <c r="BG23" s="114" t="n"/>
      <c r="BH23" s="114" t="n"/>
      <c r="BI23" s="114" t="n"/>
      <c r="BJ23" s="114" t="n"/>
      <c r="BK23" s="218" t="n"/>
      <c r="BL23" s="219" t="n"/>
      <c r="BM23" s="114" t="n"/>
      <c r="BN23" s="546" t="n"/>
      <c r="BO23" s="546" t="n"/>
      <c r="BP23" s="315" t="n"/>
      <c r="BQ23" s="606" t="n"/>
      <c r="BR23" s="65">
        <f>AVERAGE(S24,N23)</f>
        <v/>
      </c>
      <c r="BS23" s="66">
        <f>AVERAGE(W23,R23,J23,F23,E23)</f>
        <v/>
      </c>
      <c r="BT23" s="66">
        <f>AVERAGE(G24,K24,L24,M24,R23,T23,X23,Y23,AA23,AB23)</f>
        <v/>
      </c>
      <c r="BU23" s="66">
        <f>AVERAGE(U23)</f>
        <v/>
      </c>
      <c r="BV23" s="66">
        <f>AVERAGE(V23,O23,I23,H23)</f>
        <v/>
      </c>
      <c r="BW23" s="66" t="n"/>
      <c r="BX23" s="66" t="n"/>
      <c r="BY23" s="66" t="n"/>
      <c r="BZ23" s="66" t="n"/>
      <c r="CA23" s="66" t="n"/>
    </row>
    <row r="24" ht="18" customHeight="1" s="590">
      <c r="B24" s="12" t="n">
        <v>18</v>
      </c>
      <c r="C24" s="13" t="inlineStr">
        <is>
          <t>052-24-124138</t>
        </is>
      </c>
      <c r="D24" s="14" t="inlineStr">
        <is>
          <t>ALISHBA AFTAB</t>
        </is>
      </c>
      <c r="E24" s="220" t="n">
        <v>77</v>
      </c>
      <c r="F24" s="221" t="n">
        <v>90.83</v>
      </c>
      <c r="G24" s="221" t="n">
        <v>73.87</v>
      </c>
      <c r="H24" s="218" t="n">
        <v>76.27</v>
      </c>
      <c r="I24" s="219" t="n">
        <v>67.15000000000001</v>
      </c>
      <c r="J24" s="114" t="n">
        <v>71.5</v>
      </c>
      <c r="K24" s="114" t="n">
        <v>74.17</v>
      </c>
      <c r="L24" s="114" t="n">
        <v>78.61</v>
      </c>
      <c r="M24" s="114" t="n">
        <v>98.89</v>
      </c>
      <c r="N24" s="218" t="n">
        <v>79.23</v>
      </c>
      <c r="O24" s="219" t="n">
        <v>86.06</v>
      </c>
      <c r="P24" s="114" t="n">
        <v>80</v>
      </c>
      <c r="Q24" s="546" t="n">
        <v>0</v>
      </c>
      <c r="R24" s="546" t="n">
        <v>0</v>
      </c>
      <c r="S24" s="232" t="n">
        <v>77.5</v>
      </c>
      <c r="T24" s="234" t="n">
        <v>80.83</v>
      </c>
      <c r="U24" s="234" t="n">
        <v>85.83</v>
      </c>
      <c r="V24" s="583" t="n"/>
      <c r="W24" s="276" t="n">
        <v>82.22</v>
      </c>
      <c r="X24" s="246" t="n">
        <v>77.62</v>
      </c>
      <c r="Y24" s="277" t="n">
        <v>85</v>
      </c>
      <c r="Z24" s="246" t="n"/>
      <c r="AA24" s="246" t="n"/>
      <c r="AB24" s="246" t="n"/>
      <c r="AC24" s="246" t="n"/>
      <c r="AD24" s="246" t="n"/>
      <c r="AE24" s="114" t="n"/>
      <c r="AF24" s="114" t="n"/>
      <c r="AG24" s="114" t="n"/>
      <c r="AH24" s="114" t="n"/>
      <c r="AI24" s="218" t="n"/>
      <c r="AJ24" s="219" t="n"/>
      <c r="AK24" s="114" t="n"/>
      <c r="AL24" s="546" t="n"/>
      <c r="AM24" s="546" t="n"/>
      <c r="AN24" s="246" t="n"/>
      <c r="AO24" s="246" t="n"/>
      <c r="AP24" s="246" t="n"/>
      <c r="AQ24" s="246" t="n"/>
      <c r="AR24" s="246" t="n"/>
      <c r="AS24" s="114" t="n"/>
      <c r="AT24" s="114" t="n"/>
      <c r="AU24" s="114" t="n"/>
      <c r="AV24" s="114" t="n"/>
      <c r="AW24" s="218" t="n"/>
      <c r="AX24" s="219" t="n"/>
      <c r="AY24" s="114" t="n"/>
      <c r="AZ24" s="546" t="n"/>
      <c r="BA24" s="546" t="n"/>
      <c r="BB24" s="246" t="n"/>
      <c r="BC24" s="246" t="n"/>
      <c r="BD24" s="246" t="n"/>
      <c r="BE24" s="246" t="n"/>
      <c r="BF24" s="246" t="n"/>
      <c r="BG24" s="114" t="n"/>
      <c r="BH24" s="114" t="n"/>
      <c r="BI24" s="114" t="n"/>
      <c r="BJ24" s="114" t="n"/>
      <c r="BK24" s="218" t="n"/>
      <c r="BL24" s="219" t="n"/>
      <c r="BM24" s="114" t="n"/>
      <c r="BN24" s="546" t="n"/>
      <c r="BO24" s="546" t="n"/>
      <c r="BP24" s="315" t="n"/>
      <c r="BQ24" s="606" t="n"/>
      <c r="BR24" s="65">
        <f>AVERAGE(S25,N24)</f>
        <v/>
      </c>
      <c r="BS24" s="66">
        <f>AVERAGE(W24,R24,J24,F24,E24)</f>
        <v/>
      </c>
      <c r="BT24" s="66">
        <f>AVERAGE(G25,K25,L25,M25,R24,T24,X24,Y24,AA24,AB24)</f>
        <v/>
      </c>
      <c r="BU24" s="66">
        <f>AVERAGE(U24)</f>
        <v/>
      </c>
      <c r="BV24" s="66">
        <f>AVERAGE(V24,O24,I24,H24)</f>
        <v/>
      </c>
      <c r="BW24" s="66" t="n"/>
      <c r="BX24" s="66" t="n"/>
      <c r="BY24" s="66" t="n"/>
      <c r="BZ24" s="66" t="n"/>
      <c r="CA24" s="66" t="n"/>
    </row>
    <row r="25" ht="34.5" customHeight="1" s="590">
      <c r="B25" s="12" t="n">
        <v>19</v>
      </c>
      <c r="C25" s="13" t="inlineStr">
        <is>
          <t>052-24-124146</t>
        </is>
      </c>
      <c r="D25" s="14" t="inlineStr">
        <is>
          <t>MUHAMMAD ABDUL SAMI UL HASSAN</t>
        </is>
      </c>
      <c r="E25" s="213" t="n"/>
      <c r="F25" s="213" t="n"/>
      <c r="G25" s="213" t="n"/>
      <c r="H25" s="213" t="n"/>
      <c r="I25" s="213" t="n"/>
      <c r="J25" s="114" t="n"/>
      <c r="K25" s="114" t="n"/>
      <c r="L25" s="114" t="n"/>
      <c r="M25" s="114" t="n"/>
      <c r="N25" s="223" t="n"/>
      <c r="O25" s="224" t="n"/>
      <c r="P25" s="114" t="n">
        <v>0</v>
      </c>
      <c r="Q25" s="546" t="n">
        <v>40</v>
      </c>
      <c r="R25" s="546" t="n">
        <v>40</v>
      </c>
      <c r="S25" s="114" t="n">
        <v>0</v>
      </c>
      <c r="T25" s="546" t="n">
        <v>0</v>
      </c>
      <c r="U25" s="546" t="n">
        <v>0</v>
      </c>
      <c r="V25" s="583" t="n"/>
      <c r="W25" s="276" t="n"/>
      <c r="X25" s="246" t="n"/>
      <c r="Y25" s="277" t="n"/>
      <c r="Z25" s="246" t="n"/>
      <c r="AA25" s="246" t="n"/>
      <c r="AB25" s="246" t="n"/>
      <c r="AC25" s="246" t="n"/>
      <c r="AD25" s="246" t="n"/>
      <c r="AE25" s="114" t="n"/>
      <c r="AF25" s="114" t="n"/>
      <c r="AG25" s="114" t="n"/>
      <c r="AH25" s="114" t="n"/>
      <c r="AI25" s="223" t="n"/>
      <c r="AJ25" s="224" t="n"/>
      <c r="AK25" s="114" t="n"/>
      <c r="AL25" s="546" t="n"/>
      <c r="AM25" s="546" t="n"/>
      <c r="AN25" s="246" t="n"/>
      <c r="AO25" s="246" t="n"/>
      <c r="AP25" s="246" t="n"/>
      <c r="AQ25" s="246" t="n"/>
      <c r="AR25" s="246" t="n"/>
      <c r="AS25" s="114" t="n"/>
      <c r="AT25" s="114" t="n"/>
      <c r="AU25" s="114" t="n"/>
      <c r="AV25" s="114" t="n"/>
      <c r="AW25" s="223" t="n"/>
      <c r="AX25" s="224" t="n"/>
      <c r="AY25" s="114" t="n"/>
      <c r="AZ25" s="546" t="n"/>
      <c r="BA25" s="546" t="n"/>
      <c r="BB25" s="246" t="n"/>
      <c r="BC25" s="246" t="n"/>
      <c r="BD25" s="246" t="n"/>
      <c r="BE25" s="246" t="n"/>
      <c r="BF25" s="246" t="n"/>
      <c r="BG25" s="114" t="n"/>
      <c r="BH25" s="114" t="n"/>
      <c r="BI25" s="114" t="n"/>
      <c r="BJ25" s="114" t="n"/>
      <c r="BK25" s="223" t="n"/>
      <c r="BL25" s="224" t="n"/>
      <c r="BM25" s="114" t="n"/>
      <c r="BN25" s="546" t="n"/>
      <c r="BO25" s="546" t="n"/>
      <c r="BP25" s="315" t="n"/>
      <c r="BQ25" s="606" t="n"/>
      <c r="BR25" s="65">
        <f>AVERAGE(S26,N25)</f>
        <v/>
      </c>
      <c r="BS25" s="66">
        <f>AVERAGE(W25,R25,J25,F25,E25)</f>
        <v/>
      </c>
      <c r="BT25" s="66">
        <f>AVERAGE(G26,K26,L26,M26,R25,T25,X25,Y25,AA25,AB25)</f>
        <v/>
      </c>
      <c r="BU25" s="66">
        <f>AVERAGE(U25)</f>
        <v/>
      </c>
      <c r="BV25" s="66">
        <f>AVERAGE(0)</f>
        <v/>
      </c>
      <c r="BW25" s="66" t="n"/>
      <c r="BX25" s="66" t="n"/>
      <c r="BY25" s="66" t="n"/>
      <c r="BZ25" s="66" t="n"/>
      <c r="CA25" s="66" t="n"/>
    </row>
    <row r="26" ht="18" customHeight="1" s="590">
      <c r="B26" s="12" t="n">
        <v>20</v>
      </c>
      <c r="C26" s="13" t="inlineStr">
        <is>
          <t>052-24-124162</t>
        </is>
      </c>
      <c r="D26" s="14" t="inlineStr">
        <is>
          <t>JAWERIA FATIMA</t>
        </is>
      </c>
      <c r="E26" s="216" t="n">
        <v>78</v>
      </c>
      <c r="F26" s="217" t="n">
        <v>87.5</v>
      </c>
      <c r="G26" s="217" t="n">
        <v>94.48999999999999</v>
      </c>
      <c r="H26" s="218" t="n">
        <v>82.34999999999999</v>
      </c>
      <c r="I26" s="219" t="n">
        <v>79.52</v>
      </c>
      <c r="J26" s="114" t="n">
        <v>90.83</v>
      </c>
      <c r="K26" s="114" t="n">
        <v>87.5</v>
      </c>
      <c r="L26" s="114" t="n">
        <v>87.78</v>
      </c>
      <c r="M26" s="114" t="n">
        <v>116.67</v>
      </c>
      <c r="N26" s="218" t="n">
        <v>90.77</v>
      </c>
      <c r="O26" s="219" t="n">
        <v>92.12</v>
      </c>
      <c r="P26" s="114" t="n">
        <v>60</v>
      </c>
      <c r="Q26" s="546" t="n">
        <v>20</v>
      </c>
      <c r="R26" s="546" t="n">
        <v>20</v>
      </c>
      <c r="S26" s="232" t="n">
        <v>81.67</v>
      </c>
      <c r="T26" s="234" t="n">
        <v>89.17</v>
      </c>
      <c r="U26" s="234" t="n">
        <v>81.67</v>
      </c>
      <c r="V26" s="583" t="n"/>
      <c r="W26" s="276" t="n">
        <v>87.78</v>
      </c>
      <c r="X26" s="246" t="n">
        <v>85.81</v>
      </c>
      <c r="Y26" s="277" t="n">
        <v>85</v>
      </c>
      <c r="Z26" s="246" t="n"/>
      <c r="AA26" s="246" t="n"/>
      <c r="AB26" s="246" t="n"/>
      <c r="AC26" s="246" t="n"/>
      <c r="AD26" s="246" t="n"/>
      <c r="AE26" s="114" t="n"/>
      <c r="AF26" s="114" t="n"/>
      <c r="AG26" s="114" t="n"/>
      <c r="AH26" s="114" t="n"/>
      <c r="AI26" s="218" t="n"/>
      <c r="AJ26" s="219" t="n"/>
      <c r="AK26" s="114" t="n"/>
      <c r="AL26" s="546" t="n"/>
      <c r="AM26" s="546" t="n"/>
      <c r="AN26" s="246" t="n"/>
      <c r="AO26" s="246" t="n"/>
      <c r="AP26" s="246" t="n"/>
      <c r="AQ26" s="246" t="n"/>
      <c r="AR26" s="246" t="n"/>
      <c r="AS26" s="114" t="n"/>
      <c r="AT26" s="114" t="n"/>
      <c r="AU26" s="114" t="n"/>
      <c r="AV26" s="114" t="n"/>
      <c r="AW26" s="218" t="n"/>
      <c r="AX26" s="219" t="n"/>
      <c r="AY26" s="114" t="n"/>
      <c r="AZ26" s="546" t="n"/>
      <c r="BA26" s="546" t="n"/>
      <c r="BB26" s="246" t="n"/>
      <c r="BC26" s="246" t="n"/>
      <c r="BD26" s="246" t="n"/>
      <c r="BE26" s="246" t="n"/>
      <c r="BF26" s="246" t="n"/>
      <c r="BG26" s="114" t="n"/>
      <c r="BH26" s="114" t="n"/>
      <c r="BI26" s="114" t="n"/>
      <c r="BJ26" s="114" t="n"/>
      <c r="BK26" s="218" t="n"/>
      <c r="BL26" s="219" t="n"/>
      <c r="BM26" s="114" t="n"/>
      <c r="BN26" s="546" t="n"/>
      <c r="BO26" s="546" t="n"/>
      <c r="BP26" s="315" t="n"/>
      <c r="BQ26" s="606" t="n"/>
      <c r="BR26" s="65">
        <f>AVERAGE(S27,N26)</f>
        <v/>
      </c>
      <c r="BS26" s="66">
        <f>AVERAGE(W26,R26,J26,F26,E26)</f>
        <v/>
      </c>
      <c r="BT26" s="66">
        <f>AVERAGE(G27,K27,L27,M27,R26,T26,X26,Y26,AA26,AB26)</f>
        <v/>
      </c>
      <c r="BU26" s="66">
        <f>AVERAGE(U26)</f>
        <v/>
      </c>
      <c r="BV26" s="66">
        <f>AVERAGE(V26,O26,I26,H26)</f>
        <v/>
      </c>
      <c r="BW26" s="66" t="n"/>
      <c r="BX26" s="66" t="n"/>
      <c r="BY26" s="66" t="n"/>
      <c r="BZ26" s="66" t="n"/>
      <c r="CA26" s="66" t="n"/>
    </row>
    <row r="27" ht="18" customHeight="1" s="590">
      <c r="B27" s="12" t="n">
        <v>21</v>
      </c>
      <c r="C27" s="13" t="inlineStr">
        <is>
          <t>052-24-124163</t>
        </is>
      </c>
      <c r="D27" s="14" t="inlineStr">
        <is>
          <t>HASSAM NAWAZ</t>
        </is>
      </c>
      <c r="E27" s="220" t="n">
        <v>69</v>
      </c>
      <c r="F27" s="221" t="n">
        <v>48.33</v>
      </c>
      <c r="G27" s="221" t="n">
        <v>56.58</v>
      </c>
      <c r="H27" s="218" t="n">
        <v>46.37</v>
      </c>
      <c r="I27" s="219" t="n">
        <v>39.58</v>
      </c>
      <c r="J27" s="114" t="n">
        <v>65.81</v>
      </c>
      <c r="K27" s="114" t="n">
        <v>55.42</v>
      </c>
      <c r="L27" s="114" t="n">
        <v>68.89</v>
      </c>
      <c r="M27" s="114" t="n">
        <v>70</v>
      </c>
      <c r="N27" s="218" t="n">
        <v>71.03</v>
      </c>
      <c r="O27" s="219" t="n">
        <v>66.36</v>
      </c>
      <c r="P27" s="114" t="n">
        <v>30</v>
      </c>
      <c r="Q27" s="546" t="n">
        <v>20</v>
      </c>
      <c r="R27" s="546" t="n">
        <v>20</v>
      </c>
      <c r="S27" s="232" t="n">
        <v>54.72</v>
      </c>
      <c r="T27" s="234" t="n">
        <v>68.33</v>
      </c>
      <c r="U27" s="234" t="n">
        <v>66.39</v>
      </c>
      <c r="V27" s="583" t="n"/>
      <c r="W27" s="276" t="n">
        <v>79.44</v>
      </c>
      <c r="X27" s="246" t="n">
        <v>74.76000000000001</v>
      </c>
      <c r="Y27" s="277" t="n">
        <v>85</v>
      </c>
      <c r="Z27" s="246" t="n"/>
      <c r="AA27" s="246" t="n"/>
      <c r="AB27" s="246" t="n"/>
      <c r="AC27" s="246" t="n"/>
      <c r="AD27" s="246" t="n"/>
      <c r="AE27" s="114" t="n"/>
      <c r="AF27" s="114" t="n"/>
      <c r="AG27" s="114" t="n"/>
      <c r="AH27" s="114" t="n"/>
      <c r="AI27" s="218" t="n"/>
      <c r="AJ27" s="219" t="n"/>
      <c r="AK27" s="114" t="n"/>
      <c r="AL27" s="546" t="n"/>
      <c r="AM27" s="546" t="n"/>
      <c r="AN27" s="246" t="n"/>
      <c r="AO27" s="246" t="n"/>
      <c r="AP27" s="246" t="n"/>
      <c r="AQ27" s="246" t="n"/>
      <c r="AR27" s="246" t="n"/>
      <c r="AS27" s="114" t="n"/>
      <c r="AT27" s="114" t="n"/>
      <c r="AU27" s="114" t="n"/>
      <c r="AV27" s="114" t="n"/>
      <c r="AW27" s="218" t="n"/>
      <c r="AX27" s="219" t="n"/>
      <c r="AY27" s="114" t="n"/>
      <c r="AZ27" s="546" t="n"/>
      <c r="BA27" s="546" t="n"/>
      <c r="BB27" s="246" t="n"/>
      <c r="BC27" s="246" t="n"/>
      <c r="BD27" s="246" t="n"/>
      <c r="BE27" s="246" t="n"/>
      <c r="BF27" s="246" t="n"/>
      <c r="BG27" s="114" t="n"/>
      <c r="BH27" s="114" t="n"/>
      <c r="BI27" s="114" t="n"/>
      <c r="BJ27" s="114" t="n"/>
      <c r="BK27" s="218" t="n"/>
      <c r="BL27" s="219" t="n"/>
      <c r="BM27" s="114" t="n"/>
      <c r="BN27" s="546" t="n"/>
      <c r="BO27" s="546" t="n"/>
      <c r="BP27" s="315" t="n"/>
      <c r="BQ27" s="606" t="n"/>
      <c r="BR27" s="65">
        <f>AVERAGE(S28,N27)</f>
        <v/>
      </c>
      <c r="BS27" s="66">
        <f>AVERAGE(W27,R27,J27,F27,E27)</f>
        <v/>
      </c>
      <c r="BT27" s="66">
        <f>AVERAGE(G28,K28,L28,M28,R27,T27,X27,Y27,AA27,AB27)</f>
        <v/>
      </c>
      <c r="BU27" s="66">
        <f>AVERAGE(U27)</f>
        <v/>
      </c>
      <c r="BV27" s="66">
        <f>AVERAGE(V27,O27,I27,H27)</f>
        <v/>
      </c>
      <c r="BW27" s="66" t="n"/>
      <c r="BX27" s="66" t="n"/>
      <c r="BY27" s="66" t="n"/>
      <c r="BZ27" s="66" t="n"/>
      <c r="CA27" s="66" t="n"/>
    </row>
    <row r="28" ht="18" customHeight="1" s="590">
      <c r="B28" s="12" t="n">
        <v>22</v>
      </c>
      <c r="C28" s="13" t="inlineStr">
        <is>
          <t>052-24-124225</t>
        </is>
      </c>
      <c r="D28" s="14" t="inlineStr">
        <is>
          <t>MUSAB UMAIR KHAN</t>
        </is>
      </c>
      <c r="E28" s="220" t="n">
        <v>77</v>
      </c>
      <c r="F28" s="221" t="n">
        <v>70</v>
      </c>
      <c r="G28" s="221" t="n">
        <v>88</v>
      </c>
      <c r="H28" s="218" t="n">
        <v>60</v>
      </c>
      <c r="I28" s="219" t="n">
        <v>70.91</v>
      </c>
      <c r="J28" s="114" t="n">
        <v>70.17</v>
      </c>
      <c r="K28" s="114" t="n">
        <v>80.83</v>
      </c>
      <c r="L28" s="114" t="n">
        <v>77.78</v>
      </c>
      <c r="M28" s="114" t="n">
        <v>100</v>
      </c>
      <c r="N28" s="218" t="n">
        <v>81.54000000000001</v>
      </c>
      <c r="O28" s="219" t="n">
        <v>85.45</v>
      </c>
      <c r="P28" s="114" t="n">
        <v>40</v>
      </c>
      <c r="Q28" s="546" t="n">
        <v>0</v>
      </c>
      <c r="R28" s="546" t="n">
        <v>0</v>
      </c>
      <c r="S28" s="232" t="n">
        <v>66.67</v>
      </c>
      <c r="T28" s="234" t="n">
        <v>68.75</v>
      </c>
      <c r="U28" s="234" t="n">
        <v>76.67</v>
      </c>
      <c r="V28" s="583" t="n"/>
      <c r="W28" s="276" t="n">
        <v>76.67</v>
      </c>
      <c r="X28" s="246" t="n">
        <v>76.09999999999999</v>
      </c>
      <c r="Y28" s="277" t="n">
        <v>87.22</v>
      </c>
      <c r="Z28" s="246" t="n"/>
      <c r="AA28" s="246" t="n"/>
      <c r="AB28" s="246" t="n"/>
      <c r="AC28" s="246" t="n"/>
      <c r="AD28" s="246" t="n"/>
      <c r="AE28" s="114" t="n"/>
      <c r="AF28" s="114" t="n"/>
      <c r="AG28" s="114" t="n"/>
      <c r="AH28" s="114" t="n"/>
      <c r="AI28" s="218" t="n"/>
      <c r="AJ28" s="219" t="n"/>
      <c r="AK28" s="114" t="n"/>
      <c r="AL28" s="546" t="n"/>
      <c r="AM28" s="546" t="n"/>
      <c r="AN28" s="246" t="n"/>
      <c r="AO28" s="246" t="n"/>
      <c r="AP28" s="246" t="n"/>
      <c r="AQ28" s="246" t="n"/>
      <c r="AR28" s="246" t="n"/>
      <c r="AS28" s="114" t="n"/>
      <c r="AT28" s="114" t="n"/>
      <c r="AU28" s="114" t="n"/>
      <c r="AV28" s="114" t="n"/>
      <c r="AW28" s="218" t="n"/>
      <c r="AX28" s="219" t="n"/>
      <c r="AY28" s="114" t="n"/>
      <c r="AZ28" s="546" t="n"/>
      <c r="BA28" s="546" t="n"/>
      <c r="BB28" s="246" t="n"/>
      <c r="BC28" s="246" t="n"/>
      <c r="BD28" s="246" t="n"/>
      <c r="BE28" s="246" t="n"/>
      <c r="BF28" s="246" t="n"/>
      <c r="BG28" s="114" t="n"/>
      <c r="BH28" s="114" t="n"/>
      <c r="BI28" s="114" t="n"/>
      <c r="BJ28" s="114" t="n"/>
      <c r="BK28" s="218" t="n"/>
      <c r="BL28" s="219" t="n"/>
      <c r="BM28" s="114" t="n"/>
      <c r="BN28" s="546" t="n"/>
      <c r="BO28" s="546" t="n"/>
      <c r="BP28" s="315" t="n"/>
      <c r="BQ28" s="606" t="n"/>
      <c r="BR28" s="65">
        <f>AVERAGE(S29,N28)</f>
        <v/>
      </c>
      <c r="BS28" s="66">
        <f>AVERAGE(W28,R28,J28,F28,E28)</f>
        <v/>
      </c>
      <c r="BT28" s="66">
        <f>AVERAGE(G29,K29,L29,M29,R28,T28,X28,Y28,AA28,AB28)</f>
        <v/>
      </c>
      <c r="BU28" s="66">
        <f>AVERAGE(U28)</f>
        <v/>
      </c>
      <c r="BV28" s="66">
        <f>AVERAGE(V28,O28,I28,H28)</f>
        <v/>
      </c>
      <c r="BW28" s="66" t="n"/>
      <c r="BX28" s="66" t="n"/>
      <c r="BY28" s="66" t="n"/>
      <c r="BZ28" s="66" t="n"/>
      <c r="CA28" s="66" t="n"/>
    </row>
    <row r="29" ht="18" customHeight="1" s="590">
      <c r="B29" s="12" t="n">
        <v>23</v>
      </c>
      <c r="C29" s="13" t="inlineStr">
        <is>
          <t>052-24-124248</t>
        </is>
      </c>
      <c r="D29" s="14" t="inlineStr">
        <is>
          <t>ABDULLAH BIN QAMAR</t>
        </is>
      </c>
      <c r="E29" s="213" t="n"/>
      <c r="F29" s="214" t="n"/>
      <c r="G29" s="215" t="n"/>
      <c r="H29" s="222" t="n"/>
      <c r="I29" s="215" t="n"/>
      <c r="J29" s="114" t="n"/>
      <c r="K29" s="114" t="n"/>
      <c r="L29" s="114" t="n"/>
      <c r="M29" s="114" t="n"/>
      <c r="N29" s="223" t="n"/>
      <c r="O29" s="224" t="n"/>
      <c r="P29" s="114" t="n">
        <v>0</v>
      </c>
      <c r="Q29" s="546" t="n">
        <v>40</v>
      </c>
      <c r="R29" s="546" t="n">
        <v>40</v>
      </c>
      <c r="S29" s="114" t="n">
        <v>0</v>
      </c>
      <c r="T29" s="546" t="n">
        <v>0</v>
      </c>
      <c r="U29" s="546" t="n">
        <v>0</v>
      </c>
      <c r="V29" s="583" t="n"/>
      <c r="W29" s="276" t="n"/>
      <c r="X29" s="246" t="n"/>
      <c r="Y29" s="277" t="n"/>
      <c r="Z29" s="246" t="n"/>
      <c r="AA29" s="246" t="n"/>
      <c r="AB29" s="246" t="n"/>
      <c r="AC29" s="246" t="n"/>
      <c r="AD29" s="246" t="n"/>
      <c r="AE29" s="114" t="n"/>
      <c r="AF29" s="114" t="n"/>
      <c r="AG29" s="114" t="n"/>
      <c r="AH29" s="114" t="n"/>
      <c r="AI29" s="223" t="n"/>
      <c r="AJ29" s="224" t="n"/>
      <c r="AK29" s="114" t="n"/>
      <c r="AL29" s="546" t="n"/>
      <c r="AM29" s="546" t="n"/>
      <c r="AN29" s="246" t="n"/>
      <c r="AO29" s="246" t="n"/>
      <c r="AP29" s="246" t="n"/>
      <c r="AQ29" s="246" t="n"/>
      <c r="AR29" s="246" t="n"/>
      <c r="AS29" s="114" t="n"/>
      <c r="AT29" s="114" t="n"/>
      <c r="AU29" s="114" t="n"/>
      <c r="AV29" s="114" t="n"/>
      <c r="AW29" s="223" t="n"/>
      <c r="AX29" s="224" t="n"/>
      <c r="AY29" s="114" t="n"/>
      <c r="AZ29" s="546" t="n"/>
      <c r="BA29" s="546" t="n"/>
      <c r="BB29" s="246" t="n"/>
      <c r="BC29" s="246" t="n"/>
      <c r="BD29" s="246" t="n"/>
      <c r="BE29" s="246" t="n"/>
      <c r="BF29" s="246" t="n"/>
      <c r="BG29" s="114" t="n"/>
      <c r="BH29" s="114" t="n"/>
      <c r="BI29" s="114" t="n"/>
      <c r="BJ29" s="114" t="n"/>
      <c r="BK29" s="223" t="n"/>
      <c r="BL29" s="224" t="n"/>
      <c r="BM29" s="114" t="n"/>
      <c r="BN29" s="546" t="n"/>
      <c r="BO29" s="546" t="n"/>
      <c r="BP29" s="315" t="n"/>
      <c r="BQ29" s="606" t="n"/>
      <c r="BR29" s="65">
        <f>AVERAGE(S30,N29)</f>
        <v/>
      </c>
      <c r="BS29" s="66">
        <f>AVERAGE(W29,R29,J29,F29,E29)</f>
        <v/>
      </c>
      <c r="BT29" s="66">
        <f>AVERAGE(G30,K30,L30,M30,R29,T29,X29,Y29,AA29,AB29)</f>
        <v/>
      </c>
      <c r="BU29" s="66">
        <f>AVERAGE(U29)</f>
        <v/>
      </c>
      <c r="BV29" s="66">
        <f>AVERAGE(0)</f>
        <v/>
      </c>
      <c r="BW29" s="66" t="n"/>
      <c r="BX29" s="66" t="n"/>
      <c r="BY29" s="66" t="n"/>
      <c r="BZ29" s="66" t="n"/>
      <c r="CA29" s="66" t="n"/>
    </row>
    <row r="30" ht="18" customHeight="1" s="590">
      <c r="B30" s="12" t="n">
        <v>24</v>
      </c>
      <c r="C30" s="13" t="inlineStr">
        <is>
          <t>052-24-124259</t>
        </is>
      </c>
      <c r="D30" s="14" t="inlineStr">
        <is>
          <t>SHAKIRA TAJIK</t>
        </is>
      </c>
      <c r="E30" s="216" t="n">
        <v>77</v>
      </c>
      <c r="F30" s="217" t="n">
        <v>78.33</v>
      </c>
      <c r="G30" s="217" t="n">
        <v>91.87</v>
      </c>
      <c r="H30" s="218" t="n">
        <v>77.94</v>
      </c>
      <c r="I30" s="219" t="n">
        <v>73.09</v>
      </c>
      <c r="J30" s="114" t="n">
        <v>84.5</v>
      </c>
      <c r="K30" s="114" t="n">
        <v>90.42</v>
      </c>
      <c r="L30" s="114" t="n">
        <v>89.44</v>
      </c>
      <c r="M30" s="114" t="n">
        <v>116.67</v>
      </c>
      <c r="N30" s="218" t="n">
        <v>85.90000000000001</v>
      </c>
      <c r="O30" s="219" t="n">
        <v>89.7</v>
      </c>
      <c r="P30" s="114" t="n">
        <v>40</v>
      </c>
      <c r="Q30" s="546" t="n">
        <v>60</v>
      </c>
      <c r="R30" s="546" t="n">
        <v>60</v>
      </c>
      <c r="S30" s="232" t="n">
        <v>81.67</v>
      </c>
      <c r="T30" s="234" t="n">
        <v>80.83</v>
      </c>
      <c r="U30" s="234" t="n">
        <v>81.94</v>
      </c>
      <c r="V30" s="583" t="n"/>
      <c r="W30" s="276" t="n">
        <v>85</v>
      </c>
      <c r="X30" s="246" t="n">
        <v>83.81</v>
      </c>
      <c r="Y30" s="277" t="n">
        <v>85</v>
      </c>
      <c r="Z30" s="246" t="n"/>
      <c r="AA30" s="246" t="n"/>
      <c r="AB30" s="246" t="n"/>
      <c r="AC30" s="246" t="n"/>
      <c r="AD30" s="246" t="n"/>
      <c r="AE30" s="114" t="n"/>
      <c r="AF30" s="114" t="n"/>
      <c r="AG30" s="114" t="n"/>
      <c r="AH30" s="114" t="n"/>
      <c r="AI30" s="218" t="n"/>
      <c r="AJ30" s="219" t="n"/>
      <c r="AK30" s="114" t="n"/>
      <c r="AL30" s="546" t="n"/>
      <c r="AM30" s="546" t="n"/>
      <c r="AN30" s="246" t="n"/>
      <c r="AO30" s="246" t="n"/>
      <c r="AP30" s="246" t="n"/>
      <c r="AQ30" s="246" t="n"/>
      <c r="AR30" s="246" t="n"/>
      <c r="AS30" s="114" t="n"/>
      <c r="AT30" s="114" t="n"/>
      <c r="AU30" s="114" t="n"/>
      <c r="AV30" s="114" t="n"/>
      <c r="AW30" s="218" t="n"/>
      <c r="AX30" s="219" t="n"/>
      <c r="AY30" s="114" t="n"/>
      <c r="AZ30" s="546" t="n"/>
      <c r="BA30" s="546" t="n"/>
      <c r="BB30" s="246" t="n"/>
      <c r="BC30" s="246" t="n"/>
      <c r="BD30" s="246" t="n"/>
      <c r="BE30" s="246" t="n"/>
      <c r="BF30" s="246" t="n"/>
      <c r="BG30" s="114" t="n"/>
      <c r="BH30" s="114" t="n"/>
      <c r="BI30" s="114" t="n"/>
      <c r="BJ30" s="114" t="n"/>
      <c r="BK30" s="218" t="n"/>
      <c r="BL30" s="219" t="n"/>
      <c r="BM30" s="114" t="n"/>
      <c r="BN30" s="546" t="n"/>
      <c r="BO30" s="546" t="n"/>
      <c r="BP30" s="315" t="n"/>
      <c r="BQ30" s="606" t="n"/>
      <c r="BR30" s="65">
        <f>AVERAGE(S31,N30)</f>
        <v/>
      </c>
      <c r="BS30" s="66">
        <f>AVERAGE(W30,R30,J30,F30,E30)</f>
        <v/>
      </c>
      <c r="BT30" s="66">
        <f>AVERAGE(G31,K31,L31,M31,R30,T30,X30,Y30,AA30,AB30)</f>
        <v/>
      </c>
      <c r="BU30" s="66">
        <f>AVERAGE(U30)</f>
        <v/>
      </c>
      <c r="BV30" s="66">
        <f>AVERAGE(V30,O30,I30,H30)</f>
        <v/>
      </c>
      <c r="BW30" s="66" t="n"/>
      <c r="BX30" s="66" t="n"/>
      <c r="BY30" s="66" t="n"/>
      <c r="BZ30" s="66" t="n"/>
      <c r="CA30" s="66" t="n"/>
    </row>
    <row r="31" ht="18" customHeight="1" s="590">
      <c r="B31" s="12" t="n">
        <v>25</v>
      </c>
      <c r="C31" s="13" t="inlineStr">
        <is>
          <t>052-24-124265</t>
        </is>
      </c>
      <c r="D31" s="14" t="inlineStr">
        <is>
          <t>ASMA FIZA</t>
        </is>
      </c>
      <c r="E31" s="220" t="n">
        <v>68</v>
      </c>
      <c r="F31" s="221" t="n">
        <v>79.17</v>
      </c>
      <c r="G31" s="221" t="n">
        <v>81.69</v>
      </c>
      <c r="H31" s="218" t="n">
        <v>75.93000000000001</v>
      </c>
      <c r="I31" s="219" t="n">
        <v>71.7</v>
      </c>
      <c r="J31" s="114" t="n">
        <v>91</v>
      </c>
      <c r="K31" s="114" t="n">
        <v>84.58</v>
      </c>
      <c r="L31" s="114" t="n">
        <v>87.22</v>
      </c>
      <c r="M31" s="114" t="n">
        <v>113.33</v>
      </c>
      <c r="N31" s="218" t="n">
        <v>86.67</v>
      </c>
      <c r="O31" s="219" t="n">
        <v>90</v>
      </c>
      <c r="P31" s="114" t="n">
        <v>60</v>
      </c>
      <c r="Q31" s="546" t="n">
        <v>80</v>
      </c>
      <c r="R31" s="546" t="n">
        <v>60</v>
      </c>
      <c r="S31" s="232" t="n">
        <v>81.11</v>
      </c>
      <c r="T31" s="234" t="n">
        <v>82.08</v>
      </c>
      <c r="U31" s="234" t="n">
        <v>89.72</v>
      </c>
      <c r="V31" s="583" t="n"/>
      <c r="W31" s="276" t="n">
        <v>87.78</v>
      </c>
      <c r="X31" s="246" t="n">
        <v>85.81</v>
      </c>
      <c r="Y31" s="277" t="n">
        <v>86.11</v>
      </c>
      <c r="Z31" s="246" t="n"/>
      <c r="AA31" s="246" t="n"/>
      <c r="AB31" s="246" t="n"/>
      <c r="AC31" s="246" t="n"/>
      <c r="AD31" s="246" t="n"/>
      <c r="AE31" s="114" t="n"/>
      <c r="AF31" s="114" t="n"/>
      <c r="AG31" s="114" t="n"/>
      <c r="AH31" s="114" t="n"/>
      <c r="AI31" s="218" t="n"/>
      <c r="AJ31" s="219" t="n"/>
      <c r="AK31" s="114" t="n"/>
      <c r="AL31" s="546" t="n"/>
      <c r="AM31" s="546" t="n"/>
      <c r="AN31" s="246" t="n"/>
      <c r="AO31" s="246" t="n"/>
      <c r="AP31" s="246" t="n"/>
      <c r="AQ31" s="246" t="n"/>
      <c r="AR31" s="246" t="n"/>
      <c r="AS31" s="114" t="n"/>
      <c r="AT31" s="114" t="n"/>
      <c r="AU31" s="114" t="n"/>
      <c r="AV31" s="114" t="n"/>
      <c r="AW31" s="218" t="n"/>
      <c r="AX31" s="219" t="n"/>
      <c r="AY31" s="114" t="n"/>
      <c r="AZ31" s="546" t="n"/>
      <c r="BA31" s="546" t="n"/>
      <c r="BB31" s="246" t="n"/>
      <c r="BC31" s="246" t="n"/>
      <c r="BD31" s="246" t="n"/>
      <c r="BE31" s="246" t="n"/>
      <c r="BF31" s="246" t="n"/>
      <c r="BG31" s="114" t="n"/>
      <c r="BH31" s="114" t="n"/>
      <c r="BI31" s="114" t="n"/>
      <c r="BJ31" s="114" t="n"/>
      <c r="BK31" s="218" t="n"/>
      <c r="BL31" s="219" t="n"/>
      <c r="BM31" s="114" t="n"/>
      <c r="BN31" s="546" t="n"/>
      <c r="BO31" s="546" t="n"/>
      <c r="BP31" s="315" t="n"/>
      <c r="BQ31" s="606" t="n"/>
      <c r="BR31" s="65">
        <f>AVERAGE(S32,N31)</f>
        <v/>
      </c>
      <c r="BS31" s="66">
        <f>AVERAGE(W31,R31,J31,F31,E31)</f>
        <v/>
      </c>
      <c r="BT31" s="66">
        <f>AVERAGE(G32,K32,L32,M32,R31,T31,X31,Y31,AA31,AB31)</f>
        <v/>
      </c>
      <c r="BU31" s="66">
        <f>AVERAGE(U31)</f>
        <v/>
      </c>
      <c r="BV31" s="66">
        <f>AVERAGE(V31,O31,I31,H31)</f>
        <v/>
      </c>
      <c r="BW31" s="66" t="n"/>
      <c r="BX31" s="66" t="n"/>
      <c r="BY31" s="66" t="n"/>
      <c r="BZ31" s="66" t="n"/>
      <c r="CA31" s="66" t="n"/>
    </row>
    <row r="32" ht="18" customHeight="1" s="590">
      <c r="B32" s="12" t="n">
        <v>26</v>
      </c>
      <c r="C32" s="13" t="inlineStr">
        <is>
          <t>052-24-124266</t>
        </is>
      </c>
      <c r="D32" s="14" t="inlineStr">
        <is>
          <t>DANIYAL HUSSAIN</t>
        </is>
      </c>
      <c r="E32" s="220" t="n">
        <v>56</v>
      </c>
      <c r="F32" s="221" t="n">
        <v>90</v>
      </c>
      <c r="G32" s="221" t="n">
        <v>72.27</v>
      </c>
      <c r="H32" s="218" t="n">
        <v>69.36</v>
      </c>
      <c r="I32" s="219" t="n">
        <v>65.64</v>
      </c>
      <c r="J32" s="114" t="n">
        <v>84.17</v>
      </c>
      <c r="K32" s="114" t="n">
        <v>71.67</v>
      </c>
      <c r="L32" s="114" t="n">
        <v>83.61</v>
      </c>
      <c r="M32" s="114" t="n">
        <v>103.33</v>
      </c>
      <c r="N32" s="218" t="n">
        <v>88.45999999999999</v>
      </c>
      <c r="O32" s="219" t="n">
        <v>92.12</v>
      </c>
      <c r="P32" s="114" t="n">
        <v>80</v>
      </c>
      <c r="Q32" s="546" t="n">
        <v>0</v>
      </c>
      <c r="R32" s="546" t="n">
        <v>0</v>
      </c>
      <c r="S32" s="232" t="n">
        <v>93.89</v>
      </c>
      <c r="T32" s="234" t="n">
        <v>94.58</v>
      </c>
      <c r="U32" s="234" t="n">
        <v>83.33</v>
      </c>
      <c r="V32" s="583" t="n"/>
      <c r="W32" s="276" t="n">
        <v>90.56</v>
      </c>
      <c r="X32" s="246" t="n">
        <v>87.81</v>
      </c>
      <c r="Y32" s="277" t="n">
        <v>90.56</v>
      </c>
      <c r="Z32" s="246" t="n"/>
      <c r="AA32" s="246" t="n"/>
      <c r="AB32" s="246" t="n"/>
      <c r="AC32" s="246" t="n"/>
      <c r="AD32" s="246" t="n"/>
      <c r="AE32" s="114" t="n"/>
      <c r="AF32" s="114" t="n"/>
      <c r="AG32" s="114" t="n"/>
      <c r="AH32" s="114" t="n"/>
      <c r="AI32" s="218" t="n"/>
      <c r="AJ32" s="219" t="n"/>
      <c r="AK32" s="114" t="n"/>
      <c r="AL32" s="546" t="n"/>
      <c r="AM32" s="546" t="n"/>
      <c r="AN32" s="246" t="n"/>
      <c r="AO32" s="246" t="n"/>
      <c r="AP32" s="246" t="n"/>
      <c r="AQ32" s="246" t="n"/>
      <c r="AR32" s="246" t="n"/>
      <c r="AS32" s="114" t="n"/>
      <c r="AT32" s="114" t="n"/>
      <c r="AU32" s="114" t="n"/>
      <c r="AV32" s="114" t="n"/>
      <c r="AW32" s="218" t="n"/>
      <c r="AX32" s="219" t="n"/>
      <c r="AY32" s="114" t="n"/>
      <c r="AZ32" s="546" t="n"/>
      <c r="BA32" s="546" t="n"/>
      <c r="BB32" s="246" t="n"/>
      <c r="BC32" s="246" t="n"/>
      <c r="BD32" s="246" t="n"/>
      <c r="BE32" s="246" t="n"/>
      <c r="BF32" s="246" t="n"/>
      <c r="BG32" s="114" t="n"/>
      <c r="BH32" s="114" t="n"/>
      <c r="BI32" s="114" t="n"/>
      <c r="BJ32" s="114" t="n"/>
      <c r="BK32" s="218" t="n"/>
      <c r="BL32" s="219" t="n"/>
      <c r="BM32" s="114" t="n"/>
      <c r="BN32" s="546" t="n"/>
      <c r="BO32" s="546" t="n"/>
      <c r="BP32" s="315" t="n"/>
      <c r="BQ32" s="606" t="n"/>
      <c r="BR32" s="65">
        <f>AVERAGE(S33,N32)</f>
        <v/>
      </c>
      <c r="BS32" s="66">
        <f>AVERAGE(W32,R32,J32,F32,E32)</f>
        <v/>
      </c>
      <c r="BT32" s="66">
        <f>AVERAGE(G33,K33,L33,M33,R32,T32,X32,Y32,AA32,AB32)</f>
        <v/>
      </c>
      <c r="BU32" s="66">
        <f>AVERAGE(U32)</f>
        <v/>
      </c>
      <c r="BV32" s="66">
        <f>AVERAGE(V32,O32,I32,H32)</f>
        <v/>
      </c>
      <c r="BW32" s="66" t="n"/>
      <c r="BX32" s="66" t="n"/>
      <c r="BY32" s="66" t="n"/>
      <c r="BZ32" s="66" t="n"/>
      <c r="CA32" s="66" t="n"/>
    </row>
    <row r="33" ht="18" customHeight="1" s="590">
      <c r="B33" s="12" t="n">
        <v>27</v>
      </c>
      <c r="C33" s="13" t="inlineStr">
        <is>
          <t>052-24-124267</t>
        </is>
      </c>
      <c r="D33" s="14" t="inlineStr">
        <is>
          <t>DANISH ALI</t>
        </is>
      </c>
      <c r="E33" s="213" t="n"/>
      <c r="F33" s="214" t="n"/>
      <c r="G33" s="215" t="n"/>
      <c r="H33" s="214" t="n"/>
      <c r="I33" s="215" t="n"/>
      <c r="J33" s="114" t="n"/>
      <c r="K33" s="114" t="n"/>
      <c r="L33" s="114" t="n"/>
      <c r="M33" s="114" t="n"/>
      <c r="N33" s="223" t="n"/>
      <c r="O33" s="224" t="n"/>
      <c r="P33" s="114" t="n">
        <v>0</v>
      </c>
      <c r="Q33" s="546" t="n">
        <v>60</v>
      </c>
      <c r="R33" s="546" t="n">
        <v>40</v>
      </c>
      <c r="S33" s="232" t="n">
        <v>62.78</v>
      </c>
      <c r="T33" s="234" t="n">
        <v>71.67</v>
      </c>
      <c r="U33" s="234" t="n">
        <v>65</v>
      </c>
      <c r="V33" s="583" t="n"/>
      <c r="W33" s="276" t="n"/>
      <c r="X33" s="246" t="n"/>
      <c r="Y33" s="277" t="n"/>
      <c r="Z33" s="246" t="n"/>
      <c r="AA33" s="246" t="n"/>
      <c r="AB33" s="246" t="n"/>
      <c r="AC33" s="246" t="n"/>
      <c r="AD33" s="246" t="n"/>
      <c r="AE33" s="114" t="n"/>
      <c r="AF33" s="114" t="n"/>
      <c r="AG33" s="114" t="n"/>
      <c r="AH33" s="114" t="n"/>
      <c r="AI33" s="223" t="n"/>
      <c r="AJ33" s="224" t="n"/>
      <c r="AK33" s="114" t="n"/>
      <c r="AL33" s="546" t="n"/>
      <c r="AM33" s="546" t="n"/>
      <c r="AN33" s="246" t="n"/>
      <c r="AO33" s="246" t="n"/>
      <c r="AP33" s="246" t="n"/>
      <c r="AQ33" s="246" t="n"/>
      <c r="AR33" s="246" t="n"/>
      <c r="AS33" s="114" t="n"/>
      <c r="AT33" s="114" t="n"/>
      <c r="AU33" s="114" t="n"/>
      <c r="AV33" s="114" t="n"/>
      <c r="AW33" s="223" t="n"/>
      <c r="AX33" s="224" t="n"/>
      <c r="AY33" s="114" t="n"/>
      <c r="AZ33" s="546" t="n"/>
      <c r="BA33" s="546" t="n"/>
      <c r="BB33" s="246" t="n"/>
      <c r="BC33" s="246" t="n"/>
      <c r="BD33" s="246" t="n"/>
      <c r="BE33" s="246" t="n"/>
      <c r="BF33" s="246" t="n"/>
      <c r="BG33" s="114" t="n"/>
      <c r="BH33" s="114" t="n"/>
      <c r="BI33" s="114" t="n"/>
      <c r="BJ33" s="114" t="n"/>
      <c r="BK33" s="223" t="n"/>
      <c r="BL33" s="224" t="n"/>
      <c r="BM33" s="114" t="n"/>
      <c r="BN33" s="546" t="n"/>
      <c r="BO33" s="546" t="n"/>
      <c r="BP33" s="315" t="n"/>
      <c r="BQ33" s="606" t="n"/>
      <c r="BR33" s="65">
        <f>AVERAGE(S34,N33)</f>
        <v/>
      </c>
      <c r="BS33" s="66">
        <f>AVERAGE(W33,R33,J33,F33,E33)</f>
        <v/>
      </c>
      <c r="BT33" s="66">
        <f>AVERAGE(G34,K34,L34,M34,R33,T33,X33,Y33,AA33,AB33)</f>
        <v/>
      </c>
      <c r="BU33" s="66">
        <f>AVERAGE(U33)</f>
        <v/>
      </c>
      <c r="BV33" s="66">
        <f>AVERAGE(0)</f>
        <v/>
      </c>
      <c r="BW33" s="66" t="n"/>
      <c r="BX33" s="66" t="n"/>
      <c r="BY33" s="66" t="n"/>
      <c r="BZ33" s="66" t="n"/>
      <c r="CA33" s="66" t="n"/>
    </row>
    <row r="34" ht="18" customHeight="1" s="590">
      <c r="B34" s="12" t="n">
        <v>28</v>
      </c>
      <c r="C34" s="13" t="inlineStr">
        <is>
          <t>052-24-124285</t>
        </is>
      </c>
      <c r="D34" s="14" t="inlineStr">
        <is>
          <t>BASHIR AHMAD</t>
        </is>
      </c>
      <c r="E34" s="216" t="n">
        <v>50</v>
      </c>
      <c r="F34" s="217" t="n">
        <v>74.17</v>
      </c>
      <c r="G34" s="217" t="n">
        <v>79.33</v>
      </c>
      <c r="H34" s="218" t="n">
        <v>46.35</v>
      </c>
      <c r="I34" s="219" t="n">
        <v>43.09</v>
      </c>
      <c r="J34" s="114" t="n">
        <v>63.33</v>
      </c>
      <c r="K34" s="114" t="n">
        <v>62.5</v>
      </c>
      <c r="L34" s="114" t="n">
        <v>86.39</v>
      </c>
      <c r="M34" s="114" t="n">
        <v>106.67</v>
      </c>
      <c r="N34" s="218" t="n">
        <v>78.20999999999999</v>
      </c>
      <c r="O34" s="219" t="n">
        <v>78.79000000000001</v>
      </c>
      <c r="P34" s="114" t="n">
        <v>50</v>
      </c>
      <c r="Q34" s="546" t="n">
        <v>0</v>
      </c>
      <c r="R34" s="546" t="n">
        <v>0</v>
      </c>
      <c r="S34" s="232" t="n">
        <v>80.56</v>
      </c>
      <c r="T34" s="234" t="n">
        <v>78.33</v>
      </c>
      <c r="U34" s="234" t="n">
        <v>66.94</v>
      </c>
      <c r="V34" s="583" t="n"/>
      <c r="W34" s="276" t="n">
        <v>73.89</v>
      </c>
      <c r="X34" s="246" t="n">
        <v>73.23999999999999</v>
      </c>
      <c r="Y34" s="277" t="n">
        <v>80</v>
      </c>
      <c r="Z34" s="246" t="n"/>
      <c r="AA34" s="246" t="n"/>
      <c r="AB34" s="246" t="n"/>
      <c r="AC34" s="246" t="n"/>
      <c r="AD34" s="246" t="n"/>
      <c r="AE34" s="114" t="n"/>
      <c r="AF34" s="114" t="n"/>
      <c r="AG34" s="114" t="n"/>
      <c r="AH34" s="114" t="n"/>
      <c r="AI34" s="218" t="n"/>
      <c r="AJ34" s="219" t="n"/>
      <c r="AK34" s="114" t="n"/>
      <c r="AL34" s="546" t="n"/>
      <c r="AM34" s="546" t="n"/>
      <c r="AN34" s="246" t="n"/>
      <c r="AO34" s="246" t="n"/>
      <c r="AP34" s="246" t="n"/>
      <c r="AQ34" s="246" t="n"/>
      <c r="AR34" s="246" t="n"/>
      <c r="AS34" s="114" t="n"/>
      <c r="AT34" s="114" t="n"/>
      <c r="AU34" s="114" t="n"/>
      <c r="AV34" s="114" t="n"/>
      <c r="AW34" s="218" t="n"/>
      <c r="AX34" s="219" t="n"/>
      <c r="AY34" s="114" t="n"/>
      <c r="AZ34" s="546" t="n"/>
      <c r="BA34" s="546" t="n"/>
      <c r="BB34" s="246" t="n"/>
      <c r="BC34" s="246" t="n"/>
      <c r="BD34" s="246" t="n"/>
      <c r="BE34" s="246" t="n"/>
      <c r="BF34" s="246" t="n"/>
      <c r="BG34" s="114" t="n"/>
      <c r="BH34" s="114" t="n"/>
      <c r="BI34" s="114" t="n"/>
      <c r="BJ34" s="114" t="n"/>
      <c r="BK34" s="218" t="n"/>
      <c r="BL34" s="219" t="n"/>
      <c r="BM34" s="114" t="n"/>
      <c r="BN34" s="546" t="n"/>
      <c r="BO34" s="546" t="n"/>
      <c r="BP34" s="315" t="n"/>
      <c r="BQ34" s="606" t="n"/>
      <c r="BR34" s="65">
        <f>AVERAGE(S35,N34)</f>
        <v/>
      </c>
      <c r="BS34" s="66">
        <f>AVERAGE(W34,R34,J34,F34,E34)</f>
        <v/>
      </c>
      <c r="BT34" s="66">
        <f>AVERAGE(G35,K35,L35,M35,R34,T34,X34,Y34,AA34,AB34)</f>
        <v/>
      </c>
      <c r="BU34" s="66">
        <f>AVERAGE(U34)</f>
        <v/>
      </c>
      <c r="BV34" s="66">
        <f>AVERAGE(V34,O34,I34,H34)</f>
        <v/>
      </c>
      <c r="BW34" s="66" t="n"/>
      <c r="BX34" s="66" t="n"/>
      <c r="BY34" s="66" t="n"/>
      <c r="BZ34" s="66" t="n"/>
      <c r="CA34" s="66" t="n"/>
    </row>
    <row r="35" ht="18" customHeight="1" s="590">
      <c r="B35" s="12" t="n">
        <v>29</v>
      </c>
      <c r="C35" s="13" t="inlineStr">
        <is>
          <t>052-24-124294</t>
        </is>
      </c>
      <c r="D35" s="14" t="inlineStr">
        <is>
          <t>ABRAR ALI</t>
        </is>
      </c>
      <c r="E35" s="213" t="n"/>
      <c r="F35" s="213" t="n"/>
      <c r="G35" s="213" t="n"/>
      <c r="H35" s="213" t="n"/>
      <c r="I35" s="213" t="n"/>
      <c r="J35" s="114" t="n"/>
      <c r="K35" s="114" t="n"/>
      <c r="L35" s="114" t="n"/>
      <c r="M35" s="114" t="n"/>
      <c r="N35" s="583" t="n"/>
      <c r="O35" s="511" t="n"/>
      <c r="P35" s="583" t="n">
        <v>0</v>
      </c>
      <c r="Q35" s="583" t="n">
        <v>0</v>
      </c>
      <c r="R35" s="114" t="n">
        <v>0</v>
      </c>
      <c r="S35" s="114" t="n">
        <v>0</v>
      </c>
      <c r="T35" s="546" t="n">
        <v>0</v>
      </c>
      <c r="U35" s="546" t="n">
        <v>0</v>
      </c>
      <c r="V35" s="583" t="n"/>
      <c r="W35" s="278" t="n"/>
      <c r="X35" s="279" t="n"/>
      <c r="Y35" s="280" t="n"/>
      <c r="Z35" s="246" t="n"/>
      <c r="AA35" s="246" t="n"/>
      <c r="AB35" s="246" t="n"/>
      <c r="AC35" s="246" t="n"/>
      <c r="AD35" s="246" t="n"/>
      <c r="AE35" s="114" t="n"/>
      <c r="AF35" s="114" t="n"/>
      <c r="AG35" s="114" t="n"/>
      <c r="AH35" s="114" t="n"/>
      <c r="AI35" s="583" t="n"/>
      <c r="AJ35" s="511" t="n"/>
      <c r="AK35" s="583" t="n"/>
      <c r="AL35" s="583" t="n"/>
      <c r="AM35" s="114" t="n"/>
      <c r="AN35" s="246" t="n"/>
      <c r="AO35" s="246" t="n"/>
      <c r="AP35" s="246" t="n"/>
      <c r="AQ35" s="246" t="n"/>
      <c r="AR35" s="246" t="n"/>
      <c r="AS35" s="114" t="n"/>
      <c r="AT35" s="114" t="n"/>
      <c r="AU35" s="114" t="n"/>
      <c r="AV35" s="114" t="n"/>
      <c r="AW35" s="583" t="n"/>
      <c r="AX35" s="511" t="n"/>
      <c r="AY35" s="583" t="n"/>
      <c r="AZ35" s="583" t="n"/>
      <c r="BA35" s="114" t="n"/>
      <c r="BB35" s="246" t="n"/>
      <c r="BC35" s="246" t="n"/>
      <c r="BD35" s="246" t="n"/>
      <c r="BE35" s="246" t="n"/>
      <c r="BF35" s="246" t="n"/>
      <c r="BG35" s="114" t="n"/>
      <c r="BH35" s="114" t="n"/>
      <c r="BI35" s="114" t="n"/>
      <c r="BJ35" s="114" t="n"/>
      <c r="BK35" s="583" t="n"/>
      <c r="BL35" s="511" t="n"/>
      <c r="BM35" s="583" t="n"/>
      <c r="BN35" s="583" t="n"/>
      <c r="BO35" s="114" t="n"/>
      <c r="BP35" s="315" t="n"/>
      <c r="BQ35" s="606" t="n"/>
      <c r="BR35" s="65">
        <f>AVERAGE(S36,N35)</f>
        <v/>
      </c>
      <c r="BS35" s="66">
        <f>AVERAGE(W35,R35,J35,F35,E35)</f>
        <v/>
      </c>
      <c r="BT35" s="66">
        <f>AVERAGE(G36,K36,L36,M36,R35,T35,X35,Y35,AA35,AB35)</f>
        <v/>
      </c>
      <c r="BU35" s="66">
        <f>AVERAGE(U35)</f>
        <v/>
      </c>
      <c r="BV35" s="66">
        <f>AVERAGE(0)</f>
        <v/>
      </c>
      <c r="BW35" s="66" t="n"/>
      <c r="BX35" s="66" t="n"/>
      <c r="BY35" s="66" t="n"/>
      <c r="BZ35" s="66" t="n"/>
      <c r="CA35" s="66" t="n"/>
    </row>
    <row r="36" ht="14.25" customHeight="1" s="590">
      <c r="B36" s="352" t="inlineStr">
        <is>
          <t>Class Average</t>
        </is>
      </c>
      <c r="C36" s="674" t="n"/>
      <c r="D36" s="674" t="n"/>
      <c r="E36" s="18">
        <f>AVERAGE(E7:E25)</f>
        <v/>
      </c>
      <c r="F36" s="199">
        <f>AVERAGE(F7:F25)</f>
        <v/>
      </c>
      <c r="G36" s="199">
        <f>AVERAGE(G7:G35)</f>
        <v/>
      </c>
      <c r="H36" s="199">
        <f>AVERAGE(H7:H35)</f>
        <v/>
      </c>
      <c r="I36" s="199">
        <f>AVERAGE(I7:I35)</f>
        <v/>
      </c>
      <c r="J36" s="18">
        <f>AVERAGE(J7:J25)</f>
        <v/>
      </c>
      <c r="K36" s="18">
        <f>AVERAGE(K7:K25)</f>
        <v/>
      </c>
      <c r="L36" s="18">
        <f>AVERAGE(L7:L25)</f>
        <v/>
      </c>
      <c r="M36" s="18">
        <f>AVERAGE(M7:M25)</f>
        <v/>
      </c>
      <c r="N36" s="18">
        <f>AVERAGE(N7:N25)</f>
        <v/>
      </c>
      <c r="O36" s="18">
        <f>AVERAGE(O7:O25)</f>
        <v/>
      </c>
      <c r="P36" s="18">
        <f>AVERAGE(P7:P25)</f>
        <v/>
      </c>
      <c r="Q36" s="18">
        <f>AVERAGE(Q7:Q25)</f>
        <v/>
      </c>
      <c r="R36" s="18">
        <f>AVERAGE(R7:R25)</f>
        <v/>
      </c>
      <c r="S36" s="18">
        <f>AVERAGE(S7:S25)</f>
        <v/>
      </c>
      <c r="T36" s="18">
        <f>AVERAGE(T7:T25)</f>
        <v/>
      </c>
      <c r="U36" s="18">
        <f>AVERAGE(U7:U25)</f>
        <v/>
      </c>
      <c r="V36" s="503">
        <f>AVERAGE(V7:V25)</f>
        <v/>
      </c>
      <c r="W36" s="281">
        <f>AVERAGE(W7:W25)</f>
        <v/>
      </c>
      <c r="X36" s="282">
        <f>AVERAGE(X7:X25)</f>
        <v/>
      </c>
      <c r="Y36" s="283">
        <f>AVERAGE(Y7:Y25)</f>
        <v/>
      </c>
      <c r="Z36" s="281" t="n"/>
      <c r="AA36" s="281" t="n"/>
      <c r="AB36" s="281" t="n"/>
      <c r="AC36" s="281" t="n"/>
      <c r="AD36" s="281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281" t="n"/>
      <c r="AO36" s="281" t="n"/>
      <c r="AP36" s="281" t="n"/>
      <c r="AQ36" s="281" t="n"/>
      <c r="AR36" s="281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281" t="n"/>
      <c r="BC36" s="281" t="n"/>
      <c r="BD36" s="281" t="n"/>
      <c r="BE36" s="281" t="n"/>
      <c r="BF36" s="281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  <c r="BP36" s="316" t="n"/>
      <c r="BQ36" s="652" t="n"/>
      <c r="BR36" s="67">
        <f>AVERAGE(BR7:BR35)</f>
        <v/>
      </c>
      <c r="BS36" s="67">
        <f>AVERAGE(BS7:BS35)</f>
        <v/>
      </c>
      <c r="BT36" s="67">
        <f>AVERAGE(BT7:BT35)</f>
        <v/>
      </c>
      <c r="BU36" s="67">
        <f>AVERAGE(BU7:BU35)</f>
        <v/>
      </c>
      <c r="BV36" s="67">
        <f>AVERAGE(BV7:BV35)</f>
        <v/>
      </c>
      <c r="BW36" s="67">
        <f>AVERAGE(BW7:BW35)</f>
        <v/>
      </c>
      <c r="BX36" s="67">
        <f>AVERAGE(BX7:BX35)</f>
        <v/>
      </c>
      <c r="BY36" s="67">
        <f>AVERAGE(BY7:BY35)</f>
        <v/>
      </c>
      <c r="BZ36" s="67">
        <f>AVERAGE(BZ7:BZ35)</f>
        <v/>
      </c>
      <c r="CA36" s="67">
        <f>AVERAGE(CA7:CA35)</f>
        <v/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>
      <c r="E51" s="589">
        <f>IF(E22="","",IF(E22&lt;50,"U","S"))</f>
        <v/>
      </c>
      <c r="F51" s="589">
        <f>IF(F22="","",IF(F22&lt;50,"U","S"))</f>
        <v/>
      </c>
      <c r="H51" s="589">
        <f>IF(H22="","",IF(H22&lt;50,"U","S"))</f>
        <v/>
      </c>
      <c r="J51" s="589">
        <f>IF(J22="","",IF(J22&lt;50,"U","S"))</f>
        <v/>
      </c>
      <c r="L51" s="589">
        <f>IF(L22="","",IF(L22&lt;50,"U","S"))</f>
        <v/>
      </c>
      <c r="N51" s="589">
        <f>IF(N22="","",IF(N22&lt;50,"U","S"))</f>
        <v/>
      </c>
      <c r="O51" s="589">
        <f>IF(O22="","",IF(O22&lt;50,"U","S"))</f>
        <v/>
      </c>
      <c r="T51" s="589">
        <f>IF(T22="","",IF(T22&lt;50,"U","S"))</f>
        <v/>
      </c>
      <c r="U51" s="589">
        <f>IF(U22="","",IF(U22&lt;50,"U","S"))</f>
        <v/>
      </c>
      <c r="V51" s="589">
        <f>IF(V22="","",IF(V22&lt;50,"U","S"))</f>
        <v/>
      </c>
      <c r="W51" s="589">
        <f>IF(W22="","",IF(W22&lt;50,"U","S"))</f>
        <v/>
      </c>
      <c r="X51" s="589">
        <f>IF(X22="","",IF(X22&lt;50,"U","S"))</f>
        <v/>
      </c>
    </row>
    <row r="52">
      <c r="N52" s="589">
        <f>IF(N23="","",IF(N23&lt;50,"U","S"))</f>
        <v/>
      </c>
      <c r="O52" s="589">
        <f>IF(O23="","",IF(O23&lt;50,"U","S"))</f>
        <v/>
      </c>
      <c r="R52" s="589">
        <f>IF(R23="","",IF(R23&lt;50,"U","S"))</f>
        <v/>
      </c>
      <c r="S52" s="589">
        <f>IF(S23="","",IF(S23&lt;50,"U","S"))</f>
        <v/>
      </c>
      <c r="T52" s="589">
        <f>IF(T23="","",IF(T23&lt;50,"U","S"))</f>
        <v/>
      </c>
      <c r="U52" s="589">
        <f>IF(U23="","",IF(U23&lt;50,"U","S"))</f>
        <v/>
      </c>
      <c r="V52" s="589">
        <f>IF(V23="","",IF(V23&lt;50,"U","S"))</f>
        <v/>
      </c>
      <c r="W52" s="589">
        <f>IF(W23="","",IF(W23&lt;50,"U","S"))</f>
        <v/>
      </c>
      <c r="X52" s="589">
        <f>IF(X23="","",IF(X23&lt;50,"U","S"))</f>
        <v/>
      </c>
    </row>
    <row r="53">
      <c r="N53" s="589">
        <f>IF(N24="","",IF(N24&lt;50,"U","S"))</f>
        <v/>
      </c>
      <c r="O53" s="589">
        <f>IF(O24="","",IF(O24&lt;50,"U","S"))</f>
        <v/>
      </c>
      <c r="R53" s="589">
        <f>IF(R24="","",IF(R24&lt;50,"U","S"))</f>
        <v/>
      </c>
      <c r="S53" s="589">
        <f>IF(S24="","",IF(S24&lt;50,"U","S"))</f>
        <v/>
      </c>
      <c r="T53" s="589">
        <f>IF(T24="","",IF(T24&lt;50,"U","S"))</f>
        <v/>
      </c>
      <c r="U53" s="589">
        <f>IF(U24="","",IF(U24&lt;50,"U","S"))</f>
        <v/>
      </c>
      <c r="V53" s="589">
        <f>IF(V24="","",IF(V24&lt;50,"U","S"))</f>
        <v/>
      </c>
      <c r="W53" s="589">
        <f>IF(W24="","",IF(W24&lt;50,"U","S"))</f>
        <v/>
      </c>
      <c r="X53" s="589">
        <f>IF(X24="","",IF(X24&lt;50,"U","S"))</f>
        <v/>
      </c>
    </row>
    <row r="54">
      <c r="N54" s="589">
        <f>IF(N25="","",IF(N25&lt;50,"U","S"))</f>
        <v/>
      </c>
      <c r="O54" s="589">
        <f>IF(O25="","",IF(O25&lt;50,"U","S"))</f>
        <v/>
      </c>
      <c r="R54" s="589">
        <f>IF(R25="","",IF(R25&lt;50,"U","S"))</f>
        <v/>
      </c>
      <c r="S54" s="589">
        <f>IF(S25="","",IF(S25&lt;50,"U","S"))</f>
        <v/>
      </c>
      <c r="T54" s="589">
        <f>IF(T25="","",IF(T25&lt;50,"U","S"))</f>
        <v/>
      </c>
      <c r="U54" s="589">
        <f>IF(U25="","",IF(U25&lt;50,"U","S"))</f>
        <v/>
      </c>
      <c r="V54" s="589">
        <f>IF(V25="","",IF(V25&lt;50,"U","S"))</f>
        <v/>
      </c>
      <c r="W54" s="589">
        <f>IF(W25="","",IF(W25&lt;50,"U","S"))</f>
        <v/>
      </c>
      <c r="X54" s="589">
        <f>IF(X25="","",IF(X25&lt;50,"U","S"))</f>
        <v/>
      </c>
    </row>
    <row r="55">
      <c r="N55" s="589">
        <f>IF(N26="","",IF(N26&lt;50,"U","S"))</f>
        <v/>
      </c>
      <c r="O55" s="589">
        <f>IF(O26="","",IF(O26&lt;50,"U","S"))</f>
        <v/>
      </c>
      <c r="R55" s="589">
        <f>IF(R26="","",IF(R26&lt;50,"U","S"))</f>
        <v/>
      </c>
      <c r="S55" s="589">
        <f>IF(S26="","",IF(S26&lt;50,"U","S"))</f>
        <v/>
      </c>
      <c r="T55" s="589">
        <f>IF(T26="","",IF(T26&lt;50,"U","S"))</f>
        <v/>
      </c>
      <c r="U55" s="589">
        <f>IF(U26="","",IF(U26&lt;50,"U","S"))</f>
        <v/>
      </c>
      <c r="V55" s="589">
        <f>IF(V26="","",IF(V26&lt;50,"U","S"))</f>
        <v/>
      </c>
      <c r="W55" s="589">
        <f>IF(W26="","",IF(W26&lt;50,"U","S"))</f>
        <v/>
      </c>
      <c r="X55" s="589">
        <f>IF(X26="","",IF(X26&lt;50,"U","S"))</f>
        <v/>
      </c>
    </row>
    <row r="56">
      <c r="N56" s="589">
        <f>IF(N27="","",IF(N27&lt;50,"U","S"))</f>
        <v/>
      </c>
      <c r="O56" s="589">
        <f>IF(O27="","",IF(O27&lt;50,"U","S"))</f>
        <v/>
      </c>
      <c r="R56" s="589">
        <f>IF(R27="","",IF(R27&lt;50,"U","S"))</f>
        <v/>
      </c>
      <c r="S56" s="589">
        <f>IF(S27="","",IF(S27&lt;50,"U","S"))</f>
        <v/>
      </c>
      <c r="T56" s="589">
        <f>IF(T27="","",IF(T27&lt;50,"U","S"))</f>
        <v/>
      </c>
      <c r="U56" s="589">
        <f>IF(U27="","",IF(U27&lt;50,"U","S"))</f>
        <v/>
      </c>
      <c r="V56" s="589">
        <f>IF(V27="","",IF(V27&lt;50,"U","S"))</f>
        <v/>
      </c>
      <c r="W56" s="589">
        <f>IF(W27="","",IF(W27&lt;50,"U","S"))</f>
        <v/>
      </c>
      <c r="X56" s="589">
        <f>IF(X27="","",IF(X27&lt;50,"U","S"))</f>
        <v/>
      </c>
    </row>
    <row r="57">
      <c r="N57" s="589">
        <f>IF(N28="","",IF(N28&lt;50,"U","S"))</f>
        <v/>
      </c>
      <c r="O57" s="589">
        <f>IF(O28="","",IF(O28&lt;50,"U","S"))</f>
        <v/>
      </c>
      <c r="R57" s="589">
        <f>IF(R28="","",IF(R28&lt;50,"U","S"))</f>
        <v/>
      </c>
      <c r="S57" s="589">
        <f>IF(S28="","",IF(S28&lt;50,"U","S"))</f>
        <v/>
      </c>
      <c r="T57" s="589">
        <f>IF(T28="","",IF(T28&lt;50,"U","S"))</f>
        <v/>
      </c>
      <c r="U57" s="589">
        <f>IF(U28="","",IF(U28&lt;50,"U","S"))</f>
        <v/>
      </c>
      <c r="V57" s="589">
        <f>IF(V28="","",IF(V28&lt;50,"U","S"))</f>
        <v/>
      </c>
      <c r="W57" s="589">
        <f>IF(W28="","",IF(W28&lt;50,"U","S"))</f>
        <v/>
      </c>
      <c r="X57" s="589">
        <f>IF(X28="","",IF(X28&lt;50,"U","S"))</f>
        <v/>
      </c>
    </row>
    <row r="58">
      <c r="N58" s="589">
        <f>IF(N29="","",IF(N29&lt;50,"U","S"))</f>
        <v/>
      </c>
      <c r="O58" s="589">
        <f>IF(O29="","",IF(O29&lt;50,"U","S"))</f>
        <v/>
      </c>
      <c r="R58" s="589">
        <f>IF(R29="","",IF(R29&lt;50,"U","S"))</f>
        <v/>
      </c>
      <c r="S58" s="589">
        <f>IF(S29="","",IF(S29&lt;50,"U","S"))</f>
        <v/>
      </c>
      <c r="T58" s="589">
        <f>IF(T29="","",IF(T29&lt;50,"U","S"))</f>
        <v/>
      </c>
      <c r="U58" s="589">
        <f>IF(U29="","",IF(U29&lt;50,"U","S"))</f>
        <v/>
      </c>
      <c r="V58" s="589">
        <f>IF(V29="","",IF(V29&lt;50,"U","S"))</f>
        <v/>
      </c>
      <c r="W58" s="589">
        <f>IF(W29="","",IF(W29&lt;50,"U","S"))</f>
        <v/>
      </c>
      <c r="X58" s="589">
        <f>IF(X29="","",IF(X29&lt;50,"U","S"))</f>
        <v/>
      </c>
    </row>
    <row r="59">
      <c r="N59" s="589">
        <f>IF(N30="","",IF(N30&lt;50,"U","S"))</f>
        <v/>
      </c>
      <c r="O59" s="589">
        <f>IF(O30="","",IF(O30&lt;50,"U","S"))</f>
        <v/>
      </c>
      <c r="R59" s="589">
        <f>IF(R30="","",IF(R30&lt;50,"U","S"))</f>
        <v/>
      </c>
      <c r="S59" s="589">
        <f>IF(S30="","",IF(S30&lt;50,"U","S"))</f>
        <v/>
      </c>
      <c r="T59" s="589">
        <f>IF(T30="","",IF(T30&lt;50,"U","S"))</f>
        <v/>
      </c>
      <c r="U59" s="589">
        <f>IF(U30="","",IF(U30&lt;50,"U","S"))</f>
        <v/>
      </c>
      <c r="V59" s="589">
        <f>IF(V30="","",IF(V30&lt;50,"U","S"))</f>
        <v/>
      </c>
      <c r="W59" s="589">
        <f>IF(W30="","",IF(W30&lt;50,"U","S"))</f>
        <v/>
      </c>
      <c r="X59" s="589">
        <f>IF(X30="","",IF(X30&lt;50,"U","S"))</f>
        <v/>
      </c>
    </row>
    <row r="60">
      <c r="N60" s="589">
        <f>IF(N31="","",IF(N31&lt;50,"U","S"))</f>
        <v/>
      </c>
      <c r="O60" s="589">
        <f>IF(O31="","",IF(O31&lt;50,"U","S"))</f>
        <v/>
      </c>
      <c r="R60" s="589">
        <f>IF(R31="","",IF(R31&lt;50,"U","S"))</f>
        <v/>
      </c>
      <c r="S60" s="589">
        <f>IF(S31="","",IF(S31&lt;50,"U","S"))</f>
        <v/>
      </c>
      <c r="T60" s="589">
        <f>IF(T31="","",IF(T31&lt;50,"U","S"))</f>
        <v/>
      </c>
      <c r="U60" s="589">
        <f>IF(U31="","",IF(U31&lt;50,"U","S"))</f>
        <v/>
      </c>
      <c r="V60" s="589">
        <f>IF(V31="","",IF(V31&lt;50,"U","S"))</f>
        <v/>
      </c>
      <c r="W60" s="589">
        <f>IF(W31="","",IF(W31&lt;50,"U","S"))</f>
        <v/>
      </c>
      <c r="X60" s="589">
        <f>IF(X31="","",IF(X31&lt;50,"U","S"))</f>
        <v/>
      </c>
    </row>
    <row r="61">
      <c r="N61" s="589">
        <f>IF(N32="","",IF(N32&lt;50,"U","S"))</f>
        <v/>
      </c>
      <c r="O61" s="589">
        <f>IF(O32="","",IF(O32&lt;50,"U","S"))</f>
        <v/>
      </c>
      <c r="R61" s="589">
        <f>IF(R32="","",IF(R32&lt;50,"U","S"))</f>
        <v/>
      </c>
      <c r="S61" s="589">
        <f>IF(S32="","",IF(S32&lt;50,"U","S"))</f>
        <v/>
      </c>
      <c r="T61" s="589">
        <f>IF(T32="","",IF(T32&lt;50,"U","S"))</f>
        <v/>
      </c>
      <c r="U61" s="589">
        <f>IF(U32="","",IF(U32&lt;50,"U","S"))</f>
        <v/>
      </c>
      <c r="V61" s="589">
        <f>IF(V32="","",IF(V32&lt;50,"U","S"))</f>
        <v/>
      </c>
      <c r="W61" s="589">
        <f>IF(W32="","",IF(W32&lt;50,"U","S"))</f>
        <v/>
      </c>
      <c r="X61" s="589">
        <f>IF(X32="","",IF(X32&lt;50,"U","S"))</f>
        <v/>
      </c>
    </row>
    <row r="62">
      <c r="N62" s="589">
        <f>IF(N33="","",IF(N33&lt;50,"U","S"))</f>
        <v/>
      </c>
      <c r="O62" s="589">
        <f>IF(O33="","",IF(O33&lt;50,"U","S"))</f>
        <v/>
      </c>
      <c r="R62" s="589">
        <f>IF(R33="","",IF(R33&lt;50,"U","S"))</f>
        <v/>
      </c>
      <c r="S62" s="589">
        <f>IF(S33="","",IF(S33&lt;50,"U","S"))</f>
        <v/>
      </c>
      <c r="T62" s="589">
        <f>IF(T33="","",IF(T33&lt;50,"U","S"))</f>
        <v/>
      </c>
      <c r="U62" s="589">
        <f>IF(U33="","",IF(U33&lt;50,"U","S"))</f>
        <v/>
      </c>
      <c r="V62" s="589">
        <f>IF(V33="","",IF(V33&lt;50,"U","S"))</f>
        <v/>
      </c>
      <c r="W62" s="589">
        <f>IF(W33="","",IF(W33&lt;50,"U","S"))</f>
        <v/>
      </c>
      <c r="X62" s="589">
        <f>IF(X33="","",IF(X33&lt;50,"U","S"))</f>
        <v/>
      </c>
    </row>
    <row r="63">
      <c r="N63" s="589">
        <f>IF(N34="","",IF(N34&lt;50,"U","S"))</f>
        <v/>
      </c>
      <c r="O63" s="589">
        <f>IF(O34="","",IF(O34&lt;50,"U","S"))</f>
        <v/>
      </c>
      <c r="R63" s="589">
        <f>IF(R34="","",IF(R34&lt;50,"U","S"))</f>
        <v/>
      </c>
      <c r="S63" s="589">
        <f>IF(S34="","",IF(S34&lt;50,"U","S"))</f>
        <v/>
      </c>
      <c r="T63" s="589">
        <f>IF(T34="","",IF(T34&lt;50,"U","S"))</f>
        <v/>
      </c>
      <c r="U63" s="589">
        <f>IF(U34="","",IF(U34&lt;50,"U","S"))</f>
        <v/>
      </c>
      <c r="V63" s="589">
        <f>IF(V34="","",IF(V34&lt;50,"U","S"))</f>
        <v/>
      </c>
      <c r="W63" s="589">
        <f>IF(W34="","",IF(W34&lt;50,"U","S"))</f>
        <v/>
      </c>
      <c r="X63" s="589">
        <f>IF(X34="","",IF(X34&lt;50,"U","S"))</f>
        <v/>
      </c>
    </row>
    <row r="64">
      <c r="E64" s="589">
        <f>IF(E35="","",IF(E35&lt;50,"U","S"))</f>
        <v/>
      </c>
      <c r="F64" s="589">
        <f>IF(F35="","",IF(F35&lt;50,"U","S"))</f>
        <v/>
      </c>
      <c r="J64" s="589">
        <f>IF(J35="","",IF(J35&lt;50,"U","S"))</f>
        <v/>
      </c>
      <c r="L64" s="589">
        <f>IF(L35="","",IF(L35&lt;50,"U","S"))</f>
        <v/>
      </c>
      <c r="N64" s="589">
        <f>IF(N35="","",IF(N35&lt;50,"U","S"))</f>
        <v/>
      </c>
      <c r="O64" s="589">
        <f>IF(O35="","",IF(O35&lt;50,"U","S"))</f>
        <v/>
      </c>
      <c r="R64" s="589">
        <f>IF(R35="","",IF(R35&lt;50,"U","S"))</f>
        <v/>
      </c>
      <c r="S64" s="589">
        <f>IF(S35="","",IF(S35&lt;50,"U","S"))</f>
        <v/>
      </c>
      <c r="T64" s="589">
        <f>IF(T35="","",IF(T35&lt;50,"U","S"))</f>
        <v/>
      </c>
      <c r="U64" s="589">
        <f>IF(U35="","",IF(U35&lt;50,"U","S"))</f>
        <v/>
      </c>
      <c r="V64" s="589">
        <f>IF(V35="","",IF(V35&lt;50,"U","S"))</f>
        <v/>
      </c>
      <c r="W64" s="589">
        <f>IF(W35="","",IF(W35&lt;50,"U","S"))</f>
        <v/>
      </c>
      <c r="X64" s="589">
        <f>IF(X35="","",IF(X35&lt;50,"U","S"))</f>
        <v/>
      </c>
    </row>
    <row r="65" ht="13.5" customHeight="1" s="590">
      <c r="S65" s="589">
        <f>IF(S36="","",IF(S36&lt;50,"U","S"))</f>
        <v/>
      </c>
    </row>
  </sheetData>
  <mergeCells count="50">
    <mergeCell ref="E3:I3"/>
    <mergeCell ref="BQ1:BQ36"/>
    <mergeCell ref="AN3:AR3"/>
    <mergeCell ref="BW4:BW6"/>
    <mergeCell ref="BR1:CA2"/>
    <mergeCell ref="AK5:AM5"/>
    <mergeCell ref="W3:Y3"/>
    <mergeCell ref="AE3:AJ3"/>
    <mergeCell ref="BR4:BR6"/>
    <mergeCell ref="BB3:BF3"/>
    <mergeCell ref="BT4:BT6"/>
    <mergeCell ref="BZ4:BZ6"/>
    <mergeCell ref="S5:V5"/>
    <mergeCell ref="AN5:AR5"/>
    <mergeCell ref="AE5:AH5"/>
    <mergeCell ref="AY5:BA5"/>
    <mergeCell ref="AS5:AV5"/>
    <mergeCell ref="E2:Y2"/>
    <mergeCell ref="BU4:BU6"/>
    <mergeCell ref="BY4:BY6"/>
    <mergeCell ref="BM5:BO5"/>
    <mergeCell ref="BB5:BF5"/>
    <mergeCell ref="N5:O5"/>
    <mergeCell ref="J5:M5"/>
    <mergeCell ref="AW5:AX5"/>
    <mergeCell ref="P3:R3"/>
    <mergeCell ref="J3:O3"/>
    <mergeCell ref="AS3:AX3"/>
    <mergeCell ref="Z3:AD3"/>
    <mergeCell ref="A1:A36"/>
    <mergeCell ref="B36:D36"/>
    <mergeCell ref="S3:V3"/>
    <mergeCell ref="BG5:BJ5"/>
    <mergeCell ref="CA4:CA6"/>
    <mergeCell ref="P5:R5"/>
    <mergeCell ref="BV4:BV6"/>
    <mergeCell ref="BX4:BX6"/>
    <mergeCell ref="Z5:AD5"/>
    <mergeCell ref="AY3:BA3"/>
    <mergeCell ref="BK5:BL5"/>
    <mergeCell ref="B2:B6"/>
    <mergeCell ref="D2:D6"/>
    <mergeCell ref="BG3:BL3"/>
    <mergeCell ref="BM3:BO3"/>
    <mergeCell ref="E5:G5"/>
    <mergeCell ref="W5:Y5"/>
    <mergeCell ref="BS4:BS6"/>
    <mergeCell ref="H5:I5"/>
    <mergeCell ref="AK3:AM3"/>
    <mergeCell ref="AI5:AJ5"/>
  </mergeCells>
  <conditionalFormatting sqref="E35:I35 J7:O7 J8:M35 J36:R36 N13:O13 N15:O15 N21:O22 N25:O25 N29:O29 N33:O33 N35:R35 P7:R34 S13:Y13 S16:V16 S21:Y22 S25:Y25 S29:Y29 S35:Y36 T7:Y7 V8:Y12 V14:Y15 V17:V20 V23:Y24 V26:Y28 V30:V34 W7:Y34">
    <cfRule type="cellIs" priority="266" operator="lessThan" dxfId="0">
      <formula>5</formula>
    </cfRule>
  </conditionalFormatting>
  <conditionalFormatting sqref="E7:F7 E13:I13 E16:F16 E21:I22 E25:I25 E36:I36 H7 H16">
    <cfRule type="cellIs" priority="318" operator="lessThan" dxfId="0">
      <formula>5</formula>
    </cfRule>
  </conditionalFormatting>
  <conditionalFormatting sqref="E29:F29 H29">
    <cfRule type="cellIs" priority="268" operator="lessThan" dxfId="0">
      <formula>5</formula>
    </cfRule>
  </conditionalFormatting>
  <conditionalFormatting sqref="E33:F33 H33">
    <cfRule type="cellIs" priority="267" operator="lessThan" dxfId="0">
      <formula>5</formula>
    </cfRule>
  </conditionalFormatting>
  <conditionalFormatting sqref="Z7:AD7 AN7:AR7 BB7:BF7 BP7">
    <cfRule type="cellIs" priority="7" operator="lessThan" dxfId="0">
      <formula>5</formula>
    </cfRule>
  </conditionalFormatting>
  <conditionalFormatting sqref="Z8:AD35 AN8:AR35 BB8:BF35 BP8:BP35">
    <cfRule type="cellIs" priority="6" operator="lessThan" dxfId="0">
      <formula>5</formula>
    </cfRule>
  </conditionalFormatting>
  <conditionalFormatting sqref="Z36:AD36 AN36:AR36 BB36:BF36 BP36">
    <cfRule type="cellIs" priority="4" operator="lessThan" dxfId="0">
      <formula>5</formula>
    </cfRule>
  </conditionalFormatting>
  <conditionalFormatting sqref="AE7:AJ7 AE8:AH35 AE36:AM36 AI13:AJ13 AI15:AJ15 AI21:AJ22 AI25:AJ25 AI29:AJ29 AI33:AJ33 AI35:AM35 AK7:AM34">
    <cfRule type="cellIs" priority="3" operator="lessThan" dxfId="0">
      <formula>5</formula>
    </cfRule>
  </conditionalFormatting>
  <conditionalFormatting sqref="AS7:AX7 AS8:AV35 AS36:BA36 AW13:AX13 AW15:AX15 AW21:AX22 AW25:AX25 AW29:AX29 AW33:AX33 AW35:BA35 AY7:BA34">
    <cfRule type="cellIs" priority="2" operator="lessThan" dxfId="0">
      <formula>5</formula>
    </cfRule>
  </conditionalFormatting>
  <conditionalFormatting sqref="BG7:BL7 BG8:BJ35 BG36:BO36 BK13:BL13 BK15:BL15 BK21:BL22 BK25:BL25 BK29:BL29 BK33:BL33 BK35:BO35 BM7:BO34">
    <cfRule type="cellIs" priority="1" operator="lessThan" dxfId="0">
      <formula>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Y56"/>
  <sheetViews>
    <sheetView topLeftCell="C1" zoomScale="38" zoomScaleNormal="25" workbookViewId="0">
      <pane xSplit="2" topLeftCell="AR1" activePane="topRight" state="frozen"/>
      <selection pane="topRight" activeCell="AW6" sqref="AW6:BN36"/>
    </sheetView>
  </sheetViews>
  <sheetFormatPr baseColWidth="8" defaultColWidth="9.125" defaultRowHeight="13.5" customHeight="1"/>
  <cols>
    <col width="18.25" customWidth="1" style="590" min="3" max="3"/>
    <col width="26.875" customWidth="1" style="590" min="4" max="4"/>
    <col hidden="1" width="9.125" customWidth="1" style="590" min="5" max="25"/>
    <col width="9.125" customWidth="1" style="590" min="26" max="35"/>
    <col width="9.125" customWidth="1" style="590" min="39" max="66"/>
  </cols>
  <sheetData>
    <row r="1"/>
    <row r="2"/>
    <row r="3" ht="40.5" customHeight="1" s="590">
      <c r="A3" s="337" t="inlineStr">
        <is>
          <t>Batch  Spring 2025</t>
        </is>
      </c>
      <c r="B3" s="385" t="inlineStr">
        <is>
          <t xml:space="preserve">Assessment of Spring 2025 GA's </t>
        </is>
      </c>
      <c r="AR3" s="385" t="n"/>
      <c r="AS3" s="385" t="n"/>
      <c r="AT3" s="385" t="n"/>
      <c r="AU3" s="385" t="n"/>
      <c r="AV3" s="385" t="n"/>
      <c r="AW3" s="385" t="n"/>
      <c r="AX3" s="385" t="n"/>
      <c r="AY3" s="385" t="n"/>
      <c r="AZ3" s="385" t="n"/>
      <c r="BA3" s="385" t="n"/>
      <c r="BB3" s="385" t="n"/>
      <c r="BC3" s="385" t="n"/>
      <c r="BD3" s="385" t="n"/>
      <c r="BE3" s="385" t="n"/>
      <c r="BF3" s="385" t="n"/>
      <c r="BG3" s="385" t="n"/>
      <c r="BH3" s="385" t="n"/>
      <c r="BI3" s="385" t="n"/>
      <c r="BJ3" s="385" t="n"/>
      <c r="BK3" s="385" t="n"/>
      <c r="BL3" s="385" t="n"/>
      <c r="BM3" s="385" t="n"/>
      <c r="BN3" s="385" t="n"/>
      <c r="BO3" s="697" t="inlineStr">
        <is>
          <t>Attainment of GAs</t>
        </is>
      </c>
      <c r="BP3" s="173" t="inlineStr">
        <is>
          <t>Attainment of Graduate Attribute</t>
        </is>
      </c>
      <c r="BQ3" s="173" t="n"/>
      <c r="BR3" s="173" t="n"/>
      <c r="BS3" s="173" t="n"/>
      <c r="BT3" s="173" t="n"/>
      <c r="BU3" s="173" t="n"/>
      <c r="BV3" s="173" t="n"/>
      <c r="BW3" s="173" t="n"/>
      <c r="BX3" s="173" t="n"/>
      <c r="BY3" s="173" t="n"/>
    </row>
    <row r="4" ht="25.5" customHeight="1" s="590">
      <c r="B4" s="671" t="inlineStr">
        <is>
          <t>Sr. No.</t>
        </is>
      </c>
      <c r="C4" s="341" t="n"/>
      <c r="D4" s="593" t="inlineStr">
        <is>
          <t>Student Name</t>
        </is>
      </c>
      <c r="E4" s="594" t="inlineStr">
        <is>
          <t>Semester 1</t>
        </is>
      </c>
      <c r="F4" s="595" t="n"/>
      <c r="G4" s="595" t="n"/>
      <c r="H4" s="595" t="n"/>
      <c r="I4" s="595" t="n"/>
      <c r="J4" s="595" t="n"/>
      <c r="K4" s="595" t="n"/>
      <c r="L4" s="595" t="n"/>
      <c r="M4" s="595" t="n"/>
      <c r="N4" s="595" t="n"/>
      <c r="O4" s="595" t="n"/>
      <c r="P4" s="595" t="n"/>
      <c r="Q4" s="595" t="n"/>
      <c r="R4" s="595" t="n"/>
      <c r="S4" s="595" t="n"/>
      <c r="T4" s="595" t="n"/>
      <c r="U4" s="595" t="n"/>
      <c r="V4" s="595" t="n"/>
      <c r="W4" s="595" t="n"/>
      <c r="X4" s="595" t="n"/>
      <c r="Y4" s="596" t="n"/>
      <c r="Z4" s="570" t="inlineStr">
        <is>
          <t>Semester 5</t>
        </is>
      </c>
      <c r="AA4" s="677" t="n"/>
      <c r="AB4" s="677" t="n"/>
      <c r="AC4" s="677" t="n"/>
      <c r="AD4" s="677" t="n"/>
      <c r="AE4" s="677" t="n"/>
      <c r="AF4" s="677" t="n"/>
      <c r="AG4" s="677" t="n"/>
      <c r="AH4" s="677" t="n"/>
      <c r="AI4" s="677" t="n"/>
      <c r="AJ4" s="677" t="n"/>
      <c r="AK4" s="677" t="n"/>
      <c r="AL4" s="677" t="n"/>
      <c r="AM4" s="677" t="n"/>
      <c r="AN4" s="677" t="n"/>
      <c r="AO4" s="677" t="n"/>
      <c r="AP4" s="677" t="n"/>
      <c r="AQ4" s="677" t="n"/>
      <c r="AR4" s="387" t="n"/>
      <c r="AS4" s="387" t="n"/>
      <c r="AT4" s="387" t="n"/>
      <c r="AU4" s="387" t="n"/>
      <c r="AV4" s="387" t="n"/>
      <c r="AW4" s="387" t="n"/>
      <c r="AX4" s="387" t="n"/>
      <c r="AY4" s="387" t="n"/>
      <c r="AZ4" s="387" t="inlineStr">
        <is>
          <t>Semester 6</t>
        </is>
      </c>
      <c r="BA4" s="387" t="n"/>
      <c r="BB4" s="387" t="n"/>
      <c r="BC4" s="387" t="n"/>
      <c r="BD4" s="387" t="n"/>
      <c r="BE4" s="387" t="n"/>
      <c r="BF4" s="387" t="n"/>
      <c r="BG4" s="387" t="n"/>
      <c r="BH4" s="387" t="n"/>
      <c r="BI4" s="387" t="n"/>
      <c r="BJ4" s="387" t="n"/>
      <c r="BK4" s="387" t="n"/>
      <c r="BL4" s="387" t="n"/>
      <c r="BM4" s="387" t="n"/>
      <c r="BN4" s="387" t="n"/>
      <c r="BP4" s="174" t="n"/>
      <c r="BQ4" s="174" t="n"/>
      <c r="BR4" s="174" t="n"/>
      <c r="BS4" s="174" t="n"/>
      <c r="BT4" s="174" t="n"/>
      <c r="BU4" s="174" t="n"/>
      <c r="BV4" s="174" t="n"/>
      <c r="BW4" s="174" t="n"/>
      <c r="BX4" s="174" t="n"/>
      <c r="BY4" s="174" t="n"/>
    </row>
    <row r="5" ht="42.95" customHeight="1" s="590">
      <c r="B5" s="606" t="n"/>
      <c r="C5" s="342" t="n"/>
      <c r="D5" s="608" t="n"/>
      <c r="E5" s="672" t="inlineStr">
        <is>
          <t>Application of information &amp; Communication Technologies</t>
        </is>
      </c>
      <c r="F5" s="609" t="n"/>
      <c r="G5" s="609" t="n"/>
      <c r="H5" s="611" t="n"/>
      <c r="I5" s="673" t="inlineStr">
        <is>
          <t>Applied Physics</t>
        </is>
      </c>
      <c r="J5" s="609" t="n"/>
      <c r="K5" s="609" t="n"/>
      <c r="L5" s="611" t="n"/>
      <c r="M5" s="610" t="inlineStr">
        <is>
          <t>Programming Fundamentals</t>
        </is>
      </c>
      <c r="N5" s="609" t="n"/>
      <c r="O5" s="609" t="n"/>
      <c r="P5" s="609" t="n"/>
      <c r="Q5" s="611" t="n"/>
      <c r="R5" s="612" t="inlineStr">
        <is>
          <t>Calculus and Analytic Geometry</t>
        </is>
      </c>
      <c r="S5" s="609" t="n"/>
      <c r="T5" s="611" t="n"/>
      <c r="U5" s="441" t="inlineStr">
        <is>
          <t>Functional English</t>
        </is>
      </c>
      <c r="V5" s="609" t="n"/>
      <c r="W5" s="609" t="n"/>
      <c r="X5" s="613" t="inlineStr">
        <is>
          <t>Islamic Studies</t>
        </is>
      </c>
      <c r="Y5" s="599" t="n"/>
      <c r="Z5" s="625" t="inlineStr">
        <is>
          <t>Artificial Intelligence</t>
        </is>
      </c>
      <c r="AA5" s="623" t="n"/>
      <c r="AB5" s="623" t="n"/>
      <c r="AC5" s="623" t="n"/>
      <c r="AD5" s="624" t="n"/>
      <c r="AE5" s="626" t="inlineStr">
        <is>
          <t>Database Management Systems</t>
        </is>
      </c>
      <c r="AF5" s="623" t="n"/>
      <c r="AG5" s="623" t="n"/>
      <c r="AH5" s="623" t="n"/>
      <c r="AI5" s="624" t="n"/>
      <c r="AJ5" s="627" t="inlineStr">
        <is>
          <t>World Literature</t>
        </is>
      </c>
      <c r="AK5" s="623" t="n"/>
      <c r="AL5" s="624" t="n"/>
      <c r="AM5" s="628" t="inlineStr">
        <is>
          <t>Continuous and Discreate Optimization</t>
        </is>
      </c>
      <c r="AN5" s="598" t="n"/>
      <c r="AO5" s="598" t="n"/>
      <c r="AP5" s="598" t="n"/>
      <c r="AQ5" s="629" t="n"/>
      <c r="AR5" s="698" t="inlineStr">
        <is>
          <t>Data Communication and Computer Network</t>
        </is>
      </c>
      <c r="AV5" s="591" t="n"/>
      <c r="AW5" s="698" t="n"/>
      <c r="BA5" s="591" t="n"/>
      <c r="BB5" s="698" t="n"/>
      <c r="BF5" s="591" t="n"/>
      <c r="BG5" s="698" t="n"/>
      <c r="BK5" s="591" t="n"/>
      <c r="BL5" s="627" t="n"/>
      <c r="BM5" s="623" t="n"/>
      <c r="BN5" s="624" t="n"/>
      <c r="BP5" s="175" t="n"/>
      <c r="BQ5" s="175" t="n"/>
      <c r="BR5" s="175" t="n"/>
      <c r="BS5" s="175" t="n"/>
      <c r="BT5" s="175" t="n"/>
      <c r="BU5" s="175" t="n"/>
      <c r="BV5" s="175" t="n"/>
      <c r="BW5" s="175" t="n"/>
      <c r="BX5" s="175" t="n"/>
      <c r="BY5" s="175" t="n"/>
    </row>
    <row r="6" ht="24" customHeight="1" s="590">
      <c r="B6" s="606" t="n"/>
      <c r="C6" s="342" t="n"/>
      <c r="D6" s="608" t="n"/>
      <c r="E6" s="110" t="inlineStr">
        <is>
          <t>CLO 1</t>
        </is>
      </c>
      <c r="F6" s="111" t="inlineStr">
        <is>
          <t>CLO 2</t>
        </is>
      </c>
      <c r="G6" s="112" t="inlineStr">
        <is>
          <t>CLO 1</t>
        </is>
      </c>
      <c r="H6" s="113" t="inlineStr">
        <is>
          <t>CLO 2</t>
        </is>
      </c>
      <c r="I6" s="110" t="inlineStr">
        <is>
          <t>CLO 1</t>
        </is>
      </c>
      <c r="J6" s="112" t="inlineStr">
        <is>
          <t>CLO 2</t>
        </is>
      </c>
      <c r="K6" s="110" t="inlineStr">
        <is>
          <t>CLO 1</t>
        </is>
      </c>
      <c r="L6" s="113" t="inlineStr">
        <is>
          <t>CLO 2</t>
        </is>
      </c>
      <c r="M6" s="110" t="inlineStr">
        <is>
          <t>CLO 1</t>
        </is>
      </c>
      <c r="N6" s="111" t="inlineStr">
        <is>
          <t>CLO 2</t>
        </is>
      </c>
      <c r="O6" s="111" t="inlineStr">
        <is>
          <t>CLO 3</t>
        </is>
      </c>
      <c r="P6" s="111" t="inlineStr">
        <is>
          <t>CLO1</t>
        </is>
      </c>
      <c r="Q6" s="113" t="inlineStr">
        <is>
          <t>CLO2</t>
        </is>
      </c>
      <c r="R6" s="110" t="inlineStr">
        <is>
          <t>CLO 1</t>
        </is>
      </c>
      <c r="S6" s="111" t="inlineStr">
        <is>
          <t>CLO 2</t>
        </is>
      </c>
      <c r="T6" s="113" t="inlineStr">
        <is>
          <t>CLO 3</t>
        </is>
      </c>
      <c r="U6" s="110" t="inlineStr">
        <is>
          <t>CLO 1</t>
        </is>
      </c>
      <c r="V6" s="111" t="inlineStr">
        <is>
          <t>CLO 2</t>
        </is>
      </c>
      <c r="W6" s="113" t="inlineStr">
        <is>
          <t>CLO 4</t>
        </is>
      </c>
      <c r="X6" s="122" t="inlineStr">
        <is>
          <t>CLO 1</t>
        </is>
      </c>
      <c r="Y6" s="122" t="inlineStr">
        <is>
          <t>CLO 3</t>
        </is>
      </c>
      <c r="Z6" s="5" t="inlineStr">
        <is>
          <t>CLO 1</t>
        </is>
      </c>
      <c r="AA6" s="5" t="inlineStr">
        <is>
          <t>CLO 2</t>
        </is>
      </c>
      <c r="AB6" s="5" t="inlineStr">
        <is>
          <t>CLO 3</t>
        </is>
      </c>
      <c r="AC6" s="5" t="inlineStr">
        <is>
          <t>CLO 1</t>
        </is>
      </c>
      <c r="AD6" s="5" t="inlineStr">
        <is>
          <t>CLO 2</t>
        </is>
      </c>
      <c r="AE6" s="5" t="inlineStr">
        <is>
          <t>CLO 1</t>
        </is>
      </c>
      <c r="AF6" s="5" t="inlineStr">
        <is>
          <t>CLO 2</t>
        </is>
      </c>
      <c r="AG6" s="5" t="inlineStr">
        <is>
          <t>CLO 3</t>
        </is>
      </c>
      <c r="AH6" s="5" t="inlineStr">
        <is>
          <t>CLO 1</t>
        </is>
      </c>
      <c r="AI6" s="5" t="inlineStr">
        <is>
          <t>CLO 2</t>
        </is>
      </c>
      <c r="AJ6" s="5" t="inlineStr">
        <is>
          <t>CLO 1</t>
        </is>
      </c>
      <c r="AK6" s="5" t="inlineStr">
        <is>
          <t>CLO 2</t>
        </is>
      </c>
      <c r="AL6" s="5" t="inlineStr">
        <is>
          <t>CLO 3</t>
        </is>
      </c>
      <c r="AM6" s="5" t="inlineStr">
        <is>
          <t>CLO 1</t>
        </is>
      </c>
      <c r="AN6" s="5" t="inlineStr">
        <is>
          <t>CLO 2</t>
        </is>
      </c>
      <c r="AO6" s="5" t="inlineStr">
        <is>
          <t>CLO 3</t>
        </is>
      </c>
      <c r="AP6" s="5" t="inlineStr">
        <is>
          <t>CLO 1</t>
        </is>
      </c>
      <c r="AQ6" s="5" t="inlineStr">
        <is>
          <t>CLO 2</t>
        </is>
      </c>
      <c r="AR6" s="5" t="inlineStr">
        <is>
          <t>CLO 1</t>
        </is>
      </c>
      <c r="AS6" s="5" t="inlineStr">
        <is>
          <t>CLO 2</t>
        </is>
      </c>
      <c r="AT6" s="5" t="inlineStr">
        <is>
          <t>CLO 3</t>
        </is>
      </c>
      <c r="AU6" s="5" t="inlineStr">
        <is>
          <t>CLO 1</t>
        </is>
      </c>
      <c r="AV6" s="5" t="inlineStr">
        <is>
          <t>CLO 2</t>
        </is>
      </c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P6" s="176" t="inlineStr">
        <is>
          <t>GA1</t>
        </is>
      </c>
      <c r="BQ6" s="176" t="inlineStr">
        <is>
          <t>GA2</t>
        </is>
      </c>
      <c r="BR6" s="176" t="inlineStr">
        <is>
          <t>GA3</t>
        </is>
      </c>
      <c r="BS6" s="176" t="inlineStr">
        <is>
          <t>GA4</t>
        </is>
      </c>
      <c r="BT6" s="176" t="inlineStr">
        <is>
          <t>GA5</t>
        </is>
      </c>
      <c r="BU6" s="176" t="inlineStr">
        <is>
          <t>GA6</t>
        </is>
      </c>
      <c r="BV6" s="176" t="inlineStr">
        <is>
          <t>GA7</t>
        </is>
      </c>
      <c r="BW6" s="176" t="inlineStr">
        <is>
          <t>GA8</t>
        </is>
      </c>
      <c r="BX6" s="176" t="inlineStr">
        <is>
          <t>GA9</t>
        </is>
      </c>
      <c r="BY6" s="176" t="inlineStr">
        <is>
          <t>GA10</t>
        </is>
      </c>
    </row>
    <row r="7" ht="24" customHeight="1" s="590">
      <c r="B7" s="606" t="n"/>
      <c r="C7" s="342" t="n"/>
      <c r="D7" s="608" t="n"/>
      <c r="E7" s="383" t="inlineStr">
        <is>
          <t>Theory</t>
        </is>
      </c>
      <c r="G7" s="384" t="inlineStr">
        <is>
          <t>Lab</t>
        </is>
      </c>
      <c r="H7" s="591" t="n"/>
      <c r="I7" s="383" t="inlineStr">
        <is>
          <t>Theory</t>
        </is>
      </c>
      <c r="K7" s="384" t="inlineStr">
        <is>
          <t>Lab</t>
        </is>
      </c>
      <c r="L7" s="591" t="n"/>
      <c r="M7" s="383" t="inlineStr">
        <is>
          <t>Theory</t>
        </is>
      </c>
      <c r="P7" s="384" t="inlineStr">
        <is>
          <t>Lab</t>
        </is>
      </c>
      <c r="Q7" s="591" t="n"/>
      <c r="R7" s="383" t="n"/>
      <c r="S7" s="363" t="n"/>
      <c r="T7" s="384" t="n"/>
      <c r="U7" s="383" t="n"/>
      <c r="V7" s="363" t="n"/>
      <c r="W7" s="363" t="n"/>
      <c r="X7" s="363" t="n"/>
      <c r="Y7" s="384" t="n"/>
      <c r="Z7" s="362" t="inlineStr">
        <is>
          <t>Theory</t>
        </is>
      </c>
      <c r="AC7" s="364" t="inlineStr">
        <is>
          <t>Lab</t>
        </is>
      </c>
      <c r="AD7" s="649" t="n"/>
      <c r="AE7" s="362" t="inlineStr">
        <is>
          <t>Theory</t>
        </is>
      </c>
      <c r="AH7" s="699" t="inlineStr">
        <is>
          <t>Lab</t>
        </is>
      </c>
      <c r="AI7" s="700" t="n"/>
      <c r="AJ7" s="133" t="inlineStr">
        <is>
          <t>Theory</t>
        </is>
      </c>
      <c r="AL7" s="649" t="n"/>
      <c r="AM7" s="383" t="inlineStr">
        <is>
          <t>Theory</t>
        </is>
      </c>
      <c r="AP7" s="384" t="inlineStr">
        <is>
          <t>Lab</t>
        </is>
      </c>
      <c r="AQ7" s="591" t="n"/>
      <c r="AR7" s="690" t="inlineStr">
        <is>
          <t>Theory</t>
        </is>
      </c>
      <c r="AT7" s="591" t="n"/>
      <c r="AU7" s="690" t="inlineStr">
        <is>
          <t>Lab</t>
        </is>
      </c>
      <c r="AV7" s="591" t="n"/>
      <c r="AW7" s="690" t="n"/>
      <c r="AY7" s="591" t="n"/>
      <c r="AZ7" s="690" t="n"/>
      <c r="BA7" s="591" t="n"/>
      <c r="BB7" s="690" t="n"/>
      <c r="BD7" s="591" t="n"/>
      <c r="BE7" s="690" t="n"/>
      <c r="BF7" s="591" t="n"/>
      <c r="BG7" s="690" t="n"/>
      <c r="BI7" s="591" t="n"/>
      <c r="BJ7" s="690" t="n"/>
      <c r="BK7" s="591" t="n"/>
      <c r="BL7" s="133" t="n"/>
      <c r="BN7" s="649" t="n"/>
      <c r="BP7" s="177" t="n"/>
      <c r="BQ7" s="177" t="n"/>
      <c r="BR7" s="177" t="n"/>
      <c r="BS7" s="177" t="n"/>
      <c r="BT7" s="177" t="n"/>
      <c r="BU7" s="177" t="n"/>
      <c r="BV7" s="177" t="n"/>
      <c r="BW7" s="177" t="n"/>
      <c r="BX7" s="177" t="n"/>
      <c r="BY7" s="177" t="n"/>
    </row>
    <row r="8" ht="24" customHeight="1" s="590">
      <c r="B8" s="652" t="n"/>
      <c r="C8" s="343" t="n"/>
      <c r="D8" s="650" t="n"/>
      <c r="E8" s="490" t="inlineStr">
        <is>
          <t>GA2</t>
        </is>
      </c>
      <c r="F8" s="360" t="inlineStr">
        <is>
          <t>GA5</t>
        </is>
      </c>
      <c r="G8" s="360" t="inlineStr">
        <is>
          <t>GA2</t>
        </is>
      </c>
      <c r="H8" s="361" t="inlineStr">
        <is>
          <t>GA5</t>
        </is>
      </c>
      <c r="I8" s="490" t="inlineStr">
        <is>
          <t>GA1</t>
        </is>
      </c>
      <c r="J8" s="598" t="n"/>
      <c r="K8" s="490" t="inlineStr">
        <is>
          <t>GA1</t>
        </is>
      </c>
      <c r="L8" s="598" t="n"/>
      <c r="M8" s="490" t="inlineStr">
        <is>
          <t>GA 1</t>
        </is>
      </c>
      <c r="N8" s="360" t="inlineStr">
        <is>
          <t>GA 2</t>
        </is>
      </c>
      <c r="O8" s="360" t="inlineStr">
        <is>
          <t>GA 4</t>
        </is>
      </c>
      <c r="P8" s="360" t="inlineStr">
        <is>
          <t>GA 1</t>
        </is>
      </c>
      <c r="Q8" s="360" t="inlineStr">
        <is>
          <t>GA 5</t>
        </is>
      </c>
      <c r="R8" s="130" t="inlineStr">
        <is>
          <t>GA1</t>
        </is>
      </c>
      <c r="S8" s="598" t="n"/>
      <c r="T8" s="629" t="n"/>
      <c r="U8" s="123" t="inlineStr">
        <is>
          <t>GA1</t>
        </is>
      </c>
      <c r="V8" s="124" t="inlineStr">
        <is>
          <t>GA6</t>
        </is>
      </c>
      <c r="W8" s="124" t="n"/>
      <c r="X8" s="124" t="inlineStr">
        <is>
          <t>GA10</t>
        </is>
      </c>
      <c r="Y8" s="125" t="inlineStr">
        <is>
          <t>GA2</t>
        </is>
      </c>
      <c r="Z8" s="362" t="inlineStr">
        <is>
          <t>GA2</t>
        </is>
      </c>
      <c r="AA8" s="363" t="inlineStr">
        <is>
          <t>GA5</t>
        </is>
      </c>
      <c r="AB8" s="363" t="inlineStr">
        <is>
          <t>GA4</t>
        </is>
      </c>
      <c r="AC8" s="363" t="inlineStr">
        <is>
          <t>GA1</t>
        </is>
      </c>
      <c r="AD8" s="363" t="inlineStr">
        <is>
          <t>GA5</t>
        </is>
      </c>
      <c r="AE8" s="362" t="inlineStr">
        <is>
          <t>GA2</t>
        </is>
      </c>
      <c r="AF8" s="363" t="inlineStr">
        <is>
          <t>GA5</t>
        </is>
      </c>
      <c r="AG8" s="363" t="inlineStr">
        <is>
          <t>GA3</t>
        </is>
      </c>
      <c r="AH8" s="133" t="inlineStr">
        <is>
          <t>GA1</t>
        </is>
      </c>
      <c r="AI8" s="133" t="inlineStr">
        <is>
          <t>GA4</t>
        </is>
      </c>
      <c r="AJ8" s="135" t="inlineStr">
        <is>
          <t>GA1</t>
        </is>
      </c>
      <c r="AK8" s="104" t="inlineStr">
        <is>
          <t>GA3</t>
        </is>
      </c>
      <c r="AL8" s="134" t="inlineStr">
        <is>
          <t>GA3</t>
        </is>
      </c>
      <c r="AM8" s="123" t="inlineStr">
        <is>
          <t>GA1</t>
        </is>
      </c>
      <c r="AN8" s="124" t="inlineStr">
        <is>
          <t>GA4</t>
        </is>
      </c>
      <c r="AO8" s="360" t="inlineStr">
        <is>
          <t>GA3</t>
        </is>
      </c>
      <c r="AP8" s="360" t="inlineStr">
        <is>
          <t>GA 2</t>
        </is>
      </c>
      <c r="AQ8" s="361" t="inlineStr">
        <is>
          <t>GA 4</t>
        </is>
      </c>
      <c r="AR8" s="384" t="inlineStr">
        <is>
          <t>GA2</t>
        </is>
      </c>
      <c r="AS8" s="384" t="inlineStr">
        <is>
          <t>GA2</t>
        </is>
      </c>
      <c r="AT8" s="384" t="inlineStr">
        <is>
          <t>GA3</t>
        </is>
      </c>
      <c r="AU8" s="384" t="inlineStr">
        <is>
          <t>GA5</t>
        </is>
      </c>
      <c r="AV8" s="384" t="inlineStr">
        <is>
          <t>GA9</t>
        </is>
      </c>
      <c r="AW8" s="384" t="n"/>
      <c r="AX8" s="384" t="n"/>
      <c r="AY8" s="384" t="n"/>
      <c r="AZ8" s="384" t="n"/>
      <c r="BA8" s="384" t="n"/>
      <c r="BB8" s="384" t="n"/>
      <c r="BC8" s="384" t="n"/>
      <c r="BD8" s="384" t="n"/>
      <c r="BE8" s="384" t="n"/>
      <c r="BF8" s="384" t="n"/>
      <c r="BG8" s="384" t="n"/>
      <c r="BH8" s="384" t="n"/>
      <c r="BI8" s="384" t="n"/>
      <c r="BJ8" s="384" t="n"/>
      <c r="BK8" s="384" t="n"/>
      <c r="BL8" s="135" t="n"/>
      <c r="BM8" s="104" t="n"/>
      <c r="BN8" s="134" t="n"/>
      <c r="BP8" s="178" t="n"/>
      <c r="BQ8" s="178" t="n"/>
      <c r="BR8" s="178" t="n"/>
      <c r="BS8" s="178" t="n"/>
      <c r="BT8" s="178" t="n"/>
      <c r="BU8" s="178" t="n"/>
      <c r="BV8" s="178" t="n"/>
      <c r="BW8" s="178" t="n"/>
      <c r="BX8" s="178" t="n"/>
      <c r="BY8" s="178" t="n"/>
    </row>
    <row r="9" ht="18" customHeight="1" s="590">
      <c r="B9" s="12" t="n">
        <v>1</v>
      </c>
      <c r="C9" s="13" t="inlineStr">
        <is>
          <t>052-Fa23-232203</t>
        </is>
      </c>
      <c r="D9" s="14" t="inlineStr">
        <is>
          <t xml:space="preserve">Ayesha khan </t>
        </is>
      </c>
      <c r="E9" s="114" t="n"/>
      <c r="F9" s="115" t="n"/>
      <c r="G9" s="510" t="n"/>
      <c r="H9" s="117" t="n"/>
      <c r="I9" s="114" t="n"/>
      <c r="J9" s="665" t="n"/>
      <c r="K9" s="117" t="n"/>
      <c r="L9" s="663" t="n"/>
      <c r="M9" s="561" t="n"/>
      <c r="N9" s="583" t="n"/>
      <c r="O9" s="546" t="n"/>
      <c r="P9" s="115" t="n"/>
      <c r="Q9" s="117" t="n"/>
      <c r="R9" s="701" t="n"/>
      <c r="S9" s="607" t="n"/>
      <c r="T9" s="614" t="n"/>
      <c r="U9" s="114" t="n"/>
      <c r="V9" s="115" t="n"/>
      <c r="W9" s="117" t="n"/>
      <c r="X9" s="117" t="n"/>
      <c r="Y9" s="510" t="n"/>
      <c r="Z9" s="246" t="n">
        <v>80</v>
      </c>
      <c r="AA9" s="246" t="n">
        <v>84</v>
      </c>
      <c r="AB9" s="246" t="n">
        <v>76</v>
      </c>
      <c r="AC9" s="246" t="n">
        <v>79.40000000000001</v>
      </c>
      <c r="AD9" s="246" t="n">
        <v>71.67</v>
      </c>
      <c r="AE9" s="246" t="n">
        <v>77</v>
      </c>
      <c r="AF9" s="246" t="n">
        <v>78.13</v>
      </c>
      <c r="AG9" s="246" t="n">
        <v>90.67</v>
      </c>
      <c r="AH9" s="246" t="n">
        <v>71.81999999999999</v>
      </c>
      <c r="AI9" s="246" t="n">
        <v>80.28</v>
      </c>
      <c r="AJ9" s="246" t="n">
        <v>86.95</v>
      </c>
      <c r="AK9" s="246" t="n">
        <v>83.33</v>
      </c>
      <c r="AL9" s="246" t="n">
        <v>85.83</v>
      </c>
      <c r="AM9" s="246" t="n">
        <v>90</v>
      </c>
      <c r="AN9" s="246" t="n">
        <v>80.67</v>
      </c>
      <c r="AO9" s="246" t="n">
        <v>82.5</v>
      </c>
      <c r="AP9" s="246" t="n">
        <v>94.55</v>
      </c>
      <c r="AQ9" s="246" t="n">
        <v>92.06</v>
      </c>
      <c r="AR9" s="246" t="n">
        <v>72.64</v>
      </c>
      <c r="AS9" s="246" t="n">
        <v>87.94</v>
      </c>
      <c r="AT9" s="246" t="n">
        <v>95</v>
      </c>
      <c r="AU9" s="246" t="n">
        <v>82.64</v>
      </c>
      <c r="AV9" s="246" t="n">
        <v>75</v>
      </c>
      <c r="AW9" s="246" t="n"/>
      <c r="AX9" s="246" t="n"/>
      <c r="AY9" s="246" t="n"/>
      <c r="AZ9" s="246" t="n"/>
      <c r="BA9" s="246" t="n"/>
      <c r="BB9" s="246" t="n"/>
      <c r="BC9" s="246" t="n"/>
      <c r="BD9" s="246" t="n"/>
      <c r="BE9" s="246" t="n"/>
      <c r="BF9" s="246" t="n"/>
      <c r="BG9" s="246" t="n"/>
      <c r="BH9" s="246" t="n"/>
      <c r="BI9" s="246" t="n"/>
      <c r="BJ9" s="246" t="n"/>
      <c r="BK9" s="246" t="n"/>
      <c r="BL9" s="246" t="n"/>
      <c r="BM9" s="246" t="n"/>
      <c r="BN9" s="246" t="n"/>
      <c r="BP9" s="179">
        <f>AVERAGE(AM9)</f>
        <v/>
      </c>
      <c r="BQ9" s="180">
        <f>AVERAGE(AR9:AS9,AE9,Z9)</f>
        <v/>
      </c>
      <c r="BR9" s="180">
        <f>AVERAGE(AT9,AO9,AG9)</f>
        <v/>
      </c>
      <c r="BS9" s="180">
        <f>AVERAGE(AN9,AB9)</f>
        <v/>
      </c>
      <c r="BT9" s="180">
        <f>AVERAGE(AF9,AA9)</f>
        <v/>
      </c>
      <c r="BU9" s="180" t="n"/>
      <c r="BV9" s="180" t="n"/>
      <c r="BW9" s="180" t="n"/>
      <c r="BX9" s="180" t="n"/>
      <c r="BY9" s="180">
        <f>AVERAGE(#REF!)</f>
        <v/>
      </c>
    </row>
    <row r="10" ht="18" customHeight="1" s="590">
      <c r="B10" s="12" t="n">
        <v>2</v>
      </c>
      <c r="C10" s="13" t="inlineStr">
        <is>
          <t>052-FA23-23610</t>
        </is>
      </c>
      <c r="D10" s="14" t="inlineStr">
        <is>
          <t>Waqas Anees</t>
        </is>
      </c>
      <c r="E10" s="114" t="n"/>
      <c r="F10" s="115" t="n"/>
      <c r="G10" s="510" t="n"/>
      <c r="H10" s="117" t="n"/>
      <c r="I10" s="114" t="n"/>
      <c r="J10" s="665" t="n"/>
      <c r="K10" s="117" t="n"/>
      <c r="L10" s="663" t="n"/>
      <c r="M10" s="561" t="n"/>
      <c r="N10" s="583" t="n"/>
      <c r="O10" s="546" t="n"/>
      <c r="P10" s="115" t="n"/>
      <c r="Q10" s="117" t="n"/>
      <c r="R10" s="701" t="n"/>
      <c r="S10" s="607" t="n"/>
      <c r="T10" s="614" t="n"/>
      <c r="U10" s="114" t="n"/>
      <c r="V10" s="115" t="n"/>
      <c r="W10" s="117" t="n"/>
      <c r="X10" s="117" t="n"/>
      <c r="Y10" s="117" t="n"/>
      <c r="Z10" s="246" t="n">
        <v>72</v>
      </c>
      <c r="AA10" s="246" t="n">
        <v>71</v>
      </c>
      <c r="AB10" s="246" t="n">
        <v>80</v>
      </c>
      <c r="AC10" s="246" t="n">
        <v>80.5</v>
      </c>
      <c r="AD10" s="246" t="n">
        <v>72.5</v>
      </c>
      <c r="AE10" s="246" t="n">
        <v>63.33</v>
      </c>
      <c r="AF10" s="246" t="n">
        <v>78.75</v>
      </c>
      <c r="AG10" s="246" t="n">
        <v>82.67</v>
      </c>
      <c r="AH10" s="246" t="n">
        <v>81.81999999999999</v>
      </c>
      <c r="AI10" s="246" t="n">
        <v>83.06</v>
      </c>
      <c r="AJ10" s="246" t="n">
        <v>74.76000000000001</v>
      </c>
      <c r="AK10" s="246" t="n">
        <v>81.17</v>
      </c>
      <c r="AL10" s="246" t="n">
        <v>85.83</v>
      </c>
      <c r="AM10" s="246" t="n">
        <v>72.5</v>
      </c>
      <c r="AN10" s="246" t="n">
        <v>70.67</v>
      </c>
      <c r="AO10" s="246" t="n">
        <v>60</v>
      </c>
      <c r="AP10" s="246" t="n">
        <v>78.18000000000001</v>
      </c>
      <c r="AQ10" s="246" t="n">
        <v>75.39</v>
      </c>
      <c r="AR10" s="246" t="n">
        <v>61.91</v>
      </c>
      <c r="AS10" s="246" t="n">
        <v>65.56</v>
      </c>
      <c r="AT10" s="246" t="n">
        <v>87.5</v>
      </c>
      <c r="AU10" s="246" t="n">
        <v>77.36</v>
      </c>
      <c r="AV10" s="246" t="n">
        <v>70.83</v>
      </c>
      <c r="AW10" s="246" t="n"/>
      <c r="AX10" s="246" t="n"/>
      <c r="AY10" s="246" t="n"/>
      <c r="AZ10" s="246" t="n"/>
      <c r="BA10" s="246" t="n"/>
      <c r="BB10" s="246" t="n"/>
      <c r="BC10" s="246" t="n"/>
      <c r="BD10" s="246" t="n"/>
      <c r="BE10" s="246" t="n"/>
      <c r="BF10" s="246" t="n"/>
      <c r="BG10" s="246" t="n"/>
      <c r="BH10" s="246" t="n"/>
      <c r="BI10" s="246" t="n"/>
      <c r="BJ10" s="246" t="n"/>
      <c r="BK10" s="246" t="n"/>
      <c r="BL10" s="246" t="n"/>
      <c r="BM10" s="246" t="n"/>
      <c r="BN10" s="246" t="n"/>
      <c r="BP10" s="179">
        <f>AVERAGE(AM10)</f>
        <v/>
      </c>
      <c r="BQ10" s="180">
        <f>AVERAGE(AR10:AS10,AE10,Z10)</f>
        <v/>
      </c>
      <c r="BR10" s="180">
        <f>AVERAGE(AT10,AO10,AG10)</f>
        <v/>
      </c>
      <c r="BS10" s="180">
        <f>AVERAGE(AN10,AB10)</f>
        <v/>
      </c>
      <c r="BT10" s="180">
        <f>AVERAGE(AF10,AA10)</f>
        <v/>
      </c>
      <c r="BU10" s="180" t="n"/>
      <c r="BV10" s="180" t="n"/>
      <c r="BW10" s="180" t="n"/>
      <c r="BX10" s="180" t="n"/>
      <c r="BY10" s="180">
        <f>AVERAGE(#REF!)</f>
        <v/>
      </c>
    </row>
    <row r="11" ht="18" customHeight="1" s="590">
      <c r="B11" s="12" t="n">
        <v>3</v>
      </c>
      <c r="C11" s="13" t="inlineStr">
        <is>
          <t>052-fa23-23621</t>
        </is>
      </c>
      <c r="D11" s="14" t="inlineStr">
        <is>
          <t>AlizaAli</t>
        </is>
      </c>
      <c r="E11" s="114" t="n"/>
      <c r="F11" s="115" t="n"/>
      <c r="G11" s="510" t="n"/>
      <c r="H11" s="117" t="n"/>
      <c r="I11" s="114" t="n"/>
      <c r="J11" s="665" t="n"/>
      <c r="K11" s="117" t="n"/>
      <c r="L11" s="663" t="n"/>
      <c r="M11" s="561" t="n"/>
      <c r="N11" s="583" t="n"/>
      <c r="O11" s="546" t="n"/>
      <c r="P11" s="115" t="n"/>
      <c r="Q11" s="117" t="n"/>
      <c r="R11" s="701" t="n"/>
      <c r="S11" s="607" t="n"/>
      <c r="T11" s="614" t="n"/>
      <c r="U11" s="114" t="n"/>
      <c r="V11" s="115" t="n"/>
      <c r="W11" s="117" t="n"/>
      <c r="X11" s="117" t="n"/>
      <c r="Y11" s="117" t="n"/>
      <c r="Z11" s="246" t="n">
        <v>62</v>
      </c>
      <c r="AA11" s="246" t="n">
        <v>64</v>
      </c>
      <c r="AB11" s="246" t="n">
        <v>80</v>
      </c>
      <c r="AC11" s="246" t="n">
        <v>77.87</v>
      </c>
      <c r="AD11" s="246" t="n">
        <v>66.67</v>
      </c>
      <c r="AE11" s="246" t="n">
        <v>69.67</v>
      </c>
      <c r="AF11" s="246" t="n">
        <v>75.63</v>
      </c>
      <c r="AG11" s="246" t="n">
        <v>80.67</v>
      </c>
      <c r="AH11" s="246" t="n">
        <v>89.39</v>
      </c>
      <c r="AI11" s="246" t="n">
        <v>85</v>
      </c>
      <c r="AJ11" s="246" t="n">
        <v>87.62</v>
      </c>
      <c r="AK11" s="246" t="n">
        <v>85.33</v>
      </c>
      <c r="AL11" s="246" t="n">
        <v>90</v>
      </c>
      <c r="AM11" s="246" t="n">
        <v>82.5</v>
      </c>
      <c r="AN11" s="246" t="n">
        <v>73</v>
      </c>
      <c r="AO11" s="246" t="n">
        <v>75</v>
      </c>
      <c r="AP11" s="246" t="n">
        <v>78.79000000000001</v>
      </c>
      <c r="AQ11" s="246" t="n">
        <v>75.39</v>
      </c>
      <c r="AR11" s="246" t="n">
        <v>81.91</v>
      </c>
      <c r="AS11" s="246" t="n">
        <v>83.17</v>
      </c>
      <c r="AT11" s="246" t="n">
        <v>90</v>
      </c>
      <c r="AU11" s="246" t="n">
        <v>78.06</v>
      </c>
      <c r="AV11" s="246" t="n">
        <v>69.17</v>
      </c>
      <c r="AW11" s="246" t="n"/>
      <c r="AX11" s="246" t="n"/>
      <c r="AY11" s="246" t="n"/>
      <c r="AZ11" s="246" t="n"/>
      <c r="BA11" s="246" t="n"/>
      <c r="BB11" s="246" t="n"/>
      <c r="BC11" s="246" t="n"/>
      <c r="BD11" s="246" t="n"/>
      <c r="BE11" s="246" t="n"/>
      <c r="BF11" s="246" t="n"/>
      <c r="BG11" s="246" t="n"/>
      <c r="BH11" s="246" t="n"/>
      <c r="BI11" s="246" t="n"/>
      <c r="BJ11" s="246" t="n"/>
      <c r="BK11" s="246" t="n"/>
      <c r="BL11" s="246" t="n"/>
      <c r="BM11" s="246" t="n"/>
      <c r="BN11" s="246" t="n"/>
      <c r="BP11" s="179">
        <f>AVERAGE(AM11)</f>
        <v/>
      </c>
      <c r="BQ11" s="180">
        <f>AVERAGE(AR11:AS11,AE11,Z11)</f>
        <v/>
      </c>
      <c r="BR11" s="180">
        <f>AVERAGE(AT11,AO11,AG11)</f>
        <v/>
      </c>
      <c r="BS11" s="180">
        <f>AVERAGE(AN11,AB11)</f>
        <v/>
      </c>
      <c r="BT11" s="180">
        <f>AVERAGE(AF11,AA11)</f>
        <v/>
      </c>
      <c r="BU11" s="180" t="n"/>
      <c r="BV11" s="180" t="n"/>
      <c r="BW11" s="180" t="n"/>
      <c r="BX11" s="180" t="n"/>
      <c r="BY11" s="180">
        <f>AVERAGE(#REF!)</f>
        <v/>
      </c>
    </row>
    <row r="12" ht="18" customHeight="1" s="590">
      <c r="B12" s="12" t="n">
        <v>4</v>
      </c>
      <c r="C12" s="13" t="inlineStr">
        <is>
          <t>052-FA23-23139</t>
        </is>
      </c>
      <c r="D12" s="14" t="inlineStr">
        <is>
          <t xml:space="preserve">Hifsa Jabeen Satti </t>
        </is>
      </c>
      <c r="E12" s="114" t="n"/>
      <c r="F12" s="115" t="n"/>
      <c r="G12" s="510" t="n"/>
      <c r="H12" s="117" t="n"/>
      <c r="I12" s="114" t="n"/>
      <c r="J12" s="665" t="n"/>
      <c r="K12" s="117" t="n"/>
      <c r="L12" s="663" t="n"/>
      <c r="M12" s="561" t="n"/>
      <c r="N12" s="583" t="n"/>
      <c r="O12" s="546" t="n"/>
      <c r="P12" s="115" t="n"/>
      <c r="Q12" s="117" t="n"/>
      <c r="R12" s="701" t="n"/>
      <c r="S12" s="607" t="n"/>
      <c r="T12" s="614" t="n"/>
      <c r="U12" s="114" t="n"/>
      <c r="V12" s="115" t="n"/>
      <c r="W12" s="117" t="n"/>
      <c r="X12" s="117" t="n"/>
      <c r="Y12" s="117" t="n"/>
      <c r="Z12" s="246" t="n">
        <v>58</v>
      </c>
      <c r="AA12" s="246" t="n">
        <v>76</v>
      </c>
      <c r="AB12" s="246" t="n">
        <v>64</v>
      </c>
      <c r="AC12" s="246" t="n">
        <v>79.98999999999999</v>
      </c>
      <c r="AD12" s="246" t="n">
        <v>73.33</v>
      </c>
      <c r="AE12" s="246" t="n">
        <v>79</v>
      </c>
      <c r="AF12" s="246" t="n">
        <v>84.69</v>
      </c>
      <c r="AG12" s="246" t="n">
        <v>88.67</v>
      </c>
      <c r="AH12" s="246" t="n">
        <v>81.52</v>
      </c>
      <c r="AI12" s="246" t="n">
        <v>79.72</v>
      </c>
      <c r="AJ12" s="246" t="n">
        <v>76.95</v>
      </c>
      <c r="AK12" s="246" t="n">
        <v>74.5</v>
      </c>
      <c r="AL12" s="246" t="n">
        <v>78.33</v>
      </c>
      <c r="AM12" s="246" t="n">
        <v>80</v>
      </c>
      <c r="AN12" s="246" t="n">
        <v>82.33</v>
      </c>
      <c r="AO12" s="246" t="n">
        <v>80</v>
      </c>
      <c r="AP12" s="246" t="n">
        <v>75.40000000000001</v>
      </c>
      <c r="AQ12" s="246" t="n">
        <v>75.39</v>
      </c>
      <c r="AR12" s="246" t="n">
        <v>67.33</v>
      </c>
      <c r="AS12" s="246" t="n">
        <v>88.33</v>
      </c>
      <c r="AT12" s="246" t="n">
        <v>92.5</v>
      </c>
      <c r="AU12" s="246" t="n">
        <v>79.72</v>
      </c>
      <c r="AV12" s="246" t="n">
        <v>75</v>
      </c>
      <c r="AW12" s="246" t="n"/>
      <c r="AX12" s="246" t="n"/>
      <c r="AY12" s="246" t="n"/>
      <c r="AZ12" s="246" t="n"/>
      <c r="BA12" s="246" t="n"/>
      <c r="BB12" s="246" t="n"/>
      <c r="BC12" s="246" t="n"/>
      <c r="BD12" s="246" t="n"/>
      <c r="BE12" s="246" t="n"/>
      <c r="BF12" s="246" t="n"/>
      <c r="BG12" s="246" t="n"/>
      <c r="BH12" s="246" t="n"/>
      <c r="BI12" s="246" t="n"/>
      <c r="BJ12" s="246" t="n"/>
      <c r="BK12" s="246" t="n"/>
      <c r="BL12" s="246" t="n"/>
      <c r="BM12" s="246" t="n"/>
      <c r="BN12" s="246" t="n"/>
      <c r="BP12" s="179">
        <f>AVERAGE(AM12)</f>
        <v/>
      </c>
      <c r="BQ12" s="180">
        <f>AVERAGE(AR12:AS12,AE12,Z12)</f>
        <v/>
      </c>
      <c r="BR12" s="180">
        <f>AVERAGE(AT12,AO12,AG12)</f>
        <v/>
      </c>
      <c r="BS12" s="180">
        <f>AVERAGE(AN12,AB12)</f>
        <v/>
      </c>
      <c r="BT12" s="180">
        <f>AVERAGE(AF12,AA12)</f>
        <v/>
      </c>
      <c r="BU12" s="180" t="n"/>
      <c r="BV12" s="180" t="n"/>
      <c r="BW12" s="180" t="n"/>
      <c r="BX12" s="180" t="n"/>
      <c r="BY12" s="180">
        <f>AVERAGE(#REF!)</f>
        <v/>
      </c>
    </row>
    <row r="13" ht="18" customHeight="1" s="590">
      <c r="B13" s="12" t="n">
        <v>5</v>
      </c>
      <c r="C13" s="13" t="inlineStr">
        <is>
          <t>052-23-23206</t>
        </is>
      </c>
      <c r="D13" s="14" t="inlineStr">
        <is>
          <t xml:space="preserve">Haris Javed </t>
        </is>
      </c>
      <c r="E13" s="114" t="n"/>
      <c r="F13" s="115" t="n"/>
      <c r="G13" s="510" t="n"/>
      <c r="H13" s="117" t="n"/>
      <c r="I13" s="114" t="n"/>
      <c r="J13" s="665" t="n"/>
      <c r="K13" s="117" t="n"/>
      <c r="L13" s="663" t="n"/>
      <c r="M13" s="561" t="n"/>
      <c r="N13" s="583" t="n"/>
      <c r="O13" s="546" t="n"/>
      <c r="P13" s="115" t="n"/>
      <c r="Q13" s="117" t="n"/>
      <c r="R13" s="701" t="n"/>
      <c r="S13" s="607" t="n"/>
      <c r="T13" s="614" t="n"/>
      <c r="U13" s="114" t="n"/>
      <c r="V13" s="115" t="n"/>
      <c r="W13" s="117" t="n"/>
      <c r="X13" s="117" t="n"/>
      <c r="Y13" s="117" t="n"/>
      <c r="Z13" s="246" t="n">
        <v>66</v>
      </c>
      <c r="AA13" s="246" t="n">
        <v>62</v>
      </c>
      <c r="AB13" s="246" t="n">
        <v>78</v>
      </c>
      <c r="AC13" s="246" t="n">
        <v>72.79000000000001</v>
      </c>
      <c r="AD13" s="246" t="n">
        <v>68.33</v>
      </c>
      <c r="AE13" s="246" t="n">
        <v>72</v>
      </c>
      <c r="AF13" s="246" t="n">
        <v>65</v>
      </c>
      <c r="AG13" s="246" t="n">
        <v>80.67</v>
      </c>
      <c r="AH13" s="246" t="n">
        <v>79.7</v>
      </c>
      <c r="AI13" s="246" t="n">
        <v>80.28</v>
      </c>
      <c r="AJ13" s="246" t="n">
        <v>72.29000000000001</v>
      </c>
      <c r="AK13" s="246" t="n">
        <v>78.83</v>
      </c>
      <c r="AL13" s="246" t="n">
        <v>85</v>
      </c>
      <c r="AM13" s="246" t="n">
        <v>75</v>
      </c>
      <c r="AN13" s="246" t="n">
        <v>70.33</v>
      </c>
      <c r="AO13" s="246" t="n">
        <v>52.5</v>
      </c>
      <c r="AP13" s="246" t="n">
        <v>77.88</v>
      </c>
      <c r="AQ13" s="246" t="n">
        <v>75.39</v>
      </c>
      <c r="AR13" s="246" t="n">
        <v>64.79000000000001</v>
      </c>
      <c r="AS13" s="246" t="n">
        <v>55</v>
      </c>
      <c r="AT13" s="246" t="n">
        <v>80</v>
      </c>
      <c r="AU13" s="246" t="n">
        <v>72.64</v>
      </c>
      <c r="AV13" s="246" t="n">
        <v>63.33</v>
      </c>
      <c r="AW13" s="246" t="n"/>
      <c r="AX13" s="246" t="n"/>
      <c r="AY13" s="246" t="n"/>
      <c r="AZ13" s="246" t="n"/>
      <c r="BA13" s="246" t="n"/>
      <c r="BB13" s="246" t="n"/>
      <c r="BC13" s="246" t="n"/>
      <c r="BD13" s="246" t="n"/>
      <c r="BE13" s="246" t="n"/>
      <c r="BF13" s="246" t="n"/>
      <c r="BG13" s="246" t="n"/>
      <c r="BH13" s="246" t="n"/>
      <c r="BI13" s="246" t="n"/>
      <c r="BJ13" s="246" t="n"/>
      <c r="BK13" s="246" t="n"/>
      <c r="BL13" s="246" t="n"/>
      <c r="BM13" s="246" t="n"/>
      <c r="BN13" s="246" t="n"/>
      <c r="BP13" s="179">
        <f>AVERAGE(AM13)</f>
        <v/>
      </c>
      <c r="BQ13" s="180">
        <f>AVERAGE(AR13:AS13,AE13,Z13)</f>
        <v/>
      </c>
      <c r="BR13" s="180">
        <f>AVERAGE(AT13,AO13,AG13)</f>
        <v/>
      </c>
      <c r="BS13" s="180">
        <f>AVERAGE(AN13,AB13)</f>
        <v/>
      </c>
      <c r="BT13" s="180">
        <f>AVERAGE(AF13,AA13)</f>
        <v/>
      </c>
      <c r="BU13" s="180" t="n"/>
      <c r="BV13" s="180" t="n"/>
      <c r="BW13" s="180" t="n"/>
      <c r="BX13" s="180" t="n"/>
      <c r="BY13" s="180">
        <f>AVERAGE(#REF!)</f>
        <v/>
      </c>
    </row>
    <row r="14" ht="18" customHeight="1" s="590">
      <c r="B14" s="12" t="n">
        <v>6</v>
      </c>
      <c r="C14" s="13" t="inlineStr">
        <is>
          <t>052-23-23238</t>
        </is>
      </c>
      <c r="D14" s="14" t="inlineStr">
        <is>
          <t xml:space="preserve">Nouman Asghar </t>
        </is>
      </c>
      <c r="E14" s="114" t="n"/>
      <c r="F14" s="115" t="n"/>
      <c r="G14" s="510" t="n"/>
      <c r="H14" s="117" t="n"/>
      <c r="I14" s="114" t="n"/>
      <c r="J14" s="665" t="n"/>
      <c r="K14" s="117" t="n"/>
      <c r="L14" s="663" t="n"/>
      <c r="M14" s="561" t="n"/>
      <c r="N14" s="583" t="n"/>
      <c r="O14" s="546" t="n"/>
      <c r="P14" s="115" t="n"/>
      <c r="Q14" s="117" t="n"/>
      <c r="R14" s="701" t="n"/>
      <c r="S14" s="607" t="n"/>
      <c r="T14" s="614" t="n"/>
      <c r="U14" s="114" t="n"/>
      <c r="V14" s="115" t="n"/>
      <c r="W14" s="117" t="n"/>
      <c r="X14" s="117" t="n"/>
      <c r="Y14" s="117" t="n"/>
      <c r="Z14" s="246" t="n">
        <v>70</v>
      </c>
      <c r="AA14" s="246" t="n">
        <v>52</v>
      </c>
      <c r="AB14" s="246" t="n">
        <v>74</v>
      </c>
      <c r="AC14" s="246" t="n">
        <v>76.45999999999999</v>
      </c>
      <c r="AD14" s="246" t="n">
        <v>70</v>
      </c>
      <c r="AE14" s="246" t="n">
        <v>65</v>
      </c>
      <c r="AF14" s="246" t="n">
        <v>73.13</v>
      </c>
      <c r="AG14" s="246" t="n">
        <v>86.67</v>
      </c>
      <c r="AH14" s="246" t="n">
        <v>69.39</v>
      </c>
      <c r="AI14" s="246" t="n">
        <v>60.56</v>
      </c>
      <c r="AJ14" s="246" t="n">
        <v>77.62</v>
      </c>
      <c r="AK14" s="246" t="n">
        <v>80.67</v>
      </c>
      <c r="AL14" s="246" t="n">
        <v>82.5</v>
      </c>
      <c r="AM14" s="246" t="n">
        <v>77.5</v>
      </c>
      <c r="AN14" s="246" t="n">
        <v>63.33</v>
      </c>
      <c r="AO14" s="246" t="n">
        <v>55</v>
      </c>
      <c r="AP14" s="246" t="n">
        <v>77.88</v>
      </c>
      <c r="AQ14" s="246" t="n">
        <v>76.17</v>
      </c>
      <c r="AR14" s="246" t="n">
        <v>74.51000000000001</v>
      </c>
      <c r="AS14" s="246" t="n">
        <v>79.25</v>
      </c>
      <c r="AT14" s="246" t="n">
        <v>63.75</v>
      </c>
      <c r="AU14" s="246" t="n">
        <v>74.17</v>
      </c>
      <c r="AV14" s="246" t="n">
        <v>63.33</v>
      </c>
      <c r="AW14" s="246" t="n"/>
      <c r="AX14" s="246" t="n"/>
      <c r="AY14" s="246" t="n"/>
      <c r="AZ14" s="246" t="n"/>
      <c r="BA14" s="246" t="n"/>
      <c r="BB14" s="246" t="n"/>
      <c r="BC14" s="246" t="n"/>
      <c r="BD14" s="246" t="n"/>
      <c r="BE14" s="246" t="n"/>
      <c r="BF14" s="246" t="n"/>
      <c r="BG14" s="246" t="n"/>
      <c r="BH14" s="246" t="n"/>
      <c r="BI14" s="246" t="n"/>
      <c r="BJ14" s="246" t="n"/>
      <c r="BK14" s="246" t="n"/>
      <c r="BL14" s="246" t="n"/>
      <c r="BM14" s="246" t="n"/>
      <c r="BN14" s="246" t="n"/>
      <c r="BP14" s="179">
        <f>AVERAGE(AM14)</f>
        <v/>
      </c>
      <c r="BQ14" s="180">
        <f>AVERAGE(AR14:AS14,AE14,Z14)</f>
        <v/>
      </c>
      <c r="BR14" s="180">
        <f>AVERAGE(AT14,AO14,AG14)</f>
        <v/>
      </c>
      <c r="BS14" s="180">
        <f>AVERAGE(AN14,AB14)</f>
        <v/>
      </c>
      <c r="BT14" s="180">
        <f>AVERAGE(AF14,AA14)</f>
        <v/>
      </c>
      <c r="BU14" s="180" t="n"/>
      <c r="BV14" s="180" t="n"/>
      <c r="BW14" s="180" t="n"/>
      <c r="BX14" s="180" t="n"/>
      <c r="BY14" s="180">
        <f>AVERAGE(#REF!)</f>
        <v/>
      </c>
    </row>
    <row r="15" ht="18" customHeight="1" s="590">
      <c r="B15" s="12" t="n">
        <v>7</v>
      </c>
      <c r="C15" s="13" t="inlineStr">
        <is>
          <t>052-FA23-23309</t>
        </is>
      </c>
      <c r="D15" s="14" t="inlineStr">
        <is>
          <t>Muhammad Zeeshan</t>
        </is>
      </c>
      <c r="E15" s="114" t="n"/>
      <c r="F15" s="115" t="n"/>
      <c r="G15" s="510" t="n"/>
      <c r="H15" s="117" t="n"/>
      <c r="I15" s="114" t="n"/>
      <c r="J15" s="665" t="n"/>
      <c r="K15" s="117" t="n"/>
      <c r="L15" s="663" t="n"/>
      <c r="M15" s="561" t="n"/>
      <c r="N15" s="583" t="n"/>
      <c r="O15" s="546" t="n"/>
      <c r="P15" s="115" t="n"/>
      <c r="Q15" s="117" t="n"/>
      <c r="R15" s="701" t="n"/>
      <c r="S15" s="607" t="n"/>
      <c r="T15" s="614" t="n"/>
      <c r="U15" s="114" t="n"/>
      <c r="V15" s="115" t="n"/>
      <c r="W15" s="117" t="n"/>
      <c r="X15" s="117" t="n"/>
      <c r="Y15" s="117" t="n"/>
      <c r="Z15" s="246" t="n">
        <v>72</v>
      </c>
      <c r="AA15" s="246" t="n">
        <v>66</v>
      </c>
      <c r="AB15" s="246" t="n">
        <v>56</v>
      </c>
      <c r="AC15" s="246" t="n">
        <v>30.29</v>
      </c>
      <c r="AD15" s="246" t="n">
        <v>21.67</v>
      </c>
      <c r="AE15" s="246" t="n">
        <v>58.67</v>
      </c>
      <c r="AF15" s="246" t="n">
        <v>60</v>
      </c>
      <c r="AG15" s="246" t="n">
        <v>68</v>
      </c>
      <c r="AH15" s="246" t="n">
        <v>68.18000000000001</v>
      </c>
      <c r="AI15" s="246" t="n">
        <v>58.33</v>
      </c>
      <c r="AJ15" s="246" t="n">
        <v>66.09999999999999</v>
      </c>
      <c r="AK15" s="246" t="n">
        <v>74.83</v>
      </c>
      <c r="AL15" s="246" t="n">
        <v>78.33</v>
      </c>
      <c r="AM15" s="246" t="n">
        <v>42.5</v>
      </c>
      <c r="AN15" s="246" t="n">
        <v>46</v>
      </c>
      <c r="AO15" s="246" t="n">
        <v>35</v>
      </c>
      <c r="AP15" s="246" t="n">
        <v>59.39</v>
      </c>
      <c r="AQ15" s="246" t="n">
        <v>59.56</v>
      </c>
      <c r="AR15" s="246" t="n">
        <v>42.67</v>
      </c>
      <c r="AS15" s="246" t="n">
        <v>50</v>
      </c>
      <c r="AT15" s="246" t="n">
        <v>52.5</v>
      </c>
      <c r="AU15" s="246" t="n">
        <v>55.56</v>
      </c>
      <c r="AV15" s="246" t="n">
        <v>45</v>
      </c>
      <c r="AW15" s="246" t="n"/>
      <c r="AX15" s="246" t="n"/>
      <c r="AY15" s="246" t="n"/>
      <c r="AZ15" s="246" t="n"/>
      <c r="BA15" s="246" t="n"/>
      <c r="BB15" s="246" t="n"/>
      <c r="BC15" s="246" t="n"/>
      <c r="BD15" s="246" t="n"/>
      <c r="BE15" s="246" t="n"/>
      <c r="BF15" s="246" t="n"/>
      <c r="BG15" s="246" t="n"/>
      <c r="BH15" s="246" t="n"/>
      <c r="BI15" s="246" t="n"/>
      <c r="BJ15" s="246" t="n"/>
      <c r="BK15" s="246" t="n"/>
      <c r="BL15" s="246" t="n"/>
      <c r="BM15" s="246" t="n"/>
      <c r="BN15" s="246" t="n"/>
      <c r="BP15" s="179">
        <f>AVERAGE(AM15)</f>
        <v/>
      </c>
      <c r="BQ15" s="180">
        <f>AVERAGE(AR15:AS15,AE15,Z15)</f>
        <v/>
      </c>
      <c r="BR15" s="180">
        <f>AVERAGE(AT15,AO15,AG15)</f>
        <v/>
      </c>
      <c r="BS15" s="180">
        <f>AVERAGE(AN15,AB15)</f>
        <v/>
      </c>
      <c r="BT15" s="180">
        <f>AVERAGE(AF15,AA15)</f>
        <v/>
      </c>
      <c r="BU15" s="180" t="n"/>
      <c r="BV15" s="180" t="n"/>
      <c r="BW15" s="180" t="n"/>
      <c r="BX15" s="180" t="n"/>
      <c r="BY15" s="180">
        <f>AVERAGE(#REF!)</f>
        <v/>
      </c>
    </row>
    <row r="16" ht="18" customHeight="1" s="590">
      <c r="B16" s="12" t="n">
        <v>8</v>
      </c>
      <c r="C16" s="13" t="inlineStr">
        <is>
          <t>052-fa23-23185</t>
        </is>
      </c>
      <c r="D16" s="14" t="inlineStr">
        <is>
          <t xml:space="preserve">Manahil Mehmood </t>
        </is>
      </c>
      <c r="E16" s="114" t="n"/>
      <c r="F16" s="115" t="n"/>
      <c r="G16" s="510" t="n"/>
      <c r="H16" s="117" t="n"/>
      <c r="I16" s="114" t="n"/>
      <c r="J16" s="665" t="n"/>
      <c r="K16" s="117" t="n"/>
      <c r="L16" s="663" t="n"/>
      <c r="M16" s="561" t="n"/>
      <c r="N16" s="583" t="n"/>
      <c r="O16" s="546" t="n"/>
      <c r="P16" s="115" t="n"/>
      <c r="Q16" s="117" t="n"/>
      <c r="R16" s="701" t="n"/>
      <c r="S16" s="607" t="n"/>
      <c r="T16" s="614" t="n"/>
      <c r="U16" s="114" t="n"/>
      <c r="V16" s="115" t="n"/>
      <c r="W16" s="117" t="n"/>
      <c r="X16" s="117" t="n"/>
      <c r="Y16" s="117" t="n"/>
      <c r="Z16" s="246" t="n">
        <v>90</v>
      </c>
      <c r="AA16" s="246" t="n">
        <v>78</v>
      </c>
      <c r="AB16" s="246" t="n">
        <v>96</v>
      </c>
      <c r="AC16" s="246" t="n">
        <v>83.58</v>
      </c>
      <c r="AD16" s="246" t="n">
        <v>71.67</v>
      </c>
      <c r="AE16" s="246" t="n">
        <v>79.67</v>
      </c>
      <c r="AF16" s="246" t="n">
        <v>83.75</v>
      </c>
      <c r="AG16" s="246" t="n">
        <v>86.67</v>
      </c>
      <c r="AH16" s="246" t="n">
        <v>91.52</v>
      </c>
      <c r="AI16" s="246" t="n">
        <v>91.11</v>
      </c>
      <c r="AJ16" s="246" t="n">
        <v>88.95</v>
      </c>
      <c r="AK16" s="246" t="n">
        <v>90.33</v>
      </c>
      <c r="AL16" s="246" t="n">
        <v>92.5</v>
      </c>
      <c r="AM16" s="246" t="n">
        <v>90</v>
      </c>
      <c r="AN16" s="246" t="n">
        <v>85.67</v>
      </c>
      <c r="AO16" s="246" t="n">
        <v>95</v>
      </c>
      <c r="AP16" s="246" t="n">
        <v>94.55</v>
      </c>
      <c r="AQ16" s="246" t="n">
        <v>92.06</v>
      </c>
      <c r="AR16" s="246" t="n">
        <v>79.79000000000001</v>
      </c>
      <c r="AS16" s="246" t="n">
        <v>89.44</v>
      </c>
      <c r="AT16" s="246" t="n">
        <v>97.5</v>
      </c>
      <c r="AU16" s="246" t="n">
        <v>90.28</v>
      </c>
      <c r="AV16" s="246" t="n">
        <v>80.83</v>
      </c>
      <c r="AW16" s="246" t="n"/>
      <c r="AX16" s="246" t="n"/>
      <c r="AY16" s="246" t="n"/>
      <c r="AZ16" s="246" t="n"/>
      <c r="BA16" s="246" t="n"/>
      <c r="BB16" s="246" t="n"/>
      <c r="BC16" s="246" t="n"/>
      <c r="BD16" s="246" t="n"/>
      <c r="BE16" s="246" t="n"/>
      <c r="BF16" s="246" t="n"/>
      <c r="BG16" s="246" t="n"/>
      <c r="BH16" s="246" t="n"/>
      <c r="BI16" s="246" t="n"/>
      <c r="BJ16" s="246" t="n"/>
      <c r="BK16" s="246" t="n"/>
      <c r="BL16" s="246" t="n"/>
      <c r="BM16" s="246" t="n"/>
      <c r="BN16" s="246" t="n"/>
      <c r="BP16" s="179">
        <f>AVERAGE(AM16)</f>
        <v/>
      </c>
      <c r="BQ16" s="180">
        <f>AVERAGE(AR16:AS16,AE16,Z16)</f>
        <v/>
      </c>
      <c r="BR16" s="180">
        <f>AVERAGE(AT16,AO16,AG16)</f>
        <v/>
      </c>
      <c r="BS16" s="180">
        <f>AVERAGE(AN16,AB16)</f>
        <v/>
      </c>
      <c r="BT16" s="180">
        <f>AVERAGE(AF16,AA16)</f>
        <v/>
      </c>
      <c r="BU16" s="180" t="n"/>
      <c r="BV16" s="180" t="n"/>
      <c r="BW16" s="180" t="n"/>
      <c r="BX16" s="180" t="n"/>
      <c r="BY16" s="180">
        <f>AVERAGE(#REF!)</f>
        <v/>
      </c>
    </row>
    <row r="17" ht="18" customHeight="1" s="590">
      <c r="B17" s="12" t="n">
        <v>9</v>
      </c>
      <c r="C17" s="13" t="inlineStr">
        <is>
          <t>052-fa23-23027</t>
        </is>
      </c>
      <c r="D17" s="14" t="inlineStr">
        <is>
          <t xml:space="preserve">Rashid Tariq </t>
        </is>
      </c>
      <c r="E17" s="114" t="n"/>
      <c r="F17" s="115" t="n"/>
      <c r="G17" s="510" t="n"/>
      <c r="H17" s="117" t="n"/>
      <c r="I17" s="114" t="n"/>
      <c r="J17" s="665" t="n"/>
      <c r="K17" s="117" t="n"/>
      <c r="L17" s="663" t="n"/>
      <c r="M17" s="561" t="n"/>
      <c r="N17" s="583" t="n"/>
      <c r="O17" s="546" t="n"/>
      <c r="P17" s="115" t="n"/>
      <c r="Q17" s="117" t="n"/>
      <c r="R17" s="701" t="n"/>
      <c r="S17" s="607" t="n"/>
      <c r="T17" s="614" t="n"/>
      <c r="U17" s="114" t="n"/>
      <c r="V17" s="115" t="n"/>
      <c r="W17" s="117" t="n"/>
      <c r="X17" s="117" t="n"/>
      <c r="Y17" s="117" t="n"/>
      <c r="Z17" s="246" t="n">
        <v>62</v>
      </c>
      <c r="AA17" s="246" t="n">
        <v>52</v>
      </c>
      <c r="AB17" s="246" t="n">
        <v>44</v>
      </c>
      <c r="AC17" s="246" t="n">
        <v>55.41</v>
      </c>
      <c r="AD17" s="246" t="n">
        <v>50.83</v>
      </c>
      <c r="AE17" s="246" t="n">
        <v>60.67</v>
      </c>
      <c r="AF17" s="246" t="n">
        <v>50</v>
      </c>
      <c r="AG17" s="246" t="n">
        <v>69.33</v>
      </c>
      <c r="AH17" s="246" t="n">
        <v>63.94</v>
      </c>
      <c r="AI17" s="246" t="n">
        <v>77.22</v>
      </c>
      <c r="AJ17" s="246" t="n">
        <v>76.29000000000001</v>
      </c>
      <c r="AK17" s="246" t="n">
        <v>74.67</v>
      </c>
      <c r="AL17" s="246" t="n">
        <v>78.33</v>
      </c>
      <c r="AM17" s="246" t="n">
        <v>65</v>
      </c>
      <c r="AN17" s="246" t="n">
        <v>64</v>
      </c>
      <c r="AO17" s="246" t="n">
        <v>55</v>
      </c>
      <c r="AP17" s="246" t="n">
        <v>58.79</v>
      </c>
      <c r="AQ17" s="246" t="n">
        <v>60.78</v>
      </c>
      <c r="AR17" s="246" t="n">
        <v>66.39</v>
      </c>
      <c r="AS17" s="246" t="n">
        <v>71.03</v>
      </c>
      <c r="AT17" s="246" t="n">
        <v>65</v>
      </c>
      <c r="AU17" s="246" t="n">
        <v>63.89</v>
      </c>
      <c r="AV17" s="246" t="n">
        <v>54.17</v>
      </c>
      <c r="AW17" s="246" t="n"/>
      <c r="AX17" s="246" t="n"/>
      <c r="AY17" s="246" t="n"/>
      <c r="AZ17" s="246" t="n"/>
      <c r="BA17" s="246" t="n"/>
      <c r="BB17" s="246" t="n"/>
      <c r="BC17" s="246" t="n"/>
      <c r="BD17" s="246" t="n"/>
      <c r="BE17" s="246" t="n"/>
      <c r="BF17" s="246" t="n"/>
      <c r="BG17" s="246" t="n"/>
      <c r="BH17" s="246" t="n"/>
      <c r="BI17" s="246" t="n"/>
      <c r="BJ17" s="246" t="n"/>
      <c r="BK17" s="246" t="n"/>
      <c r="BL17" s="246" t="n"/>
      <c r="BM17" s="246" t="n"/>
      <c r="BN17" s="246" t="n"/>
      <c r="BP17" s="179">
        <f>AVERAGE(AM17)</f>
        <v/>
      </c>
      <c r="BQ17" s="180">
        <f>AVERAGE(AR17:AS17,AE17,Z17)</f>
        <v/>
      </c>
      <c r="BR17" s="180">
        <f>AVERAGE(AT17,AO17,AG17)</f>
        <v/>
      </c>
      <c r="BS17" s="180">
        <f>AVERAGE(AN17,AB17)</f>
        <v/>
      </c>
      <c r="BT17" s="180">
        <f>AVERAGE(AF17,AA17)</f>
        <v/>
      </c>
      <c r="BU17" s="180" t="n"/>
      <c r="BV17" s="180" t="n"/>
      <c r="BW17" s="180" t="n"/>
      <c r="BX17" s="180" t="n"/>
      <c r="BY17" s="180">
        <f>AVERAGE(#REF!)</f>
        <v/>
      </c>
    </row>
    <row r="18" ht="18" customHeight="1" s="590">
      <c r="B18" s="12" t="n">
        <v>10</v>
      </c>
      <c r="C18" s="13" t="inlineStr">
        <is>
          <t>052-FA23-23031</t>
        </is>
      </c>
      <c r="D18" s="14" t="inlineStr">
        <is>
          <t>MERAJ TUFAIL NAWAZ</t>
        </is>
      </c>
      <c r="E18" s="114" t="n"/>
      <c r="F18" s="115" t="n"/>
      <c r="G18" s="510" t="n"/>
      <c r="H18" s="117" t="n"/>
      <c r="I18" s="114" t="n"/>
      <c r="J18" s="665" t="n"/>
      <c r="K18" s="117" t="n"/>
      <c r="L18" s="663" t="n"/>
      <c r="M18" s="561" t="n"/>
      <c r="N18" s="583" t="n"/>
      <c r="O18" s="546" t="n"/>
      <c r="P18" s="115" t="n"/>
      <c r="Q18" s="117" t="n"/>
      <c r="R18" s="701" t="n"/>
      <c r="S18" s="607" t="n"/>
      <c r="T18" s="614" t="n"/>
      <c r="U18" s="114" t="n"/>
      <c r="V18" s="115" t="n"/>
      <c r="W18" s="117" t="n"/>
      <c r="X18" s="117" t="n"/>
      <c r="Y18" s="117" t="n"/>
      <c r="Z18" s="246" t="n">
        <v>70</v>
      </c>
      <c r="AA18" s="246" t="n">
        <v>64</v>
      </c>
      <c r="AB18" s="246" t="n">
        <v>70</v>
      </c>
      <c r="AC18" s="246" t="n">
        <v>64.14</v>
      </c>
      <c r="AD18" s="246" t="n">
        <v>50.83</v>
      </c>
      <c r="AE18" s="246" t="n">
        <v>61.33</v>
      </c>
      <c r="AF18" s="246" t="n">
        <v>67.81</v>
      </c>
      <c r="AG18" s="246" t="n">
        <v>70</v>
      </c>
      <c r="AH18" s="246" t="n">
        <v>71.52</v>
      </c>
      <c r="AI18" s="246" t="n">
        <v>76.39</v>
      </c>
      <c r="AJ18" s="246" t="n">
        <v>75.62</v>
      </c>
      <c r="AK18" s="246" t="n">
        <v>74.83</v>
      </c>
      <c r="AL18" s="246" t="n">
        <v>78.33</v>
      </c>
      <c r="AM18" s="246" t="n">
        <v>60</v>
      </c>
      <c r="AN18" s="246" t="n">
        <v>41.67</v>
      </c>
      <c r="AO18" s="246" t="n">
        <v>47.5</v>
      </c>
      <c r="AP18" s="246" t="n">
        <v>60.61</v>
      </c>
      <c r="AQ18" s="246" t="n">
        <v>60.44</v>
      </c>
      <c r="AR18" s="246" t="n">
        <v>53.85</v>
      </c>
      <c r="AS18" s="246" t="n">
        <v>57.54</v>
      </c>
      <c r="AT18" s="246" t="n">
        <v>55</v>
      </c>
      <c r="AU18" s="246" t="n">
        <v>65.42</v>
      </c>
      <c r="AV18" s="246" t="n">
        <v>55</v>
      </c>
      <c r="AW18" s="246" t="n"/>
      <c r="AX18" s="246" t="n"/>
      <c r="AY18" s="246" t="n"/>
      <c r="AZ18" s="246" t="n"/>
      <c r="BA18" s="246" t="n"/>
      <c r="BB18" s="246" t="n"/>
      <c r="BC18" s="246" t="n"/>
      <c r="BD18" s="246" t="n"/>
      <c r="BE18" s="246" t="n"/>
      <c r="BF18" s="246" t="n"/>
      <c r="BG18" s="246" t="n"/>
      <c r="BH18" s="246" t="n"/>
      <c r="BI18" s="246" t="n"/>
      <c r="BJ18" s="246" t="n"/>
      <c r="BK18" s="246" t="n"/>
      <c r="BL18" s="246" t="n"/>
      <c r="BM18" s="246" t="n"/>
      <c r="BN18" s="246" t="n"/>
      <c r="BP18" s="179">
        <f>AVERAGE(AM18)</f>
        <v/>
      </c>
      <c r="BQ18" s="180">
        <f>AVERAGE(AR18:AS18,AE18,Z18)</f>
        <v/>
      </c>
      <c r="BR18" s="180">
        <f>AVERAGE(AT18,AO18,AG18)</f>
        <v/>
      </c>
      <c r="BS18" s="180">
        <f>AVERAGE(AN18,AB18)</f>
        <v/>
      </c>
      <c r="BT18" s="180">
        <f>AVERAGE(AF18,AA18)</f>
        <v/>
      </c>
      <c r="BU18" s="180" t="n"/>
      <c r="BV18" s="180" t="n"/>
      <c r="BW18" s="180" t="n"/>
      <c r="BX18" s="180" t="n"/>
      <c r="BY18" s="180">
        <f>AVERAGE(#REF!)</f>
        <v/>
      </c>
    </row>
    <row r="19" ht="18" customHeight="1" s="590">
      <c r="B19" s="12" t="n">
        <v>11</v>
      </c>
      <c r="C19" s="13" t="inlineStr">
        <is>
          <t>052-fa23-23546</t>
        </is>
      </c>
      <c r="D19" s="14" t="inlineStr">
        <is>
          <t xml:space="preserve">FEHMINA FAZAL </t>
        </is>
      </c>
      <c r="E19" s="114" t="n"/>
      <c r="F19" s="115" t="n"/>
      <c r="G19" s="510" t="n"/>
      <c r="H19" s="117" t="n"/>
      <c r="I19" s="114" t="n"/>
      <c r="J19" s="665" t="n"/>
      <c r="K19" s="117" t="n"/>
      <c r="L19" s="663" t="n"/>
      <c r="M19" s="561" t="n"/>
      <c r="N19" s="583" t="n"/>
      <c r="O19" s="546" t="n"/>
      <c r="P19" s="115" t="n"/>
      <c r="Q19" s="117" t="n"/>
      <c r="R19" s="701" t="n"/>
      <c r="S19" s="607" t="n"/>
      <c r="T19" s="614" t="n"/>
      <c r="U19" s="114" t="n"/>
      <c r="V19" s="115" t="n"/>
      <c r="W19" s="117" t="n"/>
      <c r="X19" s="117" t="n"/>
      <c r="Y19" s="117" t="n"/>
      <c r="Z19" s="246" t="n">
        <v>96</v>
      </c>
      <c r="AA19" s="246" t="n">
        <v>76</v>
      </c>
      <c r="AB19" s="246" t="n">
        <v>88</v>
      </c>
      <c r="AC19" s="246" t="n">
        <v>82.55</v>
      </c>
      <c r="AD19" s="246" t="n">
        <v>73.33</v>
      </c>
      <c r="AE19" s="246" t="n">
        <v>90.33</v>
      </c>
      <c r="AF19" s="246" t="n">
        <v>88.75</v>
      </c>
      <c r="AG19" s="246" t="n">
        <v>88.67</v>
      </c>
      <c r="AH19" s="246" t="n">
        <v>91.52</v>
      </c>
      <c r="AI19" s="246" t="n">
        <v>91.94</v>
      </c>
      <c r="AJ19" s="246" t="n">
        <v>84.95</v>
      </c>
      <c r="AK19" s="246" t="n">
        <v>85.67</v>
      </c>
      <c r="AL19" s="246" t="n">
        <v>90</v>
      </c>
      <c r="AM19" s="246" t="n">
        <v>82.5</v>
      </c>
      <c r="AN19" s="246" t="n">
        <v>82.67</v>
      </c>
      <c r="AO19" s="246" t="n">
        <v>80</v>
      </c>
      <c r="AP19" s="246" t="n">
        <v>79.09</v>
      </c>
      <c r="AQ19" s="246" t="n">
        <v>77.33</v>
      </c>
      <c r="AR19" s="246" t="n">
        <v>95.31</v>
      </c>
      <c r="AS19" s="246" t="n">
        <v>89.92</v>
      </c>
      <c r="AT19" s="246" t="n">
        <v>87.5</v>
      </c>
      <c r="AU19" s="246" t="n">
        <v>84.03</v>
      </c>
      <c r="AV19" s="246" t="n">
        <v>75</v>
      </c>
      <c r="AW19" s="246" t="n"/>
      <c r="AX19" s="246" t="n"/>
      <c r="AY19" s="246" t="n"/>
      <c r="AZ19" s="246" t="n"/>
      <c r="BA19" s="246" t="n"/>
      <c r="BB19" s="246" t="n"/>
      <c r="BC19" s="246" t="n"/>
      <c r="BD19" s="246" t="n"/>
      <c r="BE19" s="246" t="n"/>
      <c r="BF19" s="246" t="n"/>
      <c r="BG19" s="246" t="n"/>
      <c r="BH19" s="246" t="n"/>
      <c r="BI19" s="246" t="n"/>
      <c r="BJ19" s="246" t="n"/>
      <c r="BK19" s="246" t="n"/>
      <c r="BL19" s="246" t="n"/>
      <c r="BM19" s="246" t="n"/>
      <c r="BN19" s="246" t="n"/>
      <c r="BP19" s="179">
        <f>AVERAGE(AM19)</f>
        <v/>
      </c>
      <c r="BQ19" s="180">
        <f>AVERAGE(AR19:AS19,AE19,Z19)</f>
        <v/>
      </c>
      <c r="BR19" s="180">
        <f>AVERAGE(AT19,AO19,AG19)</f>
        <v/>
      </c>
      <c r="BS19" s="180">
        <f>AVERAGE(AN19,AB19)</f>
        <v/>
      </c>
      <c r="BT19" s="180">
        <f>AVERAGE(AF19,AA19)</f>
        <v/>
      </c>
      <c r="BU19" s="180" t="n"/>
      <c r="BV19" s="180" t="n"/>
      <c r="BW19" s="180" t="n"/>
      <c r="BX19" s="180" t="n"/>
      <c r="BY19" s="180">
        <f>AVERAGE(#REF!)</f>
        <v/>
      </c>
    </row>
    <row r="20" ht="18" customHeight="1" s="590">
      <c r="B20" s="12" t="n">
        <v>12</v>
      </c>
      <c r="C20" s="13" t="inlineStr">
        <is>
          <t xml:space="preserve">052-FA23-23245       </t>
        </is>
      </c>
      <c r="D20" s="14" t="inlineStr">
        <is>
          <t xml:space="preserve">Laiba Fardous </t>
        </is>
      </c>
      <c r="E20" s="114" t="n"/>
      <c r="F20" s="115" t="n"/>
      <c r="G20" s="510" t="n"/>
      <c r="H20" s="117" t="n"/>
      <c r="I20" s="114" t="n"/>
      <c r="J20" s="665" t="n"/>
      <c r="K20" s="117" t="n"/>
      <c r="L20" s="663" t="n"/>
      <c r="M20" s="561" t="n"/>
      <c r="N20" s="583" t="n"/>
      <c r="O20" s="546" t="n"/>
      <c r="P20" s="115" t="n"/>
      <c r="Q20" s="117" t="n"/>
      <c r="R20" s="701" t="n"/>
      <c r="S20" s="607" t="n"/>
      <c r="T20" s="614" t="n"/>
      <c r="U20" s="114" t="n"/>
      <c r="V20" s="115" t="n"/>
      <c r="W20" s="117" t="n"/>
      <c r="X20" s="117" t="n"/>
      <c r="Y20" s="117" t="n"/>
      <c r="Z20" s="246" t="n">
        <v>56</v>
      </c>
      <c r="AA20" s="246" t="n">
        <v>64</v>
      </c>
      <c r="AB20" s="246" t="n">
        <v>40</v>
      </c>
      <c r="AC20" s="246" t="n">
        <v>63.11</v>
      </c>
      <c r="AD20" s="246" t="n">
        <v>60.83</v>
      </c>
      <c r="AE20" s="246" t="n">
        <v>76.67</v>
      </c>
      <c r="AF20" s="246" t="n">
        <v>70</v>
      </c>
      <c r="AG20" s="246" t="n">
        <v>81</v>
      </c>
      <c r="AH20" s="246" t="n">
        <v>77.58</v>
      </c>
      <c r="AI20" s="246" t="n">
        <v>78.61</v>
      </c>
      <c r="AJ20" s="246" t="n">
        <v>77.43000000000001</v>
      </c>
      <c r="AK20" s="246" t="n">
        <v>81.17</v>
      </c>
      <c r="AL20" s="246" t="n">
        <v>80.83</v>
      </c>
      <c r="AM20" s="246" t="n">
        <v>72.5</v>
      </c>
      <c r="AN20" s="246" t="n">
        <v>65.67</v>
      </c>
      <c r="AO20" s="246" t="n">
        <v>70</v>
      </c>
      <c r="AP20" s="246" t="n">
        <v>75.76000000000001</v>
      </c>
      <c r="AQ20" s="246" t="n">
        <v>75.39</v>
      </c>
      <c r="AR20" s="246" t="n">
        <v>72.36</v>
      </c>
      <c r="AS20" s="246" t="n">
        <v>72.54000000000001</v>
      </c>
      <c r="AT20" s="246" t="n">
        <v>75</v>
      </c>
      <c r="AU20" s="246" t="n">
        <v>63.47</v>
      </c>
      <c r="AV20" s="246" t="n">
        <v>50</v>
      </c>
      <c r="AW20" s="246" t="n"/>
      <c r="AX20" s="246" t="n"/>
      <c r="AY20" s="246" t="n"/>
      <c r="AZ20" s="246" t="n"/>
      <c r="BA20" s="246" t="n"/>
      <c r="BB20" s="246" t="n"/>
      <c r="BC20" s="246" t="n"/>
      <c r="BD20" s="246" t="n"/>
      <c r="BE20" s="246" t="n"/>
      <c r="BF20" s="246" t="n"/>
      <c r="BG20" s="246" t="n"/>
      <c r="BH20" s="246" t="n"/>
      <c r="BI20" s="246" t="n"/>
      <c r="BJ20" s="246" t="n"/>
      <c r="BK20" s="246" t="n"/>
      <c r="BL20" s="246" t="n"/>
      <c r="BM20" s="246" t="n"/>
      <c r="BN20" s="246" t="n"/>
      <c r="BP20" s="179">
        <f>AVERAGE(AM20)</f>
        <v/>
      </c>
      <c r="BQ20" s="180">
        <f>AVERAGE(AR20:AS20,AE20,Z20)</f>
        <v/>
      </c>
      <c r="BR20" s="180">
        <f>AVERAGE(AT20,AO20,AG20)</f>
        <v/>
      </c>
      <c r="BS20" s="180">
        <f>AVERAGE(AN20,AB20)</f>
        <v/>
      </c>
      <c r="BT20" s="180">
        <f>AVERAGE(AF20,AA20)</f>
        <v/>
      </c>
      <c r="BU20" s="180" t="n"/>
      <c r="BV20" s="180" t="n"/>
      <c r="BW20" s="180" t="n"/>
      <c r="BX20" s="180" t="n"/>
      <c r="BY20" s="180">
        <f>AVERAGE(#REF!)</f>
        <v/>
      </c>
    </row>
    <row r="21" ht="18" customHeight="1" s="590">
      <c r="B21" s="12" t="n">
        <v>13</v>
      </c>
      <c r="C21" s="13" t="inlineStr">
        <is>
          <t>052-fa23-23620</t>
        </is>
      </c>
      <c r="D21" s="14" t="inlineStr">
        <is>
          <t xml:space="preserve">Aleeza Bibi </t>
        </is>
      </c>
      <c r="E21" s="114" t="n"/>
      <c r="F21" s="115" t="n"/>
      <c r="G21" s="510" t="n"/>
      <c r="H21" s="117" t="n"/>
      <c r="I21" s="114" t="n"/>
      <c r="J21" s="665" t="n"/>
      <c r="K21" s="117" t="n"/>
      <c r="L21" s="663" t="n"/>
      <c r="M21" s="561" t="n"/>
      <c r="N21" s="583" t="n"/>
      <c r="O21" s="546" t="n"/>
      <c r="P21" s="115" t="n"/>
      <c r="Q21" s="117" t="n"/>
      <c r="R21" s="701" t="n"/>
      <c r="S21" s="607" t="n"/>
      <c r="T21" s="614" t="n"/>
      <c r="U21" s="114" t="n"/>
      <c r="V21" s="115" t="n"/>
      <c r="W21" s="117" t="n"/>
      <c r="X21" s="117" t="n"/>
      <c r="Y21" s="117" t="n"/>
      <c r="Z21" s="246" t="n">
        <v>72</v>
      </c>
      <c r="AA21" s="246" t="n">
        <v>70</v>
      </c>
      <c r="AB21" s="246" t="n">
        <v>72</v>
      </c>
      <c r="AC21" s="246" t="n">
        <v>76.39</v>
      </c>
      <c r="AD21" s="246" t="n">
        <v>68.33</v>
      </c>
      <c r="AE21" s="246" t="n">
        <v>75.33</v>
      </c>
      <c r="AF21" s="246" t="n">
        <v>73.13</v>
      </c>
      <c r="AG21" s="246" t="n">
        <v>76.67</v>
      </c>
      <c r="AH21" s="246" t="n">
        <v>79.09</v>
      </c>
      <c r="AI21" s="246" t="n">
        <v>80.83</v>
      </c>
      <c r="AJ21" s="246" t="n">
        <v>81.62</v>
      </c>
      <c r="AK21" s="246" t="n">
        <v>85</v>
      </c>
      <c r="AL21" s="246" t="n">
        <v>85.83</v>
      </c>
      <c r="AM21" s="246" t="n">
        <v>82.5</v>
      </c>
      <c r="AN21" s="246" t="n">
        <v>77.67</v>
      </c>
      <c r="AO21" s="246" t="n">
        <v>85</v>
      </c>
      <c r="AP21" s="246" t="n">
        <v>78.79000000000001</v>
      </c>
      <c r="AQ21" s="246" t="n">
        <v>75.39</v>
      </c>
      <c r="AR21" s="246" t="n">
        <v>81.91</v>
      </c>
      <c r="AS21" s="246" t="n">
        <v>85.56</v>
      </c>
      <c r="AT21" s="246" t="n">
        <v>87.5</v>
      </c>
      <c r="AU21" s="246" t="n">
        <v>73.89</v>
      </c>
      <c r="AV21" s="246" t="n">
        <v>67.5</v>
      </c>
      <c r="AW21" s="246" t="n"/>
      <c r="AX21" s="246" t="n"/>
      <c r="AY21" s="246" t="n"/>
      <c r="AZ21" s="246" t="n"/>
      <c r="BA21" s="246" t="n"/>
      <c r="BB21" s="246" t="n"/>
      <c r="BC21" s="246" t="n"/>
      <c r="BD21" s="246" t="n"/>
      <c r="BE21" s="246" t="n"/>
      <c r="BF21" s="246" t="n"/>
      <c r="BG21" s="246" t="n"/>
      <c r="BH21" s="246" t="n"/>
      <c r="BI21" s="246" t="n"/>
      <c r="BJ21" s="246" t="n"/>
      <c r="BK21" s="246" t="n"/>
      <c r="BL21" s="246" t="n"/>
      <c r="BM21" s="246" t="n"/>
      <c r="BN21" s="246" t="n"/>
      <c r="BP21" s="179">
        <f>AVERAGE(AM21)</f>
        <v/>
      </c>
      <c r="BQ21" s="180">
        <f>AVERAGE(AR21:AS21,AE21,Z21)</f>
        <v/>
      </c>
      <c r="BR21" s="180">
        <f>AVERAGE(AT21,AO21,AG21)</f>
        <v/>
      </c>
      <c r="BS21" s="180">
        <f>AVERAGE(AN21,AB21)</f>
        <v/>
      </c>
      <c r="BT21" s="180">
        <f>AVERAGE(AF21,AA21)</f>
        <v/>
      </c>
      <c r="BU21" s="180" t="n"/>
      <c r="BV21" s="180" t="n"/>
      <c r="BW21" s="180" t="n"/>
      <c r="BX21" s="180" t="n"/>
      <c r="BY21" s="180">
        <f>AVERAGE(#REF!)</f>
        <v/>
      </c>
    </row>
    <row r="22" ht="18" customHeight="1" s="590">
      <c r="B22" s="12" t="n">
        <v>14</v>
      </c>
      <c r="C22" s="13" t="inlineStr">
        <is>
          <t>052-FA23-23121</t>
        </is>
      </c>
      <c r="D22" s="14" t="inlineStr">
        <is>
          <t>Muhammad Alyan Farooq</t>
        </is>
      </c>
      <c r="E22" s="114" t="n"/>
      <c r="F22" s="115" t="n"/>
      <c r="G22" s="510" t="n"/>
      <c r="H22" s="117" t="n"/>
      <c r="I22" s="114" t="n"/>
      <c r="J22" s="665" t="n"/>
      <c r="K22" s="117" t="n"/>
      <c r="L22" s="663" t="n"/>
      <c r="M22" s="561" t="n"/>
      <c r="N22" s="583" t="n"/>
      <c r="O22" s="546" t="n"/>
      <c r="P22" s="115" t="n"/>
      <c r="Q22" s="117" t="n"/>
      <c r="R22" s="701" t="n"/>
      <c r="S22" s="607" t="n"/>
      <c r="T22" s="614" t="n"/>
      <c r="U22" s="114" t="n"/>
      <c r="V22" s="115" t="n"/>
      <c r="W22" s="117" t="n"/>
      <c r="X22" s="117" t="n"/>
      <c r="Y22" s="117" t="n"/>
      <c r="Z22" s="246" t="n">
        <v>90</v>
      </c>
      <c r="AA22" s="246" t="n">
        <v>78</v>
      </c>
      <c r="AB22" s="246" t="n">
        <v>76</v>
      </c>
      <c r="AC22" s="246" t="n">
        <v>75.38</v>
      </c>
      <c r="AD22" s="246" t="n">
        <v>66.67</v>
      </c>
      <c r="AE22" s="246" t="n">
        <v>81</v>
      </c>
      <c r="AF22" s="246" t="n">
        <v>83.13</v>
      </c>
      <c r="AG22" s="246" t="n">
        <v>87</v>
      </c>
      <c r="AH22" s="246" t="n">
        <v>82.73</v>
      </c>
      <c r="AI22" s="246" t="n">
        <v>82.5</v>
      </c>
      <c r="AJ22" s="246" t="n">
        <v>85.43000000000001</v>
      </c>
      <c r="AK22" s="246" t="n">
        <v>84.5</v>
      </c>
      <c r="AL22" s="246" t="n">
        <v>87.5</v>
      </c>
      <c r="AM22" s="246" t="n">
        <v>77.5</v>
      </c>
      <c r="AN22" s="246" t="n">
        <v>81</v>
      </c>
      <c r="AO22" s="246" t="n">
        <v>85</v>
      </c>
      <c r="AP22" s="246" t="n">
        <v>94.23999999999999</v>
      </c>
      <c r="AQ22" s="246" t="n">
        <v>89.22</v>
      </c>
      <c r="AR22" s="246" t="n">
        <v>91.25</v>
      </c>
      <c r="AS22" s="246" t="n">
        <v>82.45999999999999</v>
      </c>
      <c r="AT22" s="246" t="n">
        <v>100</v>
      </c>
      <c r="AU22" s="246" t="n">
        <v>73.33</v>
      </c>
      <c r="AV22" s="246" t="n">
        <v>65</v>
      </c>
      <c r="AW22" s="246" t="n"/>
      <c r="AX22" s="246" t="n"/>
      <c r="AY22" s="246" t="n"/>
      <c r="AZ22" s="246" t="n"/>
      <c r="BA22" s="246" t="n"/>
      <c r="BB22" s="246" t="n"/>
      <c r="BC22" s="246" t="n"/>
      <c r="BD22" s="246" t="n"/>
      <c r="BE22" s="246" t="n"/>
      <c r="BF22" s="246" t="n"/>
      <c r="BG22" s="246" t="n"/>
      <c r="BH22" s="246" t="n"/>
      <c r="BI22" s="246" t="n"/>
      <c r="BJ22" s="246" t="n"/>
      <c r="BK22" s="246" t="n"/>
      <c r="BL22" s="246" t="n"/>
      <c r="BM22" s="246" t="n"/>
      <c r="BN22" s="246" t="n"/>
      <c r="BP22" s="179">
        <f>AVERAGE(AM22)</f>
        <v/>
      </c>
      <c r="BQ22" s="180">
        <f>AVERAGE(AR22:AS22,AE22,Z22)</f>
        <v/>
      </c>
      <c r="BR22" s="180">
        <f>AVERAGE(AT22,AO22,AG22)</f>
        <v/>
      </c>
      <c r="BS22" s="180">
        <f>AVERAGE(AN22,AB22)</f>
        <v/>
      </c>
      <c r="BT22" s="180">
        <f>AVERAGE(AF22,AA22)</f>
        <v/>
      </c>
      <c r="BU22" s="180" t="n"/>
      <c r="BV22" s="180" t="n"/>
      <c r="BW22" s="180" t="n"/>
      <c r="BX22" s="180" t="n"/>
      <c r="BY22" s="180">
        <f>AVERAGE(#REF!)</f>
        <v/>
      </c>
    </row>
    <row r="23" ht="18" customHeight="1" s="590">
      <c r="B23" s="12" t="n">
        <v>15</v>
      </c>
      <c r="C23" s="13" t="inlineStr">
        <is>
          <t>052-fa23-23590</t>
        </is>
      </c>
      <c r="D23" s="14" t="inlineStr">
        <is>
          <t xml:space="preserve">Hina fatima azeem </t>
        </is>
      </c>
      <c r="E23" s="114" t="n"/>
      <c r="F23" s="115" t="n"/>
      <c r="G23" s="510" t="n"/>
      <c r="H23" s="117" t="n"/>
      <c r="I23" s="114" t="n"/>
      <c r="J23" s="665" t="n"/>
      <c r="K23" s="117" t="n"/>
      <c r="L23" s="663" t="n"/>
      <c r="M23" s="561" t="n"/>
      <c r="N23" s="583" t="n"/>
      <c r="O23" s="546" t="n"/>
      <c r="P23" s="115" t="n"/>
      <c r="Q23" s="117" t="n"/>
      <c r="R23" s="701" t="n"/>
      <c r="S23" s="607" t="n"/>
      <c r="T23" s="614" t="n"/>
      <c r="U23" s="114" t="n"/>
      <c r="V23" s="115" t="n"/>
      <c r="W23" s="117" t="n"/>
      <c r="X23" s="117" t="n"/>
      <c r="Y23" s="117" t="n"/>
      <c r="Z23" s="246" t="n">
        <v>54</v>
      </c>
      <c r="AA23" s="246" t="n">
        <v>60</v>
      </c>
      <c r="AB23" s="246" t="n">
        <v>46</v>
      </c>
      <c r="AC23" s="246" t="n">
        <v>72.79000000000001</v>
      </c>
      <c r="AD23" s="246" t="n">
        <v>67.5</v>
      </c>
      <c r="AE23" s="246" t="n">
        <v>72.33</v>
      </c>
      <c r="AF23" s="246" t="n">
        <v>68.13</v>
      </c>
      <c r="AG23" s="246" t="n">
        <v>86.67</v>
      </c>
      <c r="AH23" s="246" t="n">
        <v>78.18000000000001</v>
      </c>
      <c r="AI23" s="246" t="n">
        <v>78.06</v>
      </c>
      <c r="AJ23" s="246" t="n">
        <v>82.29000000000001</v>
      </c>
      <c r="AK23" s="246" t="n">
        <v>82.5</v>
      </c>
      <c r="AL23" s="246" t="n">
        <v>83.33</v>
      </c>
      <c r="AM23" s="246" t="n">
        <v>75</v>
      </c>
      <c r="AN23" s="246" t="n">
        <v>62.67</v>
      </c>
      <c r="AO23" s="246" t="n">
        <v>67.5</v>
      </c>
      <c r="AP23" s="246" t="n">
        <v>76.36</v>
      </c>
      <c r="AQ23" s="246" t="n">
        <v>74.56</v>
      </c>
      <c r="AR23" s="246" t="n">
        <v>83.84999999999999</v>
      </c>
      <c r="AS23" s="246" t="n">
        <v>80.87</v>
      </c>
      <c r="AT23" s="246" t="n">
        <v>72.5</v>
      </c>
      <c r="AU23" s="246" t="n">
        <v>81.11</v>
      </c>
      <c r="AV23" s="246" t="n">
        <v>72.5</v>
      </c>
      <c r="AW23" s="246" t="n"/>
      <c r="AX23" s="246" t="n"/>
      <c r="AY23" s="246" t="n"/>
      <c r="AZ23" s="246" t="n"/>
      <c r="BA23" s="246" t="n"/>
      <c r="BB23" s="246" t="n"/>
      <c r="BC23" s="246" t="n"/>
      <c r="BD23" s="246" t="n"/>
      <c r="BE23" s="246" t="n"/>
      <c r="BF23" s="246" t="n"/>
      <c r="BG23" s="246" t="n"/>
      <c r="BH23" s="246" t="n"/>
      <c r="BI23" s="246" t="n"/>
      <c r="BJ23" s="246" t="n"/>
      <c r="BK23" s="246" t="n"/>
      <c r="BL23" s="246" t="n"/>
      <c r="BM23" s="246" t="n"/>
      <c r="BN23" s="246" t="n"/>
      <c r="BP23" s="179">
        <f>AVERAGE(AM23)</f>
        <v/>
      </c>
      <c r="BQ23" s="180">
        <f>AVERAGE(AR23:AS23,AE23,Z23)</f>
        <v/>
      </c>
      <c r="BR23" s="180">
        <f>AVERAGE(AT23,AO23,AG23)</f>
        <v/>
      </c>
      <c r="BS23" s="180">
        <f>AVERAGE(AN23,AB23)</f>
        <v/>
      </c>
      <c r="BT23" s="180">
        <f>AVERAGE(AF23,AA23)</f>
        <v/>
      </c>
      <c r="BU23" s="180" t="n"/>
      <c r="BV23" s="180" t="n"/>
      <c r="BW23" s="180" t="n"/>
      <c r="BX23" s="180" t="n"/>
      <c r="BY23" s="180">
        <f>AVERAGE(#REF!)</f>
        <v/>
      </c>
    </row>
    <row r="24" ht="18" customHeight="1" s="590">
      <c r="B24" s="12" t="n">
        <v>16</v>
      </c>
      <c r="C24" s="13" t="inlineStr">
        <is>
          <t>053-fa23-23089</t>
        </is>
      </c>
      <c r="D24" s="14" t="inlineStr">
        <is>
          <t>Myra Sajid</t>
        </is>
      </c>
      <c r="E24" s="114" t="n"/>
      <c r="F24" s="115" t="n"/>
      <c r="G24" s="510" t="n"/>
      <c r="H24" s="117" t="n"/>
      <c r="I24" s="114" t="n"/>
      <c r="J24" s="665" t="n"/>
      <c r="K24" s="117" t="n"/>
      <c r="L24" s="663" t="n"/>
      <c r="M24" s="561" t="n"/>
      <c r="N24" s="583" t="n"/>
      <c r="O24" s="546" t="n"/>
      <c r="P24" s="115" t="n"/>
      <c r="Q24" s="117" t="n"/>
      <c r="R24" s="701" t="n"/>
      <c r="S24" s="607" t="n"/>
      <c r="T24" s="614" t="n"/>
      <c r="U24" s="114" t="n"/>
      <c r="V24" s="115" t="n"/>
      <c r="W24" s="117" t="n"/>
      <c r="X24" s="117" t="n"/>
      <c r="Y24" s="117" t="n"/>
      <c r="Z24" s="246" t="n">
        <v>78</v>
      </c>
      <c r="AA24" s="246" t="n">
        <v>72</v>
      </c>
      <c r="AB24" s="246" t="n">
        <v>76</v>
      </c>
      <c r="AC24" s="246" t="n">
        <v>71.70999999999999</v>
      </c>
      <c r="AD24" s="246" t="n">
        <v>61.67</v>
      </c>
      <c r="AE24" s="246" t="n">
        <v>79.33</v>
      </c>
      <c r="AF24" s="246" t="n">
        <v>82.19</v>
      </c>
      <c r="AG24" s="246" t="n">
        <v>80.67</v>
      </c>
      <c r="AH24" s="246" t="n">
        <v>77.88</v>
      </c>
      <c r="AI24" s="246" t="n">
        <v>81.94</v>
      </c>
      <c r="AJ24" s="246" t="n">
        <v>86.29000000000001</v>
      </c>
      <c r="AK24" s="246" t="n">
        <v>86.5</v>
      </c>
      <c r="AL24" s="246" t="n">
        <v>67.5</v>
      </c>
      <c r="AM24" s="246" t="n">
        <v>80</v>
      </c>
      <c r="AN24" s="246" t="n">
        <v>64.33</v>
      </c>
      <c r="AO24" s="246" t="n">
        <v>70</v>
      </c>
      <c r="AP24" s="246" t="n">
        <v>66.97</v>
      </c>
      <c r="AQ24" s="246" t="n">
        <v>67.78</v>
      </c>
      <c r="AR24" s="246" t="n">
        <v>70.28</v>
      </c>
      <c r="AS24" s="246" t="n">
        <v>77.81999999999999</v>
      </c>
      <c r="AT24" s="246" t="n">
        <v>77.5</v>
      </c>
      <c r="AU24" s="246" t="n">
        <v>75.69</v>
      </c>
      <c r="AV24" s="246" t="n">
        <v>65.83</v>
      </c>
      <c r="AW24" s="246" t="n"/>
      <c r="AX24" s="246" t="n"/>
      <c r="AY24" s="246" t="n"/>
      <c r="AZ24" s="246" t="n"/>
      <c r="BA24" s="246" t="n"/>
      <c r="BB24" s="246" t="n"/>
      <c r="BC24" s="246" t="n"/>
      <c r="BD24" s="246" t="n"/>
      <c r="BE24" s="246" t="n"/>
      <c r="BF24" s="246" t="n"/>
      <c r="BG24" s="246" t="n"/>
      <c r="BH24" s="246" t="n"/>
      <c r="BI24" s="246" t="n"/>
      <c r="BJ24" s="246" t="n"/>
      <c r="BK24" s="246" t="n"/>
      <c r="BL24" s="246" t="n"/>
      <c r="BM24" s="246" t="n"/>
      <c r="BN24" s="246" t="n"/>
      <c r="BP24" s="179">
        <f>AVERAGE(AM24)</f>
        <v/>
      </c>
      <c r="BQ24" s="180">
        <f>AVERAGE(AR24:AS24,AE24,Z24)</f>
        <v/>
      </c>
      <c r="BR24" s="180">
        <f>AVERAGE(AT24,AO24,AG24)</f>
        <v/>
      </c>
      <c r="BS24" s="180">
        <f>AVERAGE(AN24,AB24)</f>
        <v/>
      </c>
      <c r="BT24" s="180">
        <f>AVERAGE(AF24,AA24)</f>
        <v/>
      </c>
      <c r="BU24" s="180" t="n"/>
      <c r="BV24" s="180" t="n"/>
      <c r="BW24" s="180" t="n"/>
      <c r="BX24" s="180" t="n"/>
      <c r="BY24" s="180">
        <f>AVERAGE(#REF!)</f>
        <v/>
      </c>
    </row>
    <row r="25" ht="18" customHeight="1" s="590">
      <c r="B25" s="12" t="n">
        <v>17</v>
      </c>
      <c r="C25" s="13" t="inlineStr">
        <is>
          <t>052-FA23-23476</t>
        </is>
      </c>
      <c r="D25" s="14" t="inlineStr">
        <is>
          <t xml:space="preserve">Ihtisham Mujahid </t>
        </is>
      </c>
      <c r="E25" s="114" t="n"/>
      <c r="F25" s="115" t="n"/>
      <c r="G25" s="510" t="n"/>
      <c r="H25" s="117" t="n"/>
      <c r="I25" s="114" t="n"/>
      <c r="J25" s="665" t="n"/>
      <c r="K25" s="117" t="n"/>
      <c r="L25" s="663" t="n"/>
      <c r="M25" s="561" t="n"/>
      <c r="N25" s="583" t="n"/>
      <c r="O25" s="546" t="n"/>
      <c r="P25" s="115" t="n"/>
      <c r="Q25" s="117" t="n"/>
      <c r="R25" s="701" t="n"/>
      <c r="S25" s="607" t="n"/>
      <c r="T25" s="614" t="n"/>
      <c r="U25" s="114" t="n"/>
      <c r="V25" s="115" t="n"/>
      <c r="W25" s="117" t="n"/>
      <c r="X25" s="117" t="n"/>
      <c r="Y25" s="117" t="n"/>
      <c r="Z25" s="246" t="n">
        <v>86</v>
      </c>
      <c r="AA25" s="246" t="n">
        <v>70</v>
      </c>
      <c r="AB25" s="246" t="n">
        <v>74</v>
      </c>
      <c r="AC25" s="246" t="n">
        <v>59.19</v>
      </c>
      <c r="AD25" s="246" t="n">
        <v>59.17</v>
      </c>
      <c r="AE25" s="246" t="n">
        <v>74</v>
      </c>
      <c r="AF25" s="246" t="n">
        <v>70.63</v>
      </c>
      <c r="AG25" s="246" t="n">
        <v>78.67</v>
      </c>
      <c r="AH25" s="246" t="n">
        <v>0</v>
      </c>
      <c r="AI25" s="246" t="n">
        <v>0</v>
      </c>
      <c r="AJ25" s="246" t="n">
        <v>66.09999999999999</v>
      </c>
      <c r="AK25" s="246" t="n">
        <v>79.83</v>
      </c>
      <c r="AL25" s="246" t="n">
        <v>83.33</v>
      </c>
      <c r="AM25" s="246" t="n">
        <v>67.5</v>
      </c>
      <c r="AN25" s="246" t="n">
        <v>57.33</v>
      </c>
      <c r="AO25" s="246" t="n">
        <v>52.5</v>
      </c>
      <c r="AP25" s="246" t="n">
        <v>58.48</v>
      </c>
      <c r="AQ25" s="246" t="n">
        <v>60.44</v>
      </c>
      <c r="AR25" s="246" t="n">
        <v>68.44</v>
      </c>
      <c r="AS25" s="246" t="n">
        <v>57.78</v>
      </c>
      <c r="AT25" s="246" t="n">
        <v>82.5</v>
      </c>
      <c r="AU25" s="246" t="n">
        <v>59</v>
      </c>
      <c r="AV25" s="246" t="n">
        <v>58.33</v>
      </c>
      <c r="AW25" s="246" t="n"/>
      <c r="AX25" s="246" t="n"/>
      <c r="AY25" s="246" t="n"/>
      <c r="AZ25" s="246" t="n"/>
      <c r="BA25" s="246" t="n"/>
      <c r="BB25" s="246" t="n"/>
      <c r="BC25" s="246" t="n"/>
      <c r="BD25" s="246" t="n"/>
      <c r="BE25" s="246" t="n"/>
      <c r="BF25" s="246" t="n"/>
      <c r="BG25" s="246" t="n"/>
      <c r="BH25" s="246" t="n"/>
      <c r="BI25" s="246" t="n"/>
      <c r="BJ25" s="246" t="n"/>
      <c r="BK25" s="246" t="n"/>
      <c r="BL25" s="246" t="n"/>
      <c r="BM25" s="246" t="n"/>
      <c r="BN25" s="246" t="n"/>
      <c r="BP25" s="179">
        <f>AVERAGE(AM25)</f>
        <v/>
      </c>
      <c r="BQ25" s="180">
        <f>AVERAGE(AR25:AS25,AE25,Z25)</f>
        <v/>
      </c>
      <c r="BR25" s="180">
        <f>AVERAGE(AT25,AO25,AG25)</f>
        <v/>
      </c>
      <c r="BS25" s="180">
        <f>AVERAGE(AN25,AB25)</f>
        <v/>
      </c>
      <c r="BT25" s="180">
        <f>AVERAGE(AF25,AA25)</f>
        <v/>
      </c>
      <c r="BU25" s="180" t="n"/>
      <c r="BV25" s="180" t="n"/>
      <c r="BW25" s="180" t="n"/>
      <c r="BX25" s="180" t="n"/>
      <c r="BY25" s="180">
        <f>AVERAGE(#REF!)</f>
        <v/>
      </c>
    </row>
    <row r="26" ht="18" customHeight="1" s="590">
      <c r="B26" s="12" t="n">
        <v>18</v>
      </c>
      <c r="C26" s="13" t="inlineStr">
        <is>
          <t>052-FA23-23350</t>
        </is>
      </c>
      <c r="D26" s="14" t="inlineStr">
        <is>
          <t xml:space="preserve">Roshaan Parvaiz </t>
        </is>
      </c>
      <c r="E26" s="114" t="n"/>
      <c r="F26" s="115" t="n"/>
      <c r="G26" s="510" t="n"/>
      <c r="H26" s="117" t="n"/>
      <c r="I26" s="114" t="n"/>
      <c r="J26" s="665" t="n"/>
      <c r="K26" s="117" t="n"/>
      <c r="L26" s="663" t="n"/>
      <c r="M26" s="561" t="n"/>
      <c r="N26" s="583" t="n"/>
      <c r="O26" s="546" t="n"/>
      <c r="P26" s="115" t="n"/>
      <c r="Q26" s="117" t="n"/>
      <c r="R26" s="701" t="n"/>
      <c r="S26" s="607" t="n"/>
      <c r="T26" s="614" t="n"/>
      <c r="U26" s="114" t="n"/>
      <c r="V26" s="115" t="n"/>
      <c r="W26" s="117" t="n"/>
      <c r="X26" s="117" t="n"/>
      <c r="Y26" s="117" t="n"/>
      <c r="Z26" s="246" t="n"/>
      <c r="AA26" s="246" t="n"/>
      <c r="AB26" s="246" t="n"/>
      <c r="AC26" s="246" t="n"/>
      <c r="AD26" s="246" t="n"/>
      <c r="AE26" s="246" t="n"/>
      <c r="AF26" s="246" t="n"/>
      <c r="AG26" s="246" t="n"/>
      <c r="AH26" s="246" t="n">
        <v>0</v>
      </c>
      <c r="AI26" s="246" t="n">
        <v>0</v>
      </c>
      <c r="AJ26" s="246" t="n"/>
      <c r="AK26" s="246" t="n"/>
      <c r="AL26" s="246" t="n"/>
      <c r="AM26" s="246" t="n"/>
      <c r="AN26" s="246" t="n"/>
      <c r="AO26" s="246" t="n"/>
      <c r="AP26" s="246" t="n"/>
      <c r="AQ26" s="246" t="n"/>
      <c r="AR26" s="246" t="n"/>
      <c r="AS26" s="246" t="n"/>
      <c r="AT26" s="246" t="n"/>
      <c r="AU26" s="246" t="n">
        <v>0</v>
      </c>
      <c r="AV26" s="246" t="n">
        <v>0</v>
      </c>
      <c r="AW26" s="246" t="n"/>
      <c r="AX26" s="246" t="n"/>
      <c r="AY26" s="246" t="n"/>
      <c r="AZ26" s="246" t="n"/>
      <c r="BA26" s="246" t="n"/>
      <c r="BB26" s="246" t="n"/>
      <c r="BC26" s="246" t="n"/>
      <c r="BD26" s="246" t="n"/>
      <c r="BE26" s="246" t="n"/>
      <c r="BF26" s="246" t="n"/>
      <c r="BG26" s="246" t="n"/>
      <c r="BH26" s="246" t="n"/>
      <c r="BI26" s="246" t="n"/>
      <c r="BJ26" s="246" t="n"/>
      <c r="BK26" s="246" t="n"/>
      <c r="BL26" s="246" t="n"/>
      <c r="BM26" s="246" t="n"/>
      <c r="BN26" s="246" t="n"/>
      <c r="BP26" s="179" t="n">
        <v>0</v>
      </c>
      <c r="BQ26" s="180" t="n"/>
      <c r="BR26" s="180" t="n"/>
      <c r="BS26" s="180" t="n"/>
      <c r="BT26" s="180" t="n"/>
      <c r="BU26" s="180" t="n"/>
      <c r="BV26" s="180" t="n"/>
      <c r="BW26" s="180" t="n"/>
      <c r="BX26" s="180" t="n"/>
      <c r="BY26" s="180">
        <f>AVERAGE(#REF!)</f>
        <v/>
      </c>
    </row>
    <row r="27" ht="18" customHeight="1" s="590">
      <c r="B27" s="12" t="n">
        <v>19</v>
      </c>
      <c r="C27" s="13" t="inlineStr">
        <is>
          <t>052-FA23-23345</t>
        </is>
      </c>
      <c r="D27" s="14" t="inlineStr">
        <is>
          <t xml:space="preserve">Rakhiyal Shah </t>
        </is>
      </c>
      <c r="E27" s="114" t="n"/>
      <c r="F27" s="115" t="n"/>
      <c r="G27" s="510" t="n"/>
      <c r="H27" s="117" t="n"/>
      <c r="I27" s="114" t="n"/>
      <c r="J27" s="665" t="n"/>
      <c r="K27" s="117" t="n"/>
      <c r="L27" s="663" t="n"/>
      <c r="M27" s="561" t="n"/>
      <c r="N27" s="583" t="n"/>
      <c r="O27" s="546" t="n"/>
      <c r="P27" s="115" t="n"/>
      <c r="Q27" s="117" t="n"/>
      <c r="R27" s="701" t="n"/>
      <c r="S27" s="607" t="n"/>
      <c r="T27" s="614" t="n"/>
      <c r="U27" s="114" t="n"/>
      <c r="V27" s="115" t="n"/>
      <c r="W27" s="117" t="n"/>
      <c r="X27" s="117" t="n"/>
      <c r="Y27" s="117" t="n"/>
      <c r="Z27" s="246" t="n">
        <v>42</v>
      </c>
      <c r="AA27" s="246" t="n">
        <v>54</v>
      </c>
      <c r="AB27" s="246" t="n">
        <v>50</v>
      </c>
      <c r="AC27" s="246" t="n">
        <v>43.64</v>
      </c>
      <c r="AD27" s="246" t="n">
        <v>24.17</v>
      </c>
      <c r="AE27" s="246" t="n">
        <v>58</v>
      </c>
      <c r="AF27" s="246" t="n">
        <v>65</v>
      </c>
      <c r="AG27" s="246" t="n">
        <v>68</v>
      </c>
      <c r="AH27" s="246" t="n">
        <v>75.45</v>
      </c>
      <c r="AI27" s="246" t="n">
        <v>78.33</v>
      </c>
      <c r="AJ27" s="246" t="n">
        <v>72.76000000000001</v>
      </c>
      <c r="AK27" s="246" t="n">
        <v>77.33</v>
      </c>
      <c r="AL27" s="246" t="n">
        <v>78.33</v>
      </c>
      <c r="AM27" s="246" t="n"/>
      <c r="AN27" s="246" t="n"/>
      <c r="AO27" s="246" t="n"/>
      <c r="AP27" s="246" t="n"/>
      <c r="AQ27" s="246" t="n"/>
      <c r="AR27" s="246" t="n">
        <v>56.08</v>
      </c>
      <c r="AS27" s="246" t="n">
        <v>46.39</v>
      </c>
      <c r="AT27" s="246" t="n">
        <v>48.75</v>
      </c>
      <c r="AU27" s="246" t="n">
        <v>55.97</v>
      </c>
      <c r="AV27" s="246" t="n">
        <v>47.5</v>
      </c>
      <c r="AW27" s="246" t="n"/>
      <c r="AX27" s="246" t="n"/>
      <c r="AY27" s="246" t="n"/>
      <c r="AZ27" s="246" t="n"/>
      <c r="BA27" s="246" t="n"/>
      <c r="BB27" s="246" t="n"/>
      <c r="BC27" s="246" t="n"/>
      <c r="BD27" s="246" t="n"/>
      <c r="BE27" s="246" t="n"/>
      <c r="BF27" s="246" t="n"/>
      <c r="BG27" s="246" t="n"/>
      <c r="BH27" s="246" t="n"/>
      <c r="BI27" s="246" t="n"/>
      <c r="BJ27" s="246" t="n"/>
      <c r="BK27" s="246" t="n"/>
      <c r="BL27" s="246" t="n"/>
      <c r="BM27" s="246" t="n"/>
      <c r="BN27" s="246" t="n"/>
      <c r="BP27" s="179" t="n">
        <v>0</v>
      </c>
      <c r="BQ27" s="180">
        <f>AVERAGE(AR27:AS27,AE27,Z27)</f>
        <v/>
      </c>
      <c r="BR27" s="180">
        <f>AVERAGE(AT27,AO27,AG27)</f>
        <v/>
      </c>
      <c r="BS27" s="180">
        <f>AVERAGE(AN27,AB27)</f>
        <v/>
      </c>
      <c r="BT27" s="180">
        <f>AVERAGE(AF27,AA27)</f>
        <v/>
      </c>
      <c r="BU27" s="180" t="n"/>
      <c r="BV27" s="180" t="n"/>
      <c r="BW27" s="180" t="n"/>
      <c r="BX27" s="180" t="n"/>
      <c r="BY27" s="180">
        <f>AVERAGE(#REF!)</f>
        <v/>
      </c>
    </row>
    <row r="28" ht="18" customHeight="1" s="590">
      <c r="B28" s="12" t="n">
        <v>20</v>
      </c>
      <c r="C28" s="13" t="inlineStr">
        <is>
          <t>052-FA23-23228</t>
        </is>
      </c>
      <c r="D28" s="14" t="inlineStr">
        <is>
          <t xml:space="preserve">Wajahat Ali </t>
        </is>
      </c>
      <c r="E28" s="114" t="n"/>
      <c r="F28" s="115" t="n"/>
      <c r="G28" s="510" t="n"/>
      <c r="H28" s="117" t="n"/>
      <c r="I28" s="114" t="n"/>
      <c r="J28" s="665" t="n"/>
      <c r="K28" s="117" t="n"/>
      <c r="L28" s="663" t="n"/>
      <c r="M28" s="561" t="n"/>
      <c r="N28" s="583" t="n"/>
      <c r="O28" s="546" t="n"/>
      <c r="P28" s="115" t="n"/>
      <c r="Q28" s="117" t="n"/>
      <c r="R28" s="701" t="n"/>
      <c r="S28" s="607" t="n"/>
      <c r="T28" s="614" t="n"/>
      <c r="U28" s="114" t="n"/>
      <c r="V28" s="115" t="n"/>
      <c r="W28" s="117" t="n"/>
      <c r="X28" s="117" t="n"/>
      <c r="Y28" s="117" t="n"/>
      <c r="Z28" s="246" t="n">
        <v>64</v>
      </c>
      <c r="AA28" s="246" t="n">
        <v>42</v>
      </c>
      <c r="AB28" s="246" t="n">
        <v>36</v>
      </c>
      <c r="AC28" s="246" t="n">
        <v>36.9</v>
      </c>
      <c r="AD28" s="246" t="n">
        <v>18.33</v>
      </c>
      <c r="AE28" s="246" t="n">
        <v>60.67</v>
      </c>
      <c r="AF28" s="246" t="n">
        <v>60</v>
      </c>
      <c r="AG28" s="246" t="n">
        <v>69.67</v>
      </c>
      <c r="AH28" s="246" t="n">
        <v>0</v>
      </c>
      <c r="AI28" s="246" t="n">
        <v>0</v>
      </c>
      <c r="AJ28" s="246" t="n">
        <v>63.9</v>
      </c>
      <c r="AK28" s="246" t="n">
        <v>74.83</v>
      </c>
      <c r="AL28" s="246" t="n">
        <v>78.33</v>
      </c>
      <c r="AM28" s="246" t="n"/>
      <c r="AN28" s="246" t="n"/>
      <c r="AO28" s="246" t="n"/>
      <c r="AP28" s="246" t="n">
        <v>64.23999999999999</v>
      </c>
      <c r="AQ28" s="246" t="n">
        <v>66.28</v>
      </c>
      <c r="AR28" s="246" t="n"/>
      <c r="AS28" s="246" t="n"/>
      <c r="AT28" s="246" t="n"/>
      <c r="AU28" s="246" t="n">
        <v>46.39</v>
      </c>
      <c r="AV28" s="246" t="n">
        <v>36.67</v>
      </c>
      <c r="AW28" s="246" t="n"/>
      <c r="AX28" s="246" t="n"/>
      <c r="AY28" s="246" t="n"/>
      <c r="AZ28" s="246" t="n"/>
      <c r="BA28" s="246" t="n"/>
      <c r="BB28" s="246" t="n"/>
      <c r="BC28" s="246" t="n"/>
      <c r="BD28" s="246" t="n"/>
      <c r="BE28" s="246" t="n"/>
      <c r="BF28" s="246" t="n"/>
      <c r="BG28" s="246" t="n"/>
      <c r="BH28" s="246" t="n"/>
      <c r="BI28" s="246" t="n"/>
      <c r="BJ28" s="246" t="n"/>
      <c r="BK28" s="246" t="n"/>
      <c r="BL28" s="246" t="n"/>
      <c r="BM28" s="246" t="n"/>
      <c r="BN28" s="246" t="n"/>
      <c r="BP28" s="179" t="n">
        <v>0</v>
      </c>
      <c r="BQ28" s="180">
        <f>AVERAGE(AR28:AS28,AE28,Z28)</f>
        <v/>
      </c>
      <c r="BR28" s="180">
        <f>AVERAGE(AT28,AO28,AG28)</f>
        <v/>
      </c>
      <c r="BS28" s="180">
        <f>AVERAGE(AN28,AB28)</f>
        <v/>
      </c>
      <c r="BT28" s="180">
        <f>AVERAGE(AF28,AA28)</f>
        <v/>
      </c>
      <c r="BU28" s="180" t="n"/>
      <c r="BV28" s="180" t="n"/>
      <c r="BW28" s="180" t="n"/>
      <c r="BX28" s="180" t="n"/>
      <c r="BY28" s="180">
        <f>AVERAGE(#REF!)</f>
        <v/>
      </c>
    </row>
    <row r="29" ht="18" customHeight="1" s="590">
      <c r="B29" s="12" t="n">
        <v>21</v>
      </c>
      <c r="C29" s="13" t="inlineStr">
        <is>
          <t>052-FA23-23076</t>
        </is>
      </c>
      <c r="D29" s="14" t="inlineStr">
        <is>
          <t>Muhammad Ahmed Gulzar</t>
        </is>
      </c>
      <c r="E29" s="114" t="n"/>
      <c r="F29" s="115" t="n"/>
      <c r="G29" s="510" t="n"/>
      <c r="H29" s="117" t="n"/>
      <c r="I29" s="114" t="n"/>
      <c r="J29" s="665" t="n"/>
      <c r="K29" s="117" t="n"/>
      <c r="L29" s="663" t="n"/>
      <c r="M29" s="561" t="n"/>
      <c r="N29" s="583" t="n"/>
      <c r="O29" s="546" t="n"/>
      <c r="P29" s="115" t="n"/>
      <c r="Q29" s="117" t="n"/>
      <c r="R29" s="701" t="n"/>
      <c r="S29" s="607" t="n"/>
      <c r="T29" s="614" t="n"/>
      <c r="U29" s="114" t="n"/>
      <c r="V29" s="115" t="n"/>
      <c r="W29" s="117" t="n"/>
      <c r="X29" s="117" t="n"/>
      <c r="Y29" s="117" t="n"/>
      <c r="Z29" s="246" t="n">
        <v>72</v>
      </c>
      <c r="AA29" s="246" t="n">
        <v>78</v>
      </c>
      <c r="AB29" s="246" t="n">
        <v>80</v>
      </c>
      <c r="AC29" s="246" t="n">
        <v>41.5</v>
      </c>
      <c r="AD29" s="246" t="n">
        <v>29.17</v>
      </c>
      <c r="AE29" s="246" t="n">
        <v>56</v>
      </c>
      <c r="AF29" s="246" t="n">
        <v>54.38</v>
      </c>
      <c r="AG29" s="246" t="n">
        <v>69</v>
      </c>
      <c r="AH29" s="246" t="n">
        <v>77.58</v>
      </c>
      <c r="AI29" s="246" t="n">
        <v>81.94</v>
      </c>
      <c r="AJ29" s="246" t="n">
        <v>81.81</v>
      </c>
      <c r="AK29" s="246" t="n">
        <v>77.33</v>
      </c>
      <c r="AL29" s="246" t="n">
        <v>83.33</v>
      </c>
      <c r="AM29" s="246" t="n"/>
      <c r="AN29" s="246" t="n"/>
      <c r="AO29" s="246" t="n"/>
      <c r="AP29" s="246" t="n">
        <v>58.48</v>
      </c>
      <c r="AQ29" s="246" t="n">
        <v>60.44</v>
      </c>
      <c r="AR29" s="246" t="n">
        <v>57.67</v>
      </c>
      <c r="AS29" s="246" t="n">
        <v>46.59</v>
      </c>
      <c r="AT29" s="246" t="n">
        <v>77.5</v>
      </c>
      <c r="AU29" s="246" t="n">
        <v>57.36</v>
      </c>
      <c r="AV29" s="246" t="n">
        <v>48.33</v>
      </c>
      <c r="AW29" s="246" t="n"/>
      <c r="AX29" s="246" t="n"/>
      <c r="AY29" s="246" t="n"/>
      <c r="AZ29" s="246" t="n"/>
      <c r="BA29" s="246" t="n"/>
      <c r="BB29" s="246" t="n"/>
      <c r="BC29" s="246" t="n"/>
      <c r="BD29" s="246" t="n"/>
      <c r="BE29" s="246" t="n"/>
      <c r="BF29" s="246" t="n"/>
      <c r="BG29" s="246" t="n"/>
      <c r="BH29" s="246" t="n"/>
      <c r="BI29" s="246" t="n"/>
      <c r="BJ29" s="246" t="n"/>
      <c r="BK29" s="246" t="n"/>
      <c r="BL29" s="246" t="n"/>
      <c r="BM29" s="246" t="n"/>
      <c r="BN29" s="246" t="n"/>
      <c r="BP29" s="179" t="n">
        <v>0</v>
      </c>
      <c r="BQ29" s="180">
        <f>AVERAGE(AR29:AS29,AE29,Z29)</f>
        <v/>
      </c>
      <c r="BR29" s="180">
        <f>AVERAGE(AT29,AO29,AG29)</f>
        <v/>
      </c>
      <c r="BS29" s="180">
        <f>AVERAGE(AN29,AB29)</f>
        <v/>
      </c>
      <c r="BT29" s="180">
        <f>AVERAGE(AF29,AA29)</f>
        <v/>
      </c>
      <c r="BU29" s="180" t="n"/>
      <c r="BV29" s="180" t="n"/>
      <c r="BW29" s="180" t="n"/>
      <c r="BX29" s="180" t="n"/>
      <c r="BY29" s="180">
        <f>AVERAGE(#REF!)</f>
        <v/>
      </c>
    </row>
    <row r="30" ht="18" customHeight="1" s="590">
      <c r="B30" s="12" t="n">
        <v>22</v>
      </c>
      <c r="C30" s="13" t="inlineStr">
        <is>
          <t>052-FA23-23079</t>
        </is>
      </c>
      <c r="D30" s="14" t="inlineStr">
        <is>
          <t xml:space="preserve">Muhammad Umair </t>
        </is>
      </c>
      <c r="E30" s="114" t="n"/>
      <c r="F30" s="115" t="n"/>
      <c r="G30" s="510" t="n"/>
      <c r="H30" s="117" t="n"/>
      <c r="I30" s="114" t="n"/>
      <c r="J30" s="665" t="n"/>
      <c r="K30" s="117" t="n"/>
      <c r="L30" s="663" t="n"/>
      <c r="M30" s="561" t="n"/>
      <c r="N30" s="583" t="n"/>
      <c r="O30" s="546" t="n"/>
      <c r="P30" s="115" t="n"/>
      <c r="Q30" s="117" t="n"/>
      <c r="R30" s="701" t="n"/>
      <c r="S30" s="607" t="n"/>
      <c r="T30" s="614" t="n"/>
      <c r="U30" s="114" t="n"/>
      <c r="V30" s="115" t="n"/>
      <c r="W30" s="117" t="n"/>
      <c r="X30" s="117" t="n"/>
      <c r="Y30" s="117" t="n"/>
      <c r="Z30" s="246" t="n">
        <v>0</v>
      </c>
      <c r="AA30" s="246" t="n">
        <v>0</v>
      </c>
      <c r="AB30" s="246" t="n">
        <v>0</v>
      </c>
      <c r="AC30" s="246" t="n">
        <v>63.04</v>
      </c>
      <c r="AD30" s="246" t="n">
        <v>60</v>
      </c>
      <c r="AE30" s="246" t="n">
        <v>57.33</v>
      </c>
      <c r="AF30" s="246" t="n">
        <v>57.5</v>
      </c>
      <c r="AG30" s="246" t="n">
        <v>72</v>
      </c>
      <c r="AH30" s="246" t="n">
        <v>78.79000000000001</v>
      </c>
      <c r="AI30" s="246" t="n">
        <v>81.39</v>
      </c>
      <c r="AJ30" s="246" t="n">
        <v>68.76000000000001</v>
      </c>
      <c r="AK30" s="246" t="n">
        <v>74.83</v>
      </c>
      <c r="AL30" s="246" t="n">
        <v>85</v>
      </c>
      <c r="AM30" s="246" t="n">
        <v>70</v>
      </c>
      <c r="AN30" s="246" t="n">
        <v>62</v>
      </c>
      <c r="AO30" s="246" t="n">
        <v>60</v>
      </c>
      <c r="AP30" s="246" t="n">
        <v>71.52</v>
      </c>
      <c r="AQ30" s="246" t="n">
        <v>74.28</v>
      </c>
      <c r="AR30" s="246" t="n">
        <v>46.67</v>
      </c>
      <c r="AS30" s="246" t="n">
        <v>52.22</v>
      </c>
      <c r="AT30" s="246" t="n">
        <v>62.5</v>
      </c>
      <c r="AU30" s="246" t="n">
        <v>83.61</v>
      </c>
      <c r="AV30" s="246" t="n">
        <v>75</v>
      </c>
      <c r="AW30" s="246" t="n"/>
      <c r="AX30" s="246" t="n"/>
      <c r="AY30" s="246" t="n"/>
      <c r="AZ30" s="246" t="n"/>
      <c r="BA30" s="246" t="n"/>
      <c r="BB30" s="246" t="n"/>
      <c r="BC30" s="246" t="n"/>
      <c r="BD30" s="246" t="n"/>
      <c r="BE30" s="246" t="n"/>
      <c r="BF30" s="246" t="n"/>
      <c r="BG30" s="246" t="n"/>
      <c r="BH30" s="246" t="n"/>
      <c r="BI30" s="246" t="n"/>
      <c r="BJ30" s="246" t="n"/>
      <c r="BK30" s="246" t="n"/>
      <c r="BL30" s="246" t="n"/>
      <c r="BM30" s="246" t="n"/>
      <c r="BN30" s="246" t="n"/>
      <c r="BP30" s="179">
        <f>AVERAGE(AM30)</f>
        <v/>
      </c>
      <c r="BQ30" s="180">
        <f>AVERAGE(AR30:AS30,AE30,Z30)</f>
        <v/>
      </c>
      <c r="BR30" s="180">
        <f>AVERAGE(AT30,AO30,AG30)</f>
        <v/>
      </c>
      <c r="BS30" s="180">
        <f>AVERAGE(AN30,AB30)</f>
        <v/>
      </c>
      <c r="BT30" s="180">
        <f>AVERAGE(AF30,AA30)</f>
        <v/>
      </c>
      <c r="BU30" s="180" t="n"/>
      <c r="BV30" s="180" t="n"/>
      <c r="BW30" s="180" t="n"/>
      <c r="BX30" s="180" t="n"/>
      <c r="BY30" s="180">
        <f>AVERAGE(#REF!)</f>
        <v/>
      </c>
    </row>
    <row r="31" ht="18" customHeight="1" s="590">
      <c r="B31" s="12" t="n">
        <v>23</v>
      </c>
      <c r="C31" s="13" t="inlineStr">
        <is>
          <t>052-FA23-23034</t>
        </is>
      </c>
      <c r="D31" s="14" t="inlineStr">
        <is>
          <t xml:space="preserve">Farhan Saleem </t>
        </is>
      </c>
      <c r="E31" s="114" t="n"/>
      <c r="F31" s="115" t="n"/>
      <c r="G31" s="510" t="n"/>
      <c r="H31" s="117" t="n"/>
      <c r="I31" s="114" t="n"/>
      <c r="J31" s="665" t="n"/>
      <c r="K31" s="117" t="n"/>
      <c r="L31" s="663" t="n"/>
      <c r="M31" s="561" t="n"/>
      <c r="N31" s="583" t="n"/>
      <c r="O31" s="546" t="n"/>
      <c r="P31" s="115" t="n"/>
      <c r="Q31" s="117" t="n"/>
      <c r="R31" s="701" t="n"/>
      <c r="S31" s="607" t="n"/>
      <c r="T31" s="614" t="n"/>
      <c r="U31" s="114" t="n"/>
      <c r="V31" s="115" t="n"/>
      <c r="W31" s="117" t="n"/>
      <c r="X31" s="117" t="n"/>
      <c r="Y31" s="117" t="n"/>
      <c r="Z31" s="246" t="n">
        <v>92</v>
      </c>
      <c r="AA31" s="246" t="n">
        <v>76</v>
      </c>
      <c r="AB31" s="246" t="n">
        <v>94</v>
      </c>
      <c r="AC31" s="246" t="n">
        <v>73.81999999999999</v>
      </c>
      <c r="AD31" s="246" t="n">
        <v>66.67</v>
      </c>
      <c r="AE31" s="246" t="n">
        <v>74</v>
      </c>
      <c r="AF31" s="246" t="n">
        <v>70.63</v>
      </c>
      <c r="AG31" s="246" t="n">
        <v>82.67</v>
      </c>
      <c r="AH31" s="246" t="n">
        <v>91.81999999999999</v>
      </c>
      <c r="AI31" s="246" t="n">
        <v>91.11</v>
      </c>
      <c r="AJ31" s="246" t="n">
        <v>78.29000000000001</v>
      </c>
      <c r="AK31" s="246" t="n">
        <v>81.33</v>
      </c>
      <c r="AL31" s="246" t="n">
        <v>83.33</v>
      </c>
      <c r="AM31" s="246" t="n">
        <v>85</v>
      </c>
      <c r="AN31" s="246" t="n">
        <v>80.67</v>
      </c>
      <c r="AO31" s="246" t="n">
        <v>85</v>
      </c>
      <c r="AP31" s="246" t="n">
        <v>92.73</v>
      </c>
      <c r="AQ31" s="246" t="n">
        <v>90.11</v>
      </c>
      <c r="AR31" s="246" t="n">
        <v>82.26000000000001</v>
      </c>
      <c r="AS31" s="246" t="n">
        <v>76.98</v>
      </c>
      <c r="AT31" s="246" t="n">
        <v>87.5</v>
      </c>
      <c r="AU31" s="246" t="n">
        <v>77.22</v>
      </c>
      <c r="AV31" s="246" t="n">
        <v>70</v>
      </c>
      <c r="AW31" s="246" t="n"/>
      <c r="AX31" s="246" t="n"/>
      <c r="AY31" s="246" t="n"/>
      <c r="AZ31" s="246" t="n"/>
      <c r="BA31" s="246" t="n"/>
      <c r="BB31" s="246" t="n"/>
      <c r="BC31" s="246" t="n"/>
      <c r="BD31" s="246" t="n"/>
      <c r="BE31" s="246" t="n"/>
      <c r="BF31" s="246" t="n"/>
      <c r="BG31" s="246" t="n"/>
      <c r="BH31" s="246" t="n"/>
      <c r="BI31" s="246" t="n"/>
      <c r="BJ31" s="246" t="n"/>
      <c r="BK31" s="246" t="n"/>
      <c r="BL31" s="246" t="n"/>
      <c r="BM31" s="246" t="n"/>
      <c r="BN31" s="246" t="n"/>
      <c r="BP31" s="179">
        <f>AVERAGE(AM31)</f>
        <v/>
      </c>
      <c r="BQ31" s="180">
        <f>AVERAGE(AR31:AS31,AE31,Z31)</f>
        <v/>
      </c>
      <c r="BR31" s="180">
        <f>AVERAGE(AT31,AO31,AG31)</f>
        <v/>
      </c>
      <c r="BS31" s="180">
        <f>AVERAGE(AN31,AB31)</f>
        <v/>
      </c>
      <c r="BT31" s="180">
        <f>AVERAGE(AF31,AA31)</f>
        <v/>
      </c>
      <c r="BU31" s="180" t="n"/>
      <c r="BV31" s="180" t="n"/>
      <c r="BW31" s="180" t="n"/>
      <c r="BX31" s="180" t="n"/>
      <c r="BY31" s="180">
        <f>AVERAGE(#REF!)</f>
        <v/>
      </c>
    </row>
    <row r="32" ht="18" customHeight="1" s="590">
      <c r="B32" s="12" t="n">
        <v>24</v>
      </c>
      <c r="C32" s="13" t="inlineStr">
        <is>
          <t>052-FA23-23035</t>
        </is>
      </c>
      <c r="D32" s="14" t="inlineStr">
        <is>
          <t>Muhammad Yousaf</t>
        </is>
      </c>
      <c r="E32" s="114" t="n"/>
      <c r="F32" s="115" t="n"/>
      <c r="G32" s="510" t="n"/>
      <c r="H32" s="117" t="n"/>
      <c r="I32" s="114" t="n"/>
      <c r="J32" s="665" t="n"/>
      <c r="K32" s="117" t="n"/>
      <c r="L32" s="663" t="n"/>
      <c r="M32" s="561" t="n"/>
      <c r="N32" s="583" t="n"/>
      <c r="O32" s="546" t="n"/>
      <c r="P32" s="115" t="n"/>
      <c r="Q32" s="117" t="n"/>
      <c r="R32" s="701" t="n"/>
      <c r="S32" s="607" t="n"/>
      <c r="T32" s="614" t="n"/>
      <c r="U32" s="114" t="n"/>
      <c r="V32" s="115" t="n"/>
      <c r="W32" s="117" t="n"/>
      <c r="X32" s="117" t="n"/>
      <c r="Y32" s="117" t="n"/>
      <c r="Z32" s="246" t="n">
        <v>88</v>
      </c>
      <c r="AA32" s="246" t="n">
        <v>86</v>
      </c>
      <c r="AB32" s="246" t="n">
        <v>74</v>
      </c>
      <c r="AC32" s="246" t="n">
        <v>87.23999999999999</v>
      </c>
      <c r="AD32" s="246" t="n">
        <v>75</v>
      </c>
      <c r="AE32" s="246" t="n">
        <v>76.33</v>
      </c>
      <c r="AF32" s="246" t="n">
        <v>75</v>
      </c>
      <c r="AG32" s="246" t="n">
        <v>83.33</v>
      </c>
      <c r="AH32" s="246" t="n">
        <v>92.42</v>
      </c>
      <c r="AI32" s="246" t="n">
        <v>90.56</v>
      </c>
      <c r="AJ32" s="246" t="n">
        <v>80.29000000000001</v>
      </c>
      <c r="AK32" s="246" t="n">
        <v>79.83</v>
      </c>
      <c r="AL32" s="246" t="n">
        <v>80.83</v>
      </c>
      <c r="AM32" s="246" t="n">
        <v>95</v>
      </c>
      <c r="AN32" s="246" t="n">
        <v>84.67</v>
      </c>
      <c r="AO32" s="246" t="n">
        <v>92.5</v>
      </c>
      <c r="AP32" s="246" t="n">
        <v>92.73</v>
      </c>
      <c r="AQ32" s="246" t="n">
        <v>93.44</v>
      </c>
      <c r="AR32" s="246" t="n">
        <v>80.31</v>
      </c>
      <c r="AS32" s="246" t="n">
        <v>66.27</v>
      </c>
      <c r="AT32" s="246" t="n">
        <v>97.5</v>
      </c>
      <c r="AU32" s="246" t="n">
        <v>89.44</v>
      </c>
      <c r="AV32" s="246" t="n">
        <v>80.83</v>
      </c>
      <c r="AW32" s="246" t="n"/>
      <c r="AX32" s="246" t="n"/>
      <c r="AY32" s="246" t="n"/>
      <c r="AZ32" s="246" t="n"/>
      <c r="BA32" s="246" t="n"/>
      <c r="BB32" s="246" t="n"/>
      <c r="BC32" s="246" t="n"/>
      <c r="BD32" s="246" t="n"/>
      <c r="BE32" s="246" t="n"/>
      <c r="BF32" s="246" t="n"/>
      <c r="BG32" s="246" t="n"/>
      <c r="BH32" s="246" t="n"/>
      <c r="BI32" s="246" t="n"/>
      <c r="BJ32" s="246" t="n"/>
      <c r="BK32" s="246" t="n"/>
      <c r="BL32" s="246" t="n"/>
      <c r="BM32" s="246" t="n"/>
      <c r="BN32" s="246" t="n"/>
      <c r="BP32" s="179">
        <f>AVERAGE(AM32)</f>
        <v/>
      </c>
      <c r="BQ32" s="180">
        <f>AVERAGE(AR32:AS32,AE32,Z32)</f>
        <v/>
      </c>
      <c r="BR32" s="180">
        <f>AVERAGE(AT32,AO32,AG32)</f>
        <v/>
      </c>
      <c r="BS32" s="180">
        <f>AVERAGE(AN32,AB32)</f>
        <v/>
      </c>
      <c r="BT32" s="180">
        <f>AVERAGE(AF32,AA32)</f>
        <v/>
      </c>
      <c r="BU32" s="180" t="n"/>
      <c r="BV32" s="180" t="n"/>
      <c r="BW32" s="180" t="n"/>
      <c r="BX32" s="180" t="n"/>
      <c r="BY32" s="180">
        <f>AVERAGE(#REF!)</f>
        <v/>
      </c>
    </row>
    <row r="33" ht="18" customHeight="1" s="590">
      <c r="B33" s="12" t="n">
        <v>25</v>
      </c>
      <c r="C33" s="13" t="inlineStr">
        <is>
          <t>052-FA23-23047</t>
        </is>
      </c>
      <c r="D33" s="14" t="inlineStr">
        <is>
          <t>Muhammad Ahmar Daud</t>
        </is>
      </c>
      <c r="E33" s="114" t="n"/>
      <c r="F33" s="115" t="n"/>
      <c r="G33" s="510" t="n"/>
      <c r="H33" s="117" t="n"/>
      <c r="I33" s="114" t="n"/>
      <c r="J33" s="665" t="n"/>
      <c r="K33" s="117" t="n"/>
      <c r="L33" s="663" t="n"/>
      <c r="M33" s="561" t="n"/>
      <c r="N33" s="583" t="n"/>
      <c r="O33" s="546" t="n"/>
      <c r="P33" s="115" t="n"/>
      <c r="Q33" s="117" t="n"/>
      <c r="R33" s="701" t="n"/>
      <c r="S33" s="607" t="n"/>
      <c r="T33" s="614" t="n"/>
      <c r="U33" s="114" t="n"/>
      <c r="V33" s="115" t="n"/>
      <c r="W33" s="117" t="n"/>
      <c r="X33" s="117" t="n"/>
      <c r="Y33" s="117" t="n"/>
      <c r="Z33" s="246" t="n">
        <v>92</v>
      </c>
      <c r="AA33" s="246" t="n">
        <v>78</v>
      </c>
      <c r="AB33" s="246" t="n">
        <v>94</v>
      </c>
      <c r="AC33" s="246" t="n">
        <v>74.33</v>
      </c>
      <c r="AD33" s="246" t="n">
        <v>68.33</v>
      </c>
      <c r="AE33" s="246" t="n">
        <v>78.33</v>
      </c>
      <c r="AF33" s="246" t="n">
        <v>73.13</v>
      </c>
      <c r="AG33" s="246" t="n">
        <v>77</v>
      </c>
      <c r="AH33" s="246" t="n">
        <v>91.20999999999999</v>
      </c>
      <c r="AI33" s="246" t="n">
        <v>91.94</v>
      </c>
      <c r="AJ33" s="246" t="n">
        <v>73.43000000000001</v>
      </c>
      <c r="AK33" s="246" t="n">
        <v>82.5</v>
      </c>
      <c r="AL33" s="246" t="n">
        <v>80.83</v>
      </c>
      <c r="AM33" s="246" t="n">
        <v>85</v>
      </c>
      <c r="AN33" s="246" t="n">
        <v>82.33</v>
      </c>
      <c r="AO33" s="246" t="n">
        <v>77.5</v>
      </c>
      <c r="AP33" s="246" t="n">
        <v>94.23999999999999</v>
      </c>
      <c r="AQ33" s="246" t="n">
        <v>91.78</v>
      </c>
      <c r="AR33" s="246" t="n">
        <v>74.17</v>
      </c>
      <c r="AS33" s="246" t="n">
        <v>58.97</v>
      </c>
      <c r="AT33" s="246" t="n">
        <v>82.5</v>
      </c>
      <c r="AU33" s="246" t="n">
        <v>74.58</v>
      </c>
      <c r="AV33" s="246" t="n">
        <v>66.67</v>
      </c>
      <c r="AW33" s="246" t="n"/>
      <c r="AX33" s="246" t="n"/>
      <c r="AY33" s="246" t="n"/>
      <c r="AZ33" s="246" t="n"/>
      <c r="BA33" s="246" t="n"/>
      <c r="BB33" s="246" t="n"/>
      <c r="BC33" s="246" t="n"/>
      <c r="BD33" s="246" t="n"/>
      <c r="BE33" s="246" t="n"/>
      <c r="BF33" s="246" t="n"/>
      <c r="BG33" s="246" t="n"/>
      <c r="BH33" s="246" t="n"/>
      <c r="BI33" s="246" t="n"/>
      <c r="BJ33" s="246" t="n"/>
      <c r="BK33" s="246" t="n"/>
      <c r="BL33" s="246" t="n"/>
      <c r="BM33" s="246" t="n"/>
      <c r="BN33" s="246" t="n"/>
      <c r="BP33" s="179">
        <f>AVERAGE(AM33)</f>
        <v/>
      </c>
      <c r="BQ33" s="180">
        <f>AVERAGE(AR33:AS33,AE33,Z33)</f>
        <v/>
      </c>
      <c r="BR33" s="180">
        <f>AVERAGE(AT33,AO33,AG33)</f>
        <v/>
      </c>
      <c r="BS33" s="180">
        <f>AVERAGE(AN33,AB33)</f>
        <v/>
      </c>
      <c r="BT33" s="180">
        <f>AVERAGE(AF33,AA33)</f>
        <v/>
      </c>
      <c r="BU33" s="180" t="n"/>
      <c r="BV33" s="180" t="n"/>
      <c r="BW33" s="180" t="n"/>
      <c r="BX33" s="180" t="n"/>
      <c r="BY33" s="180">
        <f>AVERAGE(#REF!)</f>
        <v/>
      </c>
    </row>
    <row r="34" ht="18" customHeight="1" s="590">
      <c r="B34" s="12" t="n">
        <v>26</v>
      </c>
      <c r="C34" s="13" t="inlineStr">
        <is>
          <t>052-FA23-23177</t>
        </is>
      </c>
      <c r="D34" s="14" t="inlineStr">
        <is>
          <t>Ehtasham Khan Niazi</t>
        </is>
      </c>
      <c r="E34" s="114" t="n"/>
      <c r="F34" s="115" t="n"/>
      <c r="G34" s="510" t="n"/>
      <c r="H34" s="117" t="n"/>
      <c r="I34" s="114" t="n"/>
      <c r="J34" s="665" t="n"/>
      <c r="K34" s="117" t="n"/>
      <c r="L34" s="663" t="n"/>
      <c r="M34" s="561" t="n"/>
      <c r="N34" s="583" t="n"/>
      <c r="O34" s="546" t="n"/>
      <c r="P34" s="115" t="n"/>
      <c r="Q34" s="117" t="n"/>
      <c r="R34" s="701" t="n"/>
      <c r="S34" s="607" t="n"/>
      <c r="T34" s="614" t="n"/>
      <c r="U34" s="114" t="n"/>
      <c r="V34" s="115" t="n"/>
      <c r="W34" s="117" t="n"/>
      <c r="X34" s="117" t="n"/>
      <c r="Y34" s="117" t="n"/>
      <c r="Z34" s="246" t="n">
        <v>28</v>
      </c>
      <c r="AA34" s="246" t="n">
        <v>20</v>
      </c>
      <c r="AB34" s="246" t="n">
        <v>8</v>
      </c>
      <c r="AC34" s="246" t="n">
        <v>0</v>
      </c>
      <c r="AD34" s="246" t="n">
        <v>0</v>
      </c>
      <c r="AE34" s="246" t="n">
        <v>0</v>
      </c>
      <c r="AF34" s="246" t="n">
        <v>0</v>
      </c>
      <c r="AG34" s="246" t="n">
        <v>0</v>
      </c>
      <c r="AH34" s="246" t="n">
        <v>0</v>
      </c>
      <c r="AI34" s="246" t="n">
        <v>0</v>
      </c>
      <c r="AJ34" s="246" t="n"/>
      <c r="AK34" s="246" t="n"/>
      <c r="AL34" s="246" t="n"/>
      <c r="AM34" s="246" t="n"/>
      <c r="AN34" s="246" t="n"/>
      <c r="AO34" s="246" t="n"/>
      <c r="AP34" s="246" t="n"/>
      <c r="AQ34" s="246" t="n"/>
      <c r="AR34" s="246" t="n"/>
      <c r="AS34" s="246" t="n"/>
      <c r="AT34" s="246" t="n"/>
      <c r="AU34" s="246" t="n">
        <v>0</v>
      </c>
      <c r="AV34" s="246" t="n">
        <v>0</v>
      </c>
      <c r="AW34" s="246" t="n"/>
      <c r="AX34" s="246" t="n"/>
      <c r="AY34" s="246" t="n"/>
      <c r="AZ34" s="246" t="n"/>
      <c r="BA34" s="246" t="n"/>
      <c r="BB34" s="246" t="n"/>
      <c r="BC34" s="246" t="n"/>
      <c r="BD34" s="246" t="n"/>
      <c r="BE34" s="246" t="n"/>
      <c r="BF34" s="246" t="n"/>
      <c r="BG34" s="246" t="n"/>
      <c r="BH34" s="246" t="n"/>
      <c r="BI34" s="246" t="n"/>
      <c r="BJ34" s="246" t="n"/>
      <c r="BK34" s="246" t="n"/>
      <c r="BL34" s="246" t="n"/>
      <c r="BM34" s="246" t="n"/>
      <c r="BN34" s="246" t="n"/>
      <c r="BP34" s="179" t="n">
        <v>0</v>
      </c>
      <c r="BQ34" s="180">
        <f>AVERAGE(AR34:AS34,AE34,Z34)</f>
        <v/>
      </c>
      <c r="BR34" s="180" t="n"/>
      <c r="BS34" s="180">
        <f>AVERAGE(AN34,AB34)</f>
        <v/>
      </c>
      <c r="BT34" s="180">
        <f>AVERAGE(AF34,AA34)</f>
        <v/>
      </c>
      <c r="BU34" s="180" t="n"/>
      <c r="BV34" s="180" t="n"/>
      <c r="BW34" s="180" t="n"/>
      <c r="BX34" s="180" t="n"/>
      <c r="BY34" s="180" t="n"/>
    </row>
    <row r="35" ht="18" customHeight="1" s="590">
      <c r="B35" s="12" t="n">
        <v>27</v>
      </c>
      <c r="C35" s="13" t="inlineStr">
        <is>
          <t>052-FA23-23141</t>
        </is>
      </c>
      <c r="D35" s="14" t="inlineStr">
        <is>
          <t xml:space="preserve">Syed Haider Ali </t>
        </is>
      </c>
      <c r="E35" s="114" t="n"/>
      <c r="F35" s="115" t="n"/>
      <c r="G35" s="510" t="n"/>
      <c r="H35" s="117" t="n"/>
      <c r="I35" s="114" t="n"/>
      <c r="J35" s="665" t="n"/>
      <c r="K35" s="117" t="n"/>
      <c r="L35" s="663" t="n"/>
      <c r="M35" s="561" t="n"/>
      <c r="N35" s="583" t="n"/>
      <c r="O35" s="546" t="n"/>
      <c r="P35" s="115" t="n"/>
      <c r="Q35" s="117" t="n"/>
      <c r="R35" s="701" t="n"/>
      <c r="S35" s="607" t="n"/>
      <c r="T35" s="614" t="n"/>
      <c r="U35" s="114" t="n"/>
      <c r="V35" s="115" t="n"/>
      <c r="W35" s="117" t="n"/>
      <c r="X35" s="117" t="n"/>
      <c r="Y35" s="117" t="n"/>
      <c r="Z35" s="246" t="n">
        <v>58</v>
      </c>
      <c r="AA35" s="246" t="n">
        <v>48</v>
      </c>
      <c r="AB35" s="246" t="n">
        <v>20</v>
      </c>
      <c r="AC35" s="246" t="n">
        <v>29.69</v>
      </c>
      <c r="AD35" s="246" t="n">
        <v>26.67</v>
      </c>
      <c r="AE35" s="246" t="n">
        <v>50.67</v>
      </c>
      <c r="AF35" s="246" t="n">
        <v>53.13</v>
      </c>
      <c r="AG35" s="246" t="n">
        <v>58</v>
      </c>
      <c r="AH35" s="246" t="n">
        <v>64.84999999999999</v>
      </c>
      <c r="AI35" s="246" t="n">
        <v>70.56</v>
      </c>
      <c r="AJ35" s="246" t="n">
        <v>64.09999999999999</v>
      </c>
      <c r="AK35" s="246" t="n">
        <v>73.5</v>
      </c>
      <c r="AL35" s="246" t="n">
        <v>80.83</v>
      </c>
      <c r="AM35" s="246" t="n">
        <v>45</v>
      </c>
      <c r="AN35" s="246" t="n">
        <v>50</v>
      </c>
      <c r="AO35" s="246" t="n">
        <v>25</v>
      </c>
      <c r="AP35" s="246" t="n">
        <v>59.7</v>
      </c>
      <c r="AQ35" s="246" t="n">
        <v>61.22</v>
      </c>
      <c r="AR35" s="246" t="n">
        <v>32.36</v>
      </c>
      <c r="AS35" s="246" t="n">
        <v>33.33</v>
      </c>
      <c r="AT35" s="246" t="n">
        <v>10</v>
      </c>
      <c r="AU35" s="246" t="n">
        <v>53.75</v>
      </c>
      <c r="AV35" s="246" t="n">
        <v>44.17</v>
      </c>
      <c r="AW35" s="246" t="n"/>
      <c r="AX35" s="246" t="n"/>
      <c r="AY35" s="246" t="n"/>
      <c r="AZ35" s="246" t="n"/>
      <c r="BA35" s="246" t="n"/>
      <c r="BB35" s="246" t="n"/>
      <c r="BC35" s="246" t="n"/>
      <c r="BD35" s="246" t="n"/>
      <c r="BE35" s="246" t="n"/>
      <c r="BF35" s="246" t="n"/>
      <c r="BG35" s="246" t="n"/>
      <c r="BH35" s="246" t="n"/>
      <c r="BI35" s="246" t="n"/>
      <c r="BJ35" s="246" t="n"/>
      <c r="BK35" s="246" t="n"/>
      <c r="BL35" s="246" t="n"/>
      <c r="BM35" s="246" t="n"/>
      <c r="BN35" s="246" t="n"/>
      <c r="BP35" s="179">
        <f>AVERAGE(AM35)</f>
        <v/>
      </c>
      <c r="BQ35" s="180">
        <f>AVERAGE(AR35:AS35,AE35,Z35)</f>
        <v/>
      </c>
      <c r="BR35" s="180">
        <f>AVERAGE(AT35,AO35,AG35)</f>
        <v/>
      </c>
      <c r="BS35" s="180">
        <f>AVERAGE(AN35,AB35)</f>
        <v/>
      </c>
      <c r="BT35" s="180">
        <f>AVERAGE(AF35,AA35)</f>
        <v/>
      </c>
      <c r="BU35" s="180" t="n"/>
      <c r="BV35" s="180" t="n"/>
      <c r="BW35" s="180" t="n"/>
      <c r="BX35" s="180" t="n"/>
      <c r="BY35" s="180">
        <f>AVERAGE(#REF!)</f>
        <v/>
      </c>
    </row>
    <row r="36" ht="14.25" customHeight="1" s="590">
      <c r="B36" s="352" t="inlineStr">
        <is>
          <t>Class Average</t>
        </is>
      </c>
      <c r="C36" s="674" t="n"/>
      <c r="D36" s="674" t="n"/>
      <c r="E36" s="118">
        <f>AVERAGE(E9:E27)</f>
        <v/>
      </c>
      <c r="F36" s="118">
        <f>AVERAGE(F9:F27)</f>
        <v/>
      </c>
      <c r="G36" s="118">
        <f>AVERAGE(G9:G27)</f>
        <v/>
      </c>
      <c r="H36" s="118">
        <f>AVERAGE(H9:H27)</f>
        <v/>
      </c>
      <c r="I36" s="118">
        <f>AVERAGE(I9:I27)</f>
        <v/>
      </c>
      <c r="J36" s="118">
        <f>AVERAGE(J9:J27)</f>
        <v/>
      </c>
      <c r="K36" s="118">
        <f>AVERAGE(K9:K27)</f>
        <v/>
      </c>
      <c r="L36" s="675" t="n"/>
      <c r="M36" s="118">
        <f>AVERAGE(M9:M27)</f>
        <v/>
      </c>
      <c r="N36" s="118">
        <f>AVERAGE(N9:N27)</f>
        <v/>
      </c>
      <c r="O36" s="118">
        <f>AVERAGE(O9:O27)</f>
        <v/>
      </c>
      <c r="P36" s="118">
        <f>AVERAGE(P9:P27)</f>
        <v/>
      </c>
      <c r="Q36" s="118">
        <f>AVERAGE(Q9:Q27)</f>
        <v/>
      </c>
      <c r="R36" s="514">
        <f>AVERAGE(R9:R27)</f>
        <v/>
      </c>
      <c r="S36" s="118">
        <f>AVERAGE(S9:S27)</f>
        <v/>
      </c>
      <c r="T36" s="118">
        <f>AVERAGE(T9:T27)</f>
        <v/>
      </c>
      <c r="U36" s="118">
        <f>AVERAGE(U9:U27)</f>
        <v/>
      </c>
      <c r="V36" s="118">
        <f>AVERAGE(V9:V27)</f>
        <v/>
      </c>
      <c r="W36" s="118">
        <f>AVERAGE(W9:W27)</f>
        <v/>
      </c>
      <c r="X36" s="118">
        <f>AVERAGE(X9:X27)</f>
        <v/>
      </c>
      <c r="Y36" s="118">
        <f>AVERAGE(Y9:Y27)</f>
        <v/>
      </c>
      <c r="Z36" s="18">
        <f>AVERAGE(Z9:Z35)</f>
        <v/>
      </c>
      <c r="AA36" s="18">
        <f>AVERAGE(AA9:AA35)</f>
        <v/>
      </c>
      <c r="AB36" s="18">
        <f>AVERAGE(AB9:AB35)</f>
        <v/>
      </c>
      <c r="AC36" s="18">
        <f>AVERAGE(AC9:AC35)</f>
        <v/>
      </c>
      <c r="AD36" s="18">
        <f>AVERAGE(AD9:AD35)</f>
        <v/>
      </c>
      <c r="AE36" s="18">
        <f>AVERAGE(AE9:AE35)</f>
        <v/>
      </c>
      <c r="AF36" s="18">
        <f>AVERAGE(AF9:AF35)</f>
        <v/>
      </c>
      <c r="AG36" s="18">
        <f>AVERAGE(AG9:AG35)</f>
        <v/>
      </c>
      <c r="AH36" s="18">
        <f>AVERAGE(AH9:AH35)</f>
        <v/>
      </c>
      <c r="AI36" s="18">
        <f>AVERAGE(AI9:AI35)</f>
        <v/>
      </c>
      <c r="AJ36" s="18">
        <f>AVERAGE(AJ9:AJ35)</f>
        <v/>
      </c>
      <c r="AK36" s="18">
        <f>AVERAGE(AK9:AK35)</f>
        <v/>
      </c>
      <c r="AL36" s="18">
        <f>AVERAGE(AL9:AL35)</f>
        <v/>
      </c>
      <c r="AM36" s="18">
        <f>AVERAGE(AM9:AM35)</f>
        <v/>
      </c>
      <c r="AN36" s="18">
        <f>AVERAGE(AN9:AN35)</f>
        <v/>
      </c>
      <c r="AO36" s="18">
        <f>AVERAGE(AO9:AO35)</f>
        <v/>
      </c>
      <c r="AP36" s="18">
        <f>AVERAGE(AP9:AP35)</f>
        <v/>
      </c>
      <c r="AQ36" s="18">
        <f>AVERAGE(AQ9:AQ35)</f>
        <v/>
      </c>
      <c r="AR36" s="18">
        <f>AVERAGE(AR9:AR35)</f>
        <v/>
      </c>
      <c r="AS36" s="18">
        <f>AVERAGE(AS9:AS35)</f>
        <v/>
      </c>
      <c r="AT36" s="18">
        <f>AVERAGE(AT9:AT35)</f>
        <v/>
      </c>
      <c r="AU36" s="18">
        <f>AVERAGE(AU9:AU35)</f>
        <v/>
      </c>
      <c r="AV36" s="18">
        <f>AVERAGE(AV9:AV35)</f>
        <v/>
      </c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605" t="n"/>
      <c r="BP36" s="181">
        <f>AVERAGE(BP9:BP35)</f>
        <v/>
      </c>
      <c r="BQ36" s="181">
        <f>AVERAGE(BQ9:BQ35)</f>
        <v/>
      </c>
      <c r="BR36" s="181">
        <f>AVERAGE(BR9:BR35)</f>
        <v/>
      </c>
      <c r="BS36" s="181">
        <f>AVERAGE(BS9:BS35)</f>
        <v/>
      </c>
      <c r="BT36" s="181">
        <f>AVERAGE(BT9:BT35)</f>
        <v/>
      </c>
      <c r="BU36" s="181" t="n"/>
      <c r="BV36" s="181" t="n"/>
      <c r="BW36" s="181" t="inlineStr">
        <is>
          <t xml:space="preserve"> </t>
        </is>
      </c>
      <c r="BX36" s="181" t="inlineStr">
        <is>
          <t xml:space="preserve"> </t>
        </is>
      </c>
      <c r="BY36" s="181">
        <f>AVERAGE(BY9:BY35)</f>
        <v/>
      </c>
    </row>
    <row r="37">
      <c r="AL37" s="589">
        <f>IF(AL9="","",IF(AL9&lt;50,"U","S"))</f>
        <v/>
      </c>
    </row>
    <row r="38">
      <c r="AL38" s="589">
        <f>IF(AL10="","",IF(AL10&lt;50,"U","S"))</f>
        <v/>
      </c>
    </row>
    <row r="39">
      <c r="AL39" s="589">
        <f>IF(AL11="","",IF(AL11&lt;50,"U","S"))</f>
        <v/>
      </c>
    </row>
    <row r="40">
      <c r="AL40" s="589">
        <f>IF(AL12="","",IF(AL12&lt;50,"U","S"))</f>
        <v/>
      </c>
    </row>
    <row r="41">
      <c r="AL41" s="589">
        <f>IF(AL13="","",IF(AL13&lt;50,"U","S"))</f>
        <v/>
      </c>
    </row>
    <row r="42">
      <c r="AL42" s="589">
        <f>IF(AL14="","",IF(AL14&lt;50,"U","S"))</f>
        <v/>
      </c>
    </row>
    <row r="43">
      <c r="AL43" s="589">
        <f>IF(AL15="","",IF(AL15&lt;50,"U","S"))</f>
        <v/>
      </c>
    </row>
    <row r="44">
      <c r="AL44" s="589">
        <f>IF(AL16="","",IF(AL16&lt;50,"U","S"))</f>
        <v/>
      </c>
    </row>
    <row r="45">
      <c r="AL45" s="589">
        <f>IF(AL17="","",IF(AL17&lt;50,"U","S"))</f>
        <v/>
      </c>
    </row>
    <row r="46">
      <c r="AL46" s="589">
        <f>IF(AL18="","",IF(AL18&lt;50,"U","S"))</f>
        <v/>
      </c>
    </row>
    <row r="47">
      <c r="AL47" s="589">
        <f>IF(AL19="","",IF(AL19&lt;50,"U","S"))</f>
        <v/>
      </c>
    </row>
    <row r="48">
      <c r="AL48" s="589">
        <f>IF(AL20="","",IF(AL20&lt;50,"U","S"))</f>
        <v/>
      </c>
    </row>
    <row r="49">
      <c r="AL49" s="589">
        <f>IF(AL21="","",IF(AL21&lt;50,"U","S"))</f>
        <v/>
      </c>
    </row>
    <row r="50">
      <c r="AL50" s="589">
        <f>IF(AL22="","",IF(AL22&lt;50,"U","S"))</f>
        <v/>
      </c>
    </row>
    <row r="51">
      <c r="AL51" s="589">
        <f>IF(AL23="","",IF(AL23&lt;50,"U","S"))</f>
        <v/>
      </c>
    </row>
    <row r="52">
      <c r="AL52" s="589">
        <f>IF(AL24="","",IF(AL24&lt;50,"U","S"))</f>
        <v/>
      </c>
    </row>
    <row r="53">
      <c r="AL53" s="589">
        <f>IF(AL25="","",IF(AL25&lt;50,"U","S"))</f>
        <v/>
      </c>
    </row>
    <row r="54">
      <c r="AL54" s="589">
        <f>IF(AL26="","",IF(AL26&lt;50,"U","S"))</f>
        <v/>
      </c>
    </row>
    <row r="55">
      <c r="AL55" s="589">
        <f>IF(AL27="","",IF(AL27&lt;50,"U","S"))</f>
        <v/>
      </c>
    </row>
    <row r="56">
      <c r="AL56" s="589">
        <f>IF(AL28="","",IF(AL28&lt;50,"U","S"))</f>
        <v/>
      </c>
    </row>
  </sheetData>
  <mergeCells count="130">
    <mergeCell ref="E4:Y4"/>
    <mergeCell ref="K24:L24"/>
    <mergeCell ref="R27:T27"/>
    <mergeCell ref="K33:L33"/>
    <mergeCell ref="I26:J26"/>
    <mergeCell ref="BG5:BK5"/>
    <mergeCell ref="R20:T20"/>
    <mergeCell ref="K26:L26"/>
    <mergeCell ref="K35:L35"/>
    <mergeCell ref="I16:J16"/>
    <mergeCell ref="I25:J25"/>
    <mergeCell ref="B4:B8"/>
    <mergeCell ref="R22:T22"/>
    <mergeCell ref="AM7:AO7"/>
    <mergeCell ref="I18:J18"/>
    <mergeCell ref="BG7:BI7"/>
    <mergeCell ref="R5:T5"/>
    <mergeCell ref="R14:T14"/>
    <mergeCell ref="R23:T23"/>
    <mergeCell ref="BL5:BN5"/>
    <mergeCell ref="Z5:AD5"/>
    <mergeCell ref="AR5:AV5"/>
    <mergeCell ref="I20:J20"/>
    <mergeCell ref="AP7:AQ7"/>
    <mergeCell ref="K28:L28"/>
    <mergeCell ref="I13:J13"/>
    <mergeCell ref="K13:L13"/>
    <mergeCell ref="Z7:AB7"/>
    <mergeCell ref="R24:T24"/>
    <mergeCell ref="I30:J30"/>
    <mergeCell ref="AJ7:AL7"/>
    <mergeCell ref="K30:L30"/>
    <mergeCell ref="I15:J15"/>
    <mergeCell ref="K15:L15"/>
    <mergeCell ref="R26:T26"/>
    <mergeCell ref="R35:T35"/>
    <mergeCell ref="M5:Q5"/>
    <mergeCell ref="K21:L21"/>
    <mergeCell ref="BL7:BN7"/>
    <mergeCell ref="G7:H7"/>
    <mergeCell ref="I32:J32"/>
    <mergeCell ref="I7:J7"/>
    <mergeCell ref="K32:L32"/>
    <mergeCell ref="R17:T17"/>
    <mergeCell ref="AM5:AQ5"/>
    <mergeCell ref="E5:H5"/>
    <mergeCell ref="AW5:BA5"/>
    <mergeCell ref="Z4:AQ4"/>
    <mergeCell ref="B36:D36"/>
    <mergeCell ref="I24:J24"/>
    <mergeCell ref="I33:J33"/>
    <mergeCell ref="X5:Y5"/>
    <mergeCell ref="R9:T9"/>
    <mergeCell ref="K27:L27"/>
    <mergeCell ref="I8:J8"/>
    <mergeCell ref="I17:J17"/>
    <mergeCell ref="K17:L17"/>
    <mergeCell ref="AE7:AG7"/>
    <mergeCell ref="I35:J35"/>
    <mergeCell ref="R29:T29"/>
    <mergeCell ref="R11:T11"/>
    <mergeCell ref="AW7:AY7"/>
    <mergeCell ref="I10:J10"/>
    <mergeCell ref="K10:L10"/>
    <mergeCell ref="R13:T13"/>
    <mergeCell ref="I19:J19"/>
    <mergeCell ref="K19:L19"/>
    <mergeCell ref="R31:T31"/>
    <mergeCell ref="I9:J9"/>
    <mergeCell ref="K16:L16"/>
    <mergeCell ref="R15:T15"/>
    <mergeCell ref="K25:L25"/>
    <mergeCell ref="K9:L9"/>
    <mergeCell ref="I11:J11"/>
    <mergeCell ref="R12:T12"/>
    <mergeCell ref="R21:T21"/>
    <mergeCell ref="D4:D8"/>
    <mergeCell ref="K29:L29"/>
    <mergeCell ref="K11:L11"/>
    <mergeCell ref="K31:L31"/>
    <mergeCell ref="I21:J21"/>
    <mergeCell ref="R33:T33"/>
    <mergeCell ref="K8:L8"/>
    <mergeCell ref="I23:J23"/>
    <mergeCell ref="K23:L23"/>
    <mergeCell ref="K7:L7"/>
    <mergeCell ref="AU7:AV7"/>
    <mergeCell ref="R19:T19"/>
    <mergeCell ref="E7:F7"/>
    <mergeCell ref="A3:A36"/>
    <mergeCell ref="R28:T28"/>
    <mergeCell ref="BE7:BF7"/>
    <mergeCell ref="AE5:AI5"/>
    <mergeCell ref="BO3:BO36"/>
    <mergeCell ref="R25:T25"/>
    <mergeCell ref="K18:L18"/>
    <mergeCell ref="B3:AQ3"/>
    <mergeCell ref="R30:T30"/>
    <mergeCell ref="I34:J34"/>
    <mergeCell ref="K34:L34"/>
    <mergeCell ref="AC7:AD7"/>
    <mergeCell ref="I27:J27"/>
    <mergeCell ref="M7:O7"/>
    <mergeCell ref="K36:L36"/>
    <mergeCell ref="K20:L20"/>
    <mergeCell ref="R32:T32"/>
    <mergeCell ref="AJ5:AL5"/>
    <mergeCell ref="I22:J22"/>
    <mergeCell ref="I28:J28"/>
    <mergeCell ref="BB5:BF5"/>
    <mergeCell ref="K22:L22"/>
    <mergeCell ref="I12:J12"/>
    <mergeCell ref="K12:L12"/>
    <mergeCell ref="U5:W5"/>
    <mergeCell ref="P7:Q7"/>
    <mergeCell ref="AZ7:BA7"/>
    <mergeCell ref="R18:T18"/>
    <mergeCell ref="BJ7:BK7"/>
    <mergeCell ref="R8:T8"/>
    <mergeCell ref="I14:J14"/>
    <mergeCell ref="K14:L14"/>
    <mergeCell ref="AR7:AT7"/>
    <mergeCell ref="BB7:BD7"/>
    <mergeCell ref="I29:J29"/>
    <mergeCell ref="AH7:AI7"/>
    <mergeCell ref="R10:T10"/>
    <mergeCell ref="I31:J31"/>
    <mergeCell ref="R34:T34"/>
    <mergeCell ref="R16:T16"/>
    <mergeCell ref="I5:L5"/>
  </mergeCells>
  <conditionalFormatting sqref="R9 Z36:BN36">
    <cfRule type="cellIs" priority="223" operator="lessThan" dxfId="0">
      <formula>5</formula>
    </cfRule>
  </conditionalFormatting>
  <conditionalFormatting sqref="I10">
    <cfRule type="cellIs" priority="201" operator="lessThan" dxfId="0">
      <formula>5</formula>
    </cfRule>
  </conditionalFormatting>
  <conditionalFormatting sqref="R10">
    <cfRule type="cellIs" priority="231" operator="lessThan" dxfId="0">
      <formula>5</formula>
    </cfRule>
  </conditionalFormatting>
  <conditionalFormatting sqref="I11">
    <cfRule type="cellIs" priority="200" operator="lessThan" dxfId="0">
      <formula>5</formula>
    </cfRule>
  </conditionalFormatting>
  <conditionalFormatting sqref="R11">
    <cfRule type="cellIs" priority="226" operator="lessThan" dxfId="0">
      <formula>5</formula>
    </cfRule>
  </conditionalFormatting>
  <conditionalFormatting sqref="I12">
    <cfRule type="cellIs" priority="199" operator="lessThan" dxfId="0">
      <formula>5</formula>
    </cfRule>
  </conditionalFormatting>
  <conditionalFormatting sqref="R12">
    <cfRule type="cellIs" priority="225" operator="lessThan" dxfId="0">
      <formula>5</formula>
    </cfRule>
  </conditionalFormatting>
  <conditionalFormatting sqref="I13">
    <cfRule type="cellIs" priority="198" operator="lessThan" dxfId="0">
      <formula>5</formula>
    </cfRule>
  </conditionalFormatting>
  <conditionalFormatting sqref="R13">
    <cfRule type="cellIs" priority="224" operator="lessThan" dxfId="0">
      <formula>5</formula>
    </cfRule>
  </conditionalFormatting>
  <conditionalFormatting sqref="I14">
    <cfRule type="cellIs" priority="197" operator="lessThan" dxfId="0">
      <formula>5</formula>
    </cfRule>
  </conditionalFormatting>
  <conditionalFormatting sqref="I15">
    <cfRule type="cellIs" priority="196" operator="lessThan" dxfId="0">
      <formula>5</formula>
    </cfRule>
  </conditionalFormatting>
  <conditionalFormatting sqref="R15">
    <cfRule type="cellIs" priority="230" operator="lessThan" dxfId="0">
      <formula>5</formula>
    </cfRule>
  </conditionalFormatting>
  <conditionalFormatting sqref="I16">
    <cfRule type="cellIs" priority="195" operator="lessThan" dxfId="0">
      <formula>5</formula>
    </cfRule>
  </conditionalFormatting>
  <conditionalFormatting sqref="R16">
    <cfRule type="cellIs" priority="229" operator="lessThan" dxfId="0">
      <formula>5</formula>
    </cfRule>
  </conditionalFormatting>
  <conditionalFormatting sqref="I17">
    <cfRule type="cellIs" priority="194" operator="lessThan" dxfId="0">
      <formula>5</formula>
    </cfRule>
  </conditionalFormatting>
  <conditionalFormatting sqref="R17">
    <cfRule type="cellIs" priority="228" operator="lessThan" dxfId="0">
      <formula>5</formula>
    </cfRule>
  </conditionalFormatting>
  <conditionalFormatting sqref="I18">
    <cfRule type="cellIs" priority="193" operator="lessThan" dxfId="0">
      <formula>5</formula>
    </cfRule>
  </conditionalFormatting>
  <conditionalFormatting sqref="R18">
    <cfRule type="cellIs" priority="227" operator="lessThan" dxfId="0">
      <formula>5</formula>
    </cfRule>
  </conditionalFormatting>
  <conditionalFormatting sqref="I19">
    <cfRule type="cellIs" priority="192" operator="lessThan" dxfId="0">
      <formula>5</formula>
    </cfRule>
  </conditionalFormatting>
  <conditionalFormatting sqref="R19">
    <cfRule type="cellIs" priority="246" operator="lessThan" dxfId="0">
      <formula>5</formula>
    </cfRule>
  </conditionalFormatting>
  <conditionalFormatting sqref="I20">
    <cfRule type="cellIs" priority="191" operator="lessThan" dxfId="0">
      <formula>5</formula>
    </cfRule>
  </conditionalFormatting>
  <conditionalFormatting sqref="R20">
    <cfRule type="cellIs" priority="209" operator="lessThan" dxfId="0">
      <formula>5</formula>
    </cfRule>
  </conditionalFormatting>
  <conditionalFormatting sqref="I21">
    <cfRule type="cellIs" priority="190" operator="lessThan" dxfId="0">
      <formula>5</formula>
    </cfRule>
  </conditionalFormatting>
  <conditionalFormatting sqref="R21">
    <cfRule type="cellIs" priority="208" operator="lessThan" dxfId="0">
      <formula>5</formula>
    </cfRule>
  </conditionalFormatting>
  <conditionalFormatting sqref="I22">
    <cfRule type="cellIs" priority="189" operator="lessThan" dxfId="0">
      <formula>5</formula>
    </cfRule>
  </conditionalFormatting>
  <conditionalFormatting sqref="R22">
    <cfRule type="cellIs" priority="210" operator="lessThan" dxfId="0">
      <formula>5</formula>
    </cfRule>
  </conditionalFormatting>
  <conditionalFormatting sqref="I23">
    <cfRule type="cellIs" priority="188" operator="lessThan" dxfId="0">
      <formula>5</formula>
    </cfRule>
  </conditionalFormatting>
  <conditionalFormatting sqref="R23">
    <cfRule type="cellIs" priority="211" operator="lessThan" dxfId="0">
      <formula>5</formula>
    </cfRule>
  </conditionalFormatting>
  <conditionalFormatting sqref="I24">
    <cfRule type="cellIs" priority="187" operator="lessThan" dxfId="0">
      <formula>5</formula>
    </cfRule>
  </conditionalFormatting>
  <conditionalFormatting sqref="R24">
    <cfRule type="cellIs" priority="245" operator="lessThan" dxfId="0">
      <formula>5</formula>
    </cfRule>
  </conditionalFormatting>
  <conditionalFormatting sqref="I25">
    <cfRule type="cellIs" priority="186" operator="lessThan" dxfId="0">
      <formula>5</formula>
    </cfRule>
  </conditionalFormatting>
  <conditionalFormatting sqref="R25">
    <cfRule type="cellIs" priority="244" operator="lessThan" dxfId="0">
      <formula>5</formula>
    </cfRule>
  </conditionalFormatting>
  <conditionalFormatting sqref="I26">
    <cfRule type="cellIs" priority="185" operator="lessThan" dxfId="0">
      <formula>5</formula>
    </cfRule>
  </conditionalFormatting>
  <conditionalFormatting sqref="R26">
    <cfRule type="cellIs" priority="243" operator="lessThan" dxfId="0">
      <formula>5</formula>
    </cfRule>
  </conditionalFormatting>
  <conditionalFormatting sqref="I27">
    <cfRule type="cellIs" priority="184" operator="lessThan" dxfId="0">
      <formula>5</formula>
    </cfRule>
  </conditionalFormatting>
  <conditionalFormatting sqref="R27">
    <cfRule type="cellIs" priority="214" operator="lessThan" dxfId="0">
      <formula>5</formula>
    </cfRule>
  </conditionalFormatting>
  <conditionalFormatting sqref="I28">
    <cfRule type="cellIs" priority="183" operator="lessThan" dxfId="0">
      <formula>5</formula>
    </cfRule>
  </conditionalFormatting>
  <conditionalFormatting sqref="R28">
    <cfRule type="cellIs" priority="213" operator="lessThan" dxfId="0">
      <formula>5</formula>
    </cfRule>
  </conditionalFormatting>
  <conditionalFormatting sqref="I29">
    <cfRule type="cellIs" priority="182" operator="lessThan" dxfId="0">
      <formula>5</formula>
    </cfRule>
  </conditionalFormatting>
  <conditionalFormatting sqref="R29">
    <cfRule type="cellIs" priority="212" operator="lessThan" dxfId="0">
      <formula>5</formula>
    </cfRule>
  </conditionalFormatting>
  <conditionalFormatting sqref="I30">
    <cfRule type="cellIs" priority="181" operator="lessThan" dxfId="0">
      <formula>5</formula>
    </cfRule>
  </conditionalFormatting>
  <conditionalFormatting sqref="R30">
    <cfRule type="cellIs" priority="242" operator="lessThan" dxfId="0">
      <formula>5</formula>
    </cfRule>
  </conditionalFormatting>
  <conditionalFormatting sqref="I31">
    <cfRule type="cellIs" priority="180" operator="lessThan" dxfId="0">
      <formula>5</formula>
    </cfRule>
  </conditionalFormatting>
  <conditionalFormatting sqref="R31">
    <cfRule type="cellIs" priority="207" operator="lessThan" dxfId="0">
      <formula>5</formula>
    </cfRule>
  </conditionalFormatting>
  <conditionalFormatting sqref="I32">
    <cfRule type="cellIs" priority="179" operator="lessThan" dxfId="0">
      <formula>5</formula>
    </cfRule>
  </conditionalFormatting>
  <conditionalFormatting sqref="R32">
    <cfRule type="cellIs" priority="206" operator="lessThan" dxfId="0">
      <formula>5</formula>
    </cfRule>
  </conditionalFormatting>
  <conditionalFormatting sqref="I33">
    <cfRule type="cellIs" priority="178" operator="lessThan" dxfId="0">
      <formula>5</formula>
    </cfRule>
  </conditionalFormatting>
  <conditionalFormatting sqref="R33">
    <cfRule type="cellIs" priority="241" operator="lessThan" dxfId="0">
      <formula>5</formula>
    </cfRule>
  </conditionalFormatting>
  <conditionalFormatting sqref="I34">
    <cfRule type="cellIs" priority="177" operator="lessThan" dxfId="0">
      <formula>5</formula>
    </cfRule>
  </conditionalFormatting>
  <conditionalFormatting sqref="R34">
    <cfRule type="cellIs" priority="205" operator="lessThan" dxfId="0">
      <formula>5</formula>
    </cfRule>
  </conditionalFormatting>
  <conditionalFormatting sqref="I35">
    <cfRule type="cellIs" priority="176" operator="lessThan" dxfId="0">
      <formula>5</formula>
    </cfRule>
  </conditionalFormatting>
  <conditionalFormatting sqref="R35">
    <cfRule type="cellIs" priority="204" operator="lessThan" dxfId="0">
      <formula>5</formula>
    </cfRule>
  </conditionalFormatting>
  <conditionalFormatting sqref="U35:Y35">
    <cfRule type="cellIs" priority="407" operator="lessThan" dxfId="0">
      <formula>5</formula>
    </cfRule>
  </conditionalFormatting>
  <conditionalFormatting sqref="K9:K35">
    <cfRule type="cellIs" priority="259" operator="lessThan" dxfId="0">
      <formula>5</formula>
    </cfRule>
  </conditionalFormatting>
  <conditionalFormatting sqref="E9:I9 E10:H29 M9:N29 O9:Q13 O14:R14 O15:Q29">
    <cfRule type="cellIs" priority="250" operator="lessThan" dxfId="0">
      <formula>5</formula>
    </cfRule>
  </conditionalFormatting>
  <conditionalFormatting sqref="E36:K36 M36:Y36">
    <cfRule type="cellIs" priority="459" operator="lessThan" dxfId="0">
      <formula>5</formula>
    </cfRule>
  </conditionalFormatting>
  <conditionalFormatting sqref="U9:Y28">
    <cfRule type="cellIs" priority="253" operator="lessThan" dxfId="0">
      <formula>5</formula>
    </cfRule>
  </conditionalFormatting>
  <conditionalFormatting sqref="U29:Y31">
    <cfRule type="cellIs" priority="252" operator="lessThan" dxfId="0">
      <formula>5</formula>
    </cfRule>
  </conditionalFormatting>
  <conditionalFormatting sqref="E30:H32 M30:Q32">
    <cfRule type="cellIs" priority="249" operator="lessThan" dxfId="0">
      <formula>5</formula>
    </cfRule>
  </conditionalFormatting>
  <conditionalFormatting sqref="U32:Y34">
    <cfRule type="cellIs" priority="251" operator="lessThan" dxfId="0">
      <formula>5</formula>
    </cfRule>
  </conditionalFormatting>
  <conditionalFormatting sqref="E33:H35 M33:Q35">
    <cfRule type="cellIs" priority="248" operator="lessThan" dxfId="0">
      <formula>5</formula>
    </cfRule>
  </conditionalFormatting>
  <conditionalFormatting sqref="Z9:AB35">
    <cfRule type="cellIs" priority="13" operator="lessThan" dxfId="0">
      <formula>5</formula>
    </cfRule>
  </conditionalFormatting>
  <conditionalFormatting sqref="AC9:AD35 AJ9:AL35">
    <cfRule type="cellIs" priority="12" operator="lessThan" dxfId="0">
      <formula>5</formula>
    </cfRule>
  </conditionalFormatting>
  <conditionalFormatting sqref="AE9:AG35">
    <cfRule type="cellIs" priority="11" operator="lessThan" dxfId="0">
      <formula>5</formula>
    </cfRule>
  </conditionalFormatting>
  <conditionalFormatting sqref="AM9:AO35">
    <cfRule type="cellIs" priority="10" operator="lessThan" dxfId="0">
      <formula>5</formula>
    </cfRule>
  </conditionalFormatting>
  <conditionalFormatting sqref="AH9:AI35">
    <cfRule type="cellIs" priority="8" operator="lessThan" dxfId="0">
      <formula>5</formula>
    </cfRule>
  </conditionalFormatting>
  <conditionalFormatting sqref="AP9:AQ35">
    <cfRule type="cellIs" priority="7" operator="lessThan" dxfId="0">
      <formula>5</formula>
    </cfRule>
  </conditionalFormatting>
  <conditionalFormatting sqref="AR9:AT35">
    <cfRule type="cellIs" priority="6" operator="lessThan" dxfId="0">
      <formula>5</formula>
    </cfRule>
  </conditionalFormatting>
  <conditionalFormatting sqref="AU9:AV35 AZ9:BA35 BE9:BF35 BJ9:BK35">
    <cfRule type="cellIs" priority="5" operator="lessThan" dxfId="0">
      <formula>5</formula>
    </cfRule>
  </conditionalFormatting>
  <conditionalFormatting sqref="AW9:AY35">
    <cfRule type="cellIs" priority="4" operator="lessThan" dxfId="0">
      <formula>5</formula>
    </cfRule>
  </conditionalFormatting>
  <conditionalFormatting sqref="BB9:BD35">
    <cfRule type="cellIs" priority="3" operator="lessThan" dxfId="0">
      <formula>5</formula>
    </cfRule>
  </conditionalFormatting>
  <conditionalFormatting sqref="BG9:BI35">
    <cfRule type="cellIs" priority="2" operator="lessThan" dxfId="0">
      <formula>5</formula>
    </cfRule>
  </conditionalFormatting>
  <conditionalFormatting sqref="BL9:BN35">
    <cfRule type="cellIs" priority="1" operator="lessThan" dxfId="0">
      <formula>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O35"/>
  <sheetViews>
    <sheetView topLeftCell="AH17" zoomScale="40" zoomScaleNormal="40" workbookViewId="0">
      <selection activeCell="AL4" sqref="AL4:AP21"/>
    </sheetView>
  </sheetViews>
  <sheetFormatPr baseColWidth="8" defaultColWidth="9.125" defaultRowHeight="13.5" customHeight="1"/>
  <cols>
    <col width="22.5" customWidth="1" style="590" min="3" max="3"/>
    <col width="26.875" customWidth="1" style="590" min="4" max="4"/>
    <col width="9.125" customWidth="1" style="590" min="5" max="24"/>
    <col width="14.875" customWidth="1" style="590" min="27" max="41"/>
    <col hidden="1" width="9.125" customWidth="1" style="590" min="42" max="134"/>
  </cols>
  <sheetData>
    <row r="1" ht="25.5" customHeight="1" s="590">
      <c r="A1" s="337" t="inlineStr">
        <is>
          <t>Batch  Fall 2018</t>
        </is>
      </c>
      <c r="B1" s="1" t="n"/>
      <c r="C1" s="1" t="n"/>
      <c r="D1" s="1" t="n"/>
      <c r="E1" s="386" t="inlineStr">
        <is>
          <t xml:space="preserve">Assessment of Fall 2025 GA's </t>
        </is>
      </c>
      <c r="ED1" s="591" t="n"/>
      <c r="EE1" s="592" t="inlineStr">
        <is>
          <t>Attainment of GAs</t>
        </is>
      </c>
      <c r="EF1" s="336" t="inlineStr">
        <is>
          <t>Attainment of Graduate Attribute</t>
        </is>
      </c>
    </row>
    <row r="2" ht="24" customHeight="1" s="590">
      <c r="B2" s="671" t="inlineStr">
        <is>
          <t>Sr. No.</t>
        </is>
      </c>
      <c r="C2" s="341" t="n"/>
      <c r="D2" s="593" t="inlineStr">
        <is>
          <t>Student Name</t>
        </is>
      </c>
      <c r="E2" s="387" t="inlineStr">
        <is>
          <t>Semester 5</t>
        </is>
      </c>
      <c r="AB2" s="387" t="n"/>
      <c r="AC2" s="387" t="n"/>
      <c r="AD2" s="387" t="n"/>
      <c r="AE2" s="387" t="inlineStr">
        <is>
          <t>Semester 6</t>
        </is>
      </c>
      <c r="AF2" s="387" t="n"/>
      <c r="AG2" s="387" t="n"/>
      <c r="AH2" s="387" t="n"/>
      <c r="AI2" s="387" t="n"/>
      <c r="AJ2" s="387" t="n"/>
      <c r="AK2" s="387" t="n"/>
      <c r="AL2" s="387" t="n"/>
      <c r="AM2" s="387" t="n"/>
      <c r="AN2" s="387" t="n"/>
      <c r="AO2" s="387" t="n"/>
      <c r="AP2" s="388" t="inlineStr">
        <is>
          <t>Semester 6</t>
        </is>
      </c>
      <c r="BM2" s="388" t="n"/>
      <c r="BN2" s="388" t="n"/>
      <c r="BO2" s="388" t="n"/>
      <c r="BP2" s="388" t="n"/>
      <c r="BQ2" s="388" t="n"/>
      <c r="BR2" s="388" t="n"/>
      <c r="BS2" s="389" t="inlineStr">
        <is>
          <t>Semester 7</t>
        </is>
      </c>
      <c r="BT2" s="605" t="n"/>
      <c r="BU2" s="605" t="n"/>
      <c r="BV2" s="605" t="n"/>
      <c r="BW2" s="605" t="n"/>
      <c r="BX2" s="605" t="n"/>
      <c r="BY2" s="605" t="n"/>
      <c r="BZ2" s="605" t="n"/>
      <c r="CA2" s="605" t="n"/>
      <c r="CB2" s="605" t="n"/>
      <c r="CC2" s="605" t="n"/>
      <c r="CD2" s="605" t="n"/>
      <c r="CE2" s="605" t="n"/>
      <c r="CF2" s="605" t="n"/>
      <c r="CG2" s="605" t="n"/>
      <c r="CH2" s="605" t="n"/>
      <c r="CI2" s="605" t="n"/>
      <c r="CJ2" s="605" t="n"/>
      <c r="CK2" s="605" t="n"/>
      <c r="CL2" s="605" t="n"/>
      <c r="CM2" s="605" t="n"/>
      <c r="CN2" s="605" t="n"/>
      <c r="CO2" s="605" t="n"/>
      <c r="CP2" s="605" t="n"/>
      <c r="CQ2" s="3" t="n"/>
      <c r="CR2" s="3" t="n"/>
      <c r="CS2" s="3" t="n"/>
      <c r="CT2" s="3" t="n"/>
      <c r="CU2" s="3" t="n"/>
      <c r="CV2" s="3" t="n"/>
      <c r="CW2" s="3" t="n"/>
      <c r="CX2" s="3" t="n"/>
      <c r="CY2" s="390" t="inlineStr">
        <is>
          <t>Semester - 8</t>
        </is>
      </c>
      <c r="EE2" s="606" t="n"/>
      <c r="EF2" s="607" t="n"/>
      <c r="EG2" s="607" t="n"/>
      <c r="EH2" s="607" t="n"/>
      <c r="EI2" s="607" t="n"/>
      <c r="EJ2" s="607" t="n"/>
      <c r="EK2" s="607" t="n"/>
      <c r="EL2" s="607" t="n"/>
      <c r="EM2" s="607" t="n"/>
      <c r="EN2" s="607" t="n"/>
      <c r="EO2" s="607" t="n"/>
    </row>
    <row r="3" ht="24" customHeight="1" s="590">
      <c r="B3" s="606" t="n"/>
      <c r="C3" s="342" t="n"/>
      <c r="D3" s="608" t="n"/>
      <c r="E3" s="628" t="inlineStr">
        <is>
          <t>Machine Learning</t>
        </is>
      </c>
      <c r="F3" s="598" t="n"/>
      <c r="G3" s="598" t="n"/>
      <c r="H3" s="598" t="n"/>
      <c r="I3" s="629" t="n"/>
      <c r="J3" s="630" t="inlineStr">
        <is>
          <t>Computer Vision</t>
        </is>
      </c>
      <c r="K3" s="598" t="n"/>
      <c r="L3" s="598" t="n"/>
      <c r="M3" s="598" t="n"/>
      <c r="N3" s="599" t="n"/>
      <c r="O3" s="326" t="inlineStr">
        <is>
          <t xml:space="preserve">Acedemic Writing </t>
        </is>
      </c>
      <c r="P3" s="598" t="n"/>
      <c r="Q3" s="598" t="n"/>
      <c r="R3" s="598" t="n"/>
      <c r="S3" s="631" t="n"/>
      <c r="T3" s="632" t="inlineStr">
        <is>
          <t>Data Visualization</t>
        </is>
      </c>
      <c r="U3" s="598" t="n"/>
      <c r="V3" s="598" t="n"/>
      <c r="W3" s="598" t="n"/>
      <c r="X3" s="599" t="n"/>
      <c r="Y3" s="632" t="inlineStr">
        <is>
          <t xml:space="preserve">Parallel and Distributed Computing </t>
        </is>
      </c>
      <c r="Z3" s="598" t="n"/>
      <c r="AA3" s="599" t="n"/>
      <c r="AB3" s="630" t="n"/>
      <c r="AC3" s="598" t="n"/>
      <c r="AD3" s="598" t="n"/>
      <c r="AE3" s="598" t="n"/>
      <c r="AF3" s="599" t="n"/>
      <c r="AG3" s="326" t="n"/>
      <c r="AH3" s="598" t="n"/>
      <c r="AI3" s="598" t="n"/>
      <c r="AJ3" s="598" t="n"/>
      <c r="AK3" s="631" t="n"/>
      <c r="AL3" s="632" t="n"/>
      <c r="AM3" s="598" t="n"/>
      <c r="AN3" s="598" t="n"/>
      <c r="AO3" s="598" t="n"/>
      <c r="AP3" s="599" t="n"/>
      <c r="AQ3" s="632" t="inlineStr">
        <is>
          <t xml:space="preserve">Parallel and Distributed Computing </t>
        </is>
      </c>
      <c r="AR3" s="598" t="n"/>
      <c r="AS3" s="599" t="n"/>
      <c r="AT3" s="317" t="n"/>
      <c r="AU3" s="317" t="n"/>
      <c r="AV3" s="317" t="n"/>
      <c r="AW3" s="317" t="n"/>
      <c r="AX3" s="317" t="n"/>
      <c r="AY3" s="482" t="n"/>
      <c r="AZ3" s="483" t="n"/>
      <c r="BA3" s="634" t="inlineStr">
        <is>
          <t>Parallel and Distributed Computing</t>
        </is>
      </c>
      <c r="BB3" s="623" t="n"/>
      <c r="BC3" s="623" t="n"/>
      <c r="BD3" s="623" t="n"/>
      <c r="BE3" s="623" t="n"/>
      <c r="BF3" s="624" t="n"/>
      <c r="BG3" s="635" t="inlineStr">
        <is>
          <t>Academic &amp; Professional Writing</t>
        </is>
      </c>
      <c r="BH3" s="623" t="n"/>
      <c r="BI3" s="624" t="n"/>
      <c r="BJ3" s="397" t="inlineStr">
        <is>
          <t>Logical And Automated Reasoning</t>
        </is>
      </c>
      <c r="BK3" s="623" t="n"/>
      <c r="BL3" s="623" t="n"/>
      <c r="BM3" s="399" t="inlineStr">
        <is>
          <t>Data Visualization</t>
        </is>
      </c>
      <c r="BN3" s="623" t="n"/>
      <c r="BO3" s="623" t="n"/>
      <c r="BP3" s="623" t="n"/>
      <c r="BQ3" s="623" t="n"/>
      <c r="BR3" s="623" t="n"/>
      <c r="BS3" s="636" t="inlineStr">
        <is>
          <t>Artificial Intelligence</t>
        </is>
      </c>
      <c r="BT3" s="609" t="n"/>
      <c r="BU3" s="609" t="n"/>
      <c r="BV3" s="609" t="n"/>
      <c r="BW3" s="611" t="n"/>
      <c r="BX3" s="405" t="inlineStr">
        <is>
          <t>Philosophy and Critical Thinking</t>
        </is>
      </c>
      <c r="BY3" s="611" t="n"/>
      <c r="BZ3" s="637" t="inlineStr">
        <is>
          <t>Natural Language Processing</t>
        </is>
      </c>
      <c r="CA3" s="609" t="n"/>
      <c r="CB3" s="609" t="n"/>
      <c r="CC3" s="609" t="n"/>
      <c r="CD3" s="611" t="n"/>
      <c r="CE3" s="638" t="inlineStr">
        <is>
          <t>Final Year Project - I</t>
        </is>
      </c>
      <c r="CF3" s="609" t="n"/>
      <c r="CG3" s="609" t="n"/>
      <c r="CH3" s="609" t="n"/>
      <c r="CI3" s="609" t="n"/>
      <c r="CJ3" s="609" t="n"/>
      <c r="CK3" s="609" t="n"/>
      <c r="CL3" s="609" t="n"/>
      <c r="CM3" s="609" t="n"/>
      <c r="CN3" s="609" t="n"/>
      <c r="CO3" s="609" t="n"/>
      <c r="CP3" s="611" t="n"/>
      <c r="CQ3" s="639" t="inlineStr">
        <is>
          <t>Logical And Automated Reasoning</t>
        </is>
      </c>
      <c r="CR3" s="623" t="n"/>
      <c r="CS3" s="623" t="n"/>
      <c r="CT3" s="624" t="n"/>
      <c r="CU3" s="639" t="inlineStr">
        <is>
          <t>Philosophy and Critical Thinking</t>
        </is>
      </c>
      <c r="CV3" s="623" t="n"/>
      <c r="CW3" s="623" t="n"/>
      <c r="CX3" s="624" t="n"/>
      <c r="CY3" s="640" t="inlineStr">
        <is>
          <t>Deep Learning</t>
        </is>
      </c>
      <c r="CZ3" s="609" t="n"/>
      <c r="DA3" s="609" t="n"/>
      <c r="DB3" s="609" t="n"/>
      <c r="DC3" s="611" t="n"/>
      <c r="DD3" s="641" t="inlineStr">
        <is>
          <t>Artificial Intelligence for Robotics</t>
        </is>
      </c>
      <c r="DE3" s="609" t="n"/>
      <c r="DF3" s="609" t="n"/>
      <c r="DG3" s="609" t="n"/>
      <c r="DH3" s="611" t="n"/>
      <c r="DI3" s="634" t="inlineStr">
        <is>
          <t>Sociology</t>
        </is>
      </c>
      <c r="DJ3" s="623" t="n"/>
      <c r="DK3" s="624" t="n"/>
      <c r="DL3" s="642" t="inlineStr">
        <is>
          <t>Ethics and Social Responsibility</t>
        </is>
      </c>
      <c r="DM3" s="609" t="n"/>
      <c r="DN3" s="611" t="n"/>
      <c r="DO3" s="639" t="inlineStr">
        <is>
          <t>Big Data Analysis</t>
        </is>
      </c>
      <c r="DP3" s="623" t="n"/>
      <c r="DQ3" s="623" t="n"/>
      <c r="DR3" s="624" t="n"/>
      <c r="DS3" s="643" t="inlineStr">
        <is>
          <t>Final Year Project - II</t>
        </is>
      </c>
      <c r="DT3" s="609" t="n"/>
      <c r="DU3" s="609" t="n"/>
      <c r="DV3" s="609" t="n"/>
      <c r="DW3" s="609" t="n"/>
      <c r="DX3" s="609" t="n"/>
      <c r="DY3" s="609" t="n"/>
      <c r="DZ3" s="609" t="n"/>
      <c r="EA3" s="609" t="n"/>
      <c r="EB3" s="609" t="n"/>
      <c r="EC3" s="609" t="n"/>
      <c r="ED3" s="611" t="n"/>
      <c r="EE3" s="606" t="n"/>
      <c r="EF3" s="109" t="n"/>
      <c r="EG3" s="109" t="n"/>
      <c r="EH3" s="109" t="n"/>
      <c r="EI3" s="109" t="n"/>
      <c r="EJ3" s="109" t="n"/>
      <c r="EK3" s="109" t="n"/>
      <c r="EL3" s="109" t="n"/>
      <c r="EM3" s="109" t="n"/>
      <c r="EN3" s="109" t="n"/>
      <c r="EO3" s="109" t="n"/>
    </row>
    <row r="4" ht="24" customHeight="1" s="590">
      <c r="B4" s="606" t="n"/>
      <c r="C4" s="342" t="n"/>
      <c r="D4" s="608" t="n"/>
      <c r="E4" s="151" t="inlineStr">
        <is>
          <t>CLO1</t>
        </is>
      </c>
      <c r="F4" s="152" t="inlineStr">
        <is>
          <t>CLO2</t>
        </is>
      </c>
      <c r="G4" s="153" t="inlineStr">
        <is>
          <t>CLO 3</t>
        </is>
      </c>
      <c r="H4" s="153" t="inlineStr">
        <is>
          <t>CLO 1</t>
        </is>
      </c>
      <c r="I4" s="156" t="inlineStr">
        <is>
          <t>CLO 2</t>
        </is>
      </c>
      <c r="J4" s="157" t="inlineStr">
        <is>
          <t>CLO 1</t>
        </is>
      </c>
      <c r="K4" s="158" t="inlineStr">
        <is>
          <t>CLO 2</t>
        </is>
      </c>
      <c r="L4" s="158" t="inlineStr">
        <is>
          <t>CLO 3</t>
        </is>
      </c>
      <c r="M4" s="158" t="inlineStr">
        <is>
          <t>CLO 1</t>
        </is>
      </c>
      <c r="N4" s="159" t="inlineStr">
        <is>
          <t>CLO 2</t>
        </is>
      </c>
      <c r="O4" s="151" t="inlineStr">
        <is>
          <t>CLO1</t>
        </is>
      </c>
      <c r="P4" s="160" t="inlineStr">
        <is>
          <t>CLO2</t>
        </is>
      </c>
      <c r="Q4" s="160" t="inlineStr">
        <is>
          <t>CLO3</t>
        </is>
      </c>
      <c r="R4" s="702" t="inlineStr">
        <is>
          <t>CLO4</t>
        </is>
      </c>
      <c r="S4" s="645" t="n"/>
      <c r="T4" s="164" t="inlineStr">
        <is>
          <t>CLO1</t>
        </is>
      </c>
      <c r="U4" s="703" t="inlineStr">
        <is>
          <t>CLO2</t>
        </is>
      </c>
      <c r="V4" s="680" t="n"/>
      <c r="W4" s="165" t="inlineStr">
        <is>
          <t>CLO1</t>
        </is>
      </c>
      <c r="X4" s="165" t="inlineStr">
        <is>
          <t>CLO2</t>
        </is>
      </c>
      <c r="Y4" s="164" t="inlineStr">
        <is>
          <t>CLO1</t>
        </is>
      </c>
      <c r="Z4" s="164" t="inlineStr">
        <is>
          <t>CLO2</t>
        </is>
      </c>
      <c r="AA4" s="165" t="inlineStr">
        <is>
          <t>CLO3</t>
        </is>
      </c>
      <c r="AB4" s="157" t="n"/>
      <c r="AC4" s="158" t="n"/>
      <c r="AD4" s="158" t="n"/>
      <c r="AE4" s="158" t="n"/>
      <c r="AF4" s="159" t="n"/>
      <c r="AG4" s="151" t="n"/>
      <c r="AH4" s="160" t="n"/>
      <c r="AI4" s="160" t="n"/>
      <c r="AJ4" s="702" t="n"/>
      <c r="AK4" s="645" t="n"/>
      <c r="AL4" s="164" t="n"/>
      <c r="AM4" s="703" t="n"/>
      <c r="AN4" s="680" t="n"/>
      <c r="AO4" s="165" t="n"/>
      <c r="AP4" s="165" t="n"/>
      <c r="AQ4" s="164" t="inlineStr">
        <is>
          <t>CLO1</t>
        </is>
      </c>
      <c r="AR4" s="164" t="inlineStr">
        <is>
          <t>CLO2</t>
        </is>
      </c>
      <c r="AS4" s="165" t="inlineStr">
        <is>
          <t>CLO3</t>
        </is>
      </c>
      <c r="AT4" s="165" t="n"/>
      <c r="AU4" s="165" t="n"/>
      <c r="AV4" s="165" t="n"/>
      <c r="AW4" s="165" t="n"/>
      <c r="AX4" s="165" t="n"/>
      <c r="AY4" s="132" t="inlineStr">
        <is>
          <t>CLO5</t>
        </is>
      </c>
      <c r="AZ4" s="132" t="inlineStr">
        <is>
          <t>CLO6</t>
        </is>
      </c>
      <c r="BA4" s="40" t="inlineStr">
        <is>
          <t>CLO1</t>
        </is>
      </c>
      <c r="BB4" s="40" t="inlineStr">
        <is>
          <t>CLO 2</t>
        </is>
      </c>
      <c r="BC4" s="40" t="inlineStr">
        <is>
          <t>CLO 3</t>
        </is>
      </c>
      <c r="BD4" s="40" t="inlineStr">
        <is>
          <t>CLO 4</t>
        </is>
      </c>
      <c r="BE4" s="40" t="n"/>
      <c r="BF4" s="40" t="inlineStr">
        <is>
          <t>CLO3</t>
        </is>
      </c>
      <c r="BG4" s="37" t="inlineStr">
        <is>
          <t>CLO1</t>
        </is>
      </c>
      <c r="BH4" s="37" t="inlineStr">
        <is>
          <t>CLO2</t>
        </is>
      </c>
      <c r="BI4" s="37" t="inlineStr">
        <is>
          <t>CLO7</t>
        </is>
      </c>
      <c r="BJ4" s="132" t="inlineStr">
        <is>
          <t>CLO1</t>
        </is>
      </c>
      <c r="BK4" s="132" t="inlineStr">
        <is>
          <t>CLO2</t>
        </is>
      </c>
      <c r="BL4" s="132" t="inlineStr">
        <is>
          <t>CLO3</t>
        </is>
      </c>
      <c r="BM4" s="132" t="inlineStr">
        <is>
          <t>CLO1</t>
        </is>
      </c>
      <c r="BN4" s="132" t="inlineStr">
        <is>
          <t>CLO2</t>
        </is>
      </c>
      <c r="BO4" s="132" t="inlineStr">
        <is>
          <t>CLO3</t>
        </is>
      </c>
      <c r="BP4" s="132" t="inlineStr">
        <is>
          <t>CLO4</t>
        </is>
      </c>
      <c r="BQ4" s="146" t="inlineStr">
        <is>
          <t>CLO 1</t>
        </is>
      </c>
      <c r="BR4" s="146" t="inlineStr">
        <is>
          <t>CLO 2</t>
        </is>
      </c>
      <c r="BS4" s="69" t="inlineStr">
        <is>
          <t>CLO1</t>
        </is>
      </c>
      <c r="BT4" s="70" t="inlineStr">
        <is>
          <t>CLO2</t>
        </is>
      </c>
      <c r="BU4" s="71" t="inlineStr">
        <is>
          <t>CLO 3</t>
        </is>
      </c>
      <c r="BV4" s="71" t="inlineStr">
        <is>
          <t>CLO 1</t>
        </is>
      </c>
      <c r="BW4" s="80" t="inlineStr">
        <is>
          <t>CLO 2</t>
        </is>
      </c>
      <c r="BX4" s="81" t="inlineStr">
        <is>
          <t>CLO1</t>
        </is>
      </c>
      <c r="BY4" s="83" t="inlineStr">
        <is>
          <t>CLO2</t>
        </is>
      </c>
      <c r="BZ4" s="84" t="inlineStr">
        <is>
          <t>CLO1</t>
        </is>
      </c>
      <c r="CA4" s="85" t="inlineStr">
        <is>
          <t>CLO2</t>
        </is>
      </c>
      <c r="CB4" s="86" t="inlineStr">
        <is>
          <t>CLO3</t>
        </is>
      </c>
      <c r="CC4" s="86" t="inlineStr">
        <is>
          <t>CLO 1</t>
        </is>
      </c>
      <c r="CD4" s="86" t="inlineStr">
        <is>
          <t>CLO 2</t>
        </is>
      </c>
      <c r="CE4" s="95" t="inlineStr">
        <is>
          <t>R1</t>
        </is>
      </c>
      <c r="CF4" s="96" t="inlineStr">
        <is>
          <t>R2</t>
        </is>
      </c>
      <c r="CG4" s="96" t="inlineStr">
        <is>
          <t>R3</t>
        </is>
      </c>
      <c r="CH4" s="96" t="inlineStr">
        <is>
          <t>R4</t>
        </is>
      </c>
      <c r="CI4" s="96" t="inlineStr">
        <is>
          <t>R5</t>
        </is>
      </c>
      <c r="CJ4" s="96" t="inlineStr">
        <is>
          <t>R6</t>
        </is>
      </c>
      <c r="CK4" s="96" t="inlineStr">
        <is>
          <t>R7</t>
        </is>
      </c>
      <c r="CL4" s="96" t="inlineStr">
        <is>
          <t>R8</t>
        </is>
      </c>
      <c r="CM4" s="96" t="inlineStr">
        <is>
          <t>R9</t>
        </is>
      </c>
      <c r="CN4" s="96" t="inlineStr">
        <is>
          <t>R10</t>
        </is>
      </c>
      <c r="CO4" s="96" t="inlineStr">
        <is>
          <t>R11</t>
        </is>
      </c>
      <c r="CP4" s="101" t="inlineStr">
        <is>
          <t>R12</t>
        </is>
      </c>
      <c r="CQ4" s="5" t="inlineStr">
        <is>
          <t>CLO 1</t>
        </is>
      </c>
      <c r="CR4" s="6" t="inlineStr">
        <is>
          <t>CLO 2</t>
        </is>
      </c>
      <c r="CS4" s="6" t="inlineStr">
        <is>
          <t>CLO 3</t>
        </is>
      </c>
      <c r="CT4" s="6" t="inlineStr">
        <is>
          <t>CLO 4</t>
        </is>
      </c>
      <c r="CU4" s="7" t="n"/>
      <c r="CV4" s="7" t="n"/>
      <c r="CW4" s="7" t="n"/>
      <c r="CX4" s="7" t="n"/>
      <c r="CY4" s="19" t="inlineStr">
        <is>
          <t>CLO1</t>
        </is>
      </c>
      <c r="CZ4" s="20" t="inlineStr">
        <is>
          <t>CLO 2</t>
        </is>
      </c>
      <c r="DA4" s="20" t="inlineStr">
        <is>
          <t>CLO 3</t>
        </is>
      </c>
      <c r="DB4" s="21" t="inlineStr">
        <is>
          <t>CLO 1</t>
        </is>
      </c>
      <c r="DC4" s="22" t="inlineStr">
        <is>
          <t>CLO 2</t>
        </is>
      </c>
      <c r="DD4" s="23" t="inlineStr">
        <is>
          <t>CLO1</t>
        </is>
      </c>
      <c r="DE4" s="36" t="inlineStr">
        <is>
          <t>CLO2</t>
        </is>
      </c>
      <c r="DF4" s="37" t="inlineStr">
        <is>
          <t>CLO3</t>
        </is>
      </c>
      <c r="DG4" s="38" t="inlineStr">
        <is>
          <t>CLO 1</t>
        </is>
      </c>
      <c r="DH4" s="22" t="inlineStr">
        <is>
          <t>CLO 2</t>
        </is>
      </c>
      <c r="DI4" s="40" t="inlineStr">
        <is>
          <t>CLO1</t>
        </is>
      </c>
      <c r="DJ4" s="40" t="inlineStr">
        <is>
          <t>CLO2</t>
        </is>
      </c>
      <c r="DK4" s="40" t="inlineStr">
        <is>
          <t>CLO3</t>
        </is>
      </c>
      <c r="DL4" s="51" t="inlineStr">
        <is>
          <t>CLO1</t>
        </is>
      </c>
      <c r="DM4" s="21" t="inlineStr">
        <is>
          <t>CLO2</t>
        </is>
      </c>
      <c r="DN4" s="52" t="inlineStr">
        <is>
          <t>CLO3</t>
        </is>
      </c>
      <c r="DO4" s="7" t="inlineStr">
        <is>
          <t>CLO 1</t>
        </is>
      </c>
      <c r="DP4" s="7" t="inlineStr">
        <is>
          <t>CLO 2</t>
        </is>
      </c>
      <c r="DQ4" s="7" t="inlineStr">
        <is>
          <t>CLO 3</t>
        </is>
      </c>
      <c r="DR4" s="7" t="n"/>
      <c r="DS4" s="23" t="inlineStr">
        <is>
          <t>R1</t>
        </is>
      </c>
      <c r="DT4" s="36" t="inlineStr">
        <is>
          <t>R2</t>
        </is>
      </c>
      <c r="DU4" s="37" t="inlineStr">
        <is>
          <t>R3</t>
        </is>
      </c>
      <c r="DV4" s="37" t="inlineStr">
        <is>
          <t>R4</t>
        </is>
      </c>
      <c r="DW4" s="37" t="inlineStr">
        <is>
          <t>R5</t>
        </is>
      </c>
      <c r="DX4" s="37" t="inlineStr">
        <is>
          <t>R6</t>
        </is>
      </c>
      <c r="DY4" s="37" t="inlineStr">
        <is>
          <t>R7</t>
        </is>
      </c>
      <c r="DZ4" s="37" t="inlineStr">
        <is>
          <t>R8</t>
        </is>
      </c>
      <c r="EA4" s="37" t="inlineStr">
        <is>
          <t>R9</t>
        </is>
      </c>
      <c r="EB4" s="60" t="inlineStr">
        <is>
          <t>R10</t>
        </is>
      </c>
      <c r="EC4" s="62" t="inlineStr">
        <is>
          <t>R11</t>
        </is>
      </c>
      <c r="ED4" s="63" t="inlineStr">
        <is>
          <t>R12</t>
        </is>
      </c>
      <c r="EE4" s="606" t="n"/>
      <c r="EF4" s="646" t="inlineStr">
        <is>
          <t>GA1</t>
        </is>
      </c>
      <c r="EG4" s="646" t="inlineStr">
        <is>
          <t>GA2</t>
        </is>
      </c>
      <c r="EH4" s="646" t="inlineStr">
        <is>
          <t>GA3</t>
        </is>
      </c>
      <c r="EI4" s="646" t="inlineStr">
        <is>
          <t>GA4</t>
        </is>
      </c>
      <c r="EJ4" s="646" t="inlineStr">
        <is>
          <t>GA5</t>
        </is>
      </c>
      <c r="EK4" s="646" t="inlineStr">
        <is>
          <t>GA6</t>
        </is>
      </c>
      <c r="EL4" s="646" t="inlineStr">
        <is>
          <t>GA7</t>
        </is>
      </c>
      <c r="EM4" s="646" t="inlineStr">
        <is>
          <t>GA8</t>
        </is>
      </c>
      <c r="EN4" s="646" t="inlineStr">
        <is>
          <t>GA9</t>
        </is>
      </c>
      <c r="EO4" s="646" t="inlineStr">
        <is>
          <t>GA10</t>
        </is>
      </c>
    </row>
    <row r="5" ht="24" customHeight="1" s="590">
      <c r="B5" s="606" t="n"/>
      <c r="C5" s="342" t="n"/>
      <c r="D5" s="608" t="n"/>
      <c r="E5" s="383" t="inlineStr">
        <is>
          <t>Theory</t>
        </is>
      </c>
      <c r="H5" s="384" t="inlineStr">
        <is>
          <t>Lab</t>
        </is>
      </c>
      <c r="I5" s="591" t="n"/>
      <c r="J5" s="133" t="inlineStr">
        <is>
          <t>Theory</t>
        </is>
      </c>
      <c r="M5" s="649" t="n"/>
      <c r="N5" s="363" t="inlineStr">
        <is>
          <t>Lab</t>
        </is>
      </c>
      <c r="O5" s="368" t="inlineStr">
        <is>
          <t>Theory</t>
        </is>
      </c>
      <c r="P5" s="677" t="n"/>
      <c r="Q5" s="677" t="n"/>
      <c r="R5" s="677" t="n"/>
      <c r="S5" s="675" t="n"/>
      <c r="T5" s="362" t="inlineStr">
        <is>
          <t>Theory</t>
        </is>
      </c>
      <c r="W5" s="363" t="inlineStr">
        <is>
          <t>Lab</t>
        </is>
      </c>
      <c r="Y5" s="362" t="n"/>
      <c r="Z5" s="363" t="inlineStr">
        <is>
          <t>Theory</t>
        </is>
      </c>
      <c r="AA5" s="363" t="n"/>
      <c r="AB5" s="133" t="n"/>
      <c r="AE5" s="649" t="n"/>
      <c r="AF5" s="363" t="n"/>
      <c r="AG5" s="368" t="n"/>
      <c r="AH5" s="677" t="n"/>
      <c r="AI5" s="677" t="n"/>
      <c r="AJ5" s="677" t="n"/>
      <c r="AK5" s="675" t="n"/>
      <c r="AL5" s="362" t="n"/>
      <c r="AO5" s="363" t="n"/>
      <c r="AQ5" s="362" t="n"/>
      <c r="AR5" s="363" t="inlineStr">
        <is>
          <t>Theory</t>
        </is>
      </c>
      <c r="AS5" s="363" t="n"/>
      <c r="AT5" s="363" t="n"/>
      <c r="AU5" s="363" t="n"/>
      <c r="AV5" s="363" t="n"/>
      <c r="AW5" s="363" t="n"/>
      <c r="AX5" s="363" t="n"/>
      <c r="AY5" s="362" t="n"/>
      <c r="AZ5" s="362" t="n"/>
      <c r="BA5" s="362" t="inlineStr">
        <is>
          <t>Theory</t>
        </is>
      </c>
      <c r="BE5" s="363" t="inlineStr">
        <is>
          <t>Lab</t>
        </is>
      </c>
      <c r="BG5" s="363" t="n"/>
      <c r="BH5" s="363" t="n"/>
      <c r="BI5" s="363" t="n"/>
      <c r="BJ5" s="362" t="inlineStr">
        <is>
          <t>Theory</t>
        </is>
      </c>
      <c r="BM5" s="362" t="inlineStr">
        <is>
          <t>Theory</t>
        </is>
      </c>
      <c r="BQ5" s="362" t="inlineStr">
        <is>
          <t>Lab</t>
        </is>
      </c>
      <c r="BS5" s="383" t="inlineStr">
        <is>
          <t>Theory</t>
        </is>
      </c>
      <c r="BV5" s="384" t="inlineStr">
        <is>
          <t>Lab</t>
        </is>
      </c>
      <c r="BW5" s="591" t="n"/>
      <c r="BX5" s="363" t="n"/>
      <c r="BY5" s="384" t="n"/>
      <c r="BZ5" s="383" t="inlineStr">
        <is>
          <t>Theory</t>
        </is>
      </c>
      <c r="CC5" s="384" t="inlineStr">
        <is>
          <t>Lab</t>
        </is>
      </c>
      <c r="CD5" s="591" t="n"/>
      <c r="CE5" s="54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  <c r="CO5" s="55" t="n"/>
      <c r="CP5" s="53" t="n"/>
      <c r="CQ5" s="362" t="n"/>
      <c r="CR5" s="363" t="n"/>
      <c r="CS5" s="363" t="n"/>
      <c r="CT5" s="364" t="n"/>
      <c r="CU5" s="363" t="n"/>
      <c r="CV5" s="363" t="n"/>
      <c r="CW5" s="363" t="n"/>
      <c r="CX5" s="363" t="n"/>
      <c r="CY5" s="356" t="inlineStr">
        <is>
          <t>Theory</t>
        </is>
      </c>
      <c r="DB5" s="53" t="inlineStr">
        <is>
          <t>Lab</t>
        </is>
      </c>
      <c r="DC5" s="591" t="n"/>
      <c r="DD5" s="356" t="inlineStr">
        <is>
          <t>Theory</t>
        </is>
      </c>
      <c r="DG5" s="53" t="inlineStr">
        <is>
          <t>Lab</t>
        </is>
      </c>
      <c r="DH5" s="591" t="n"/>
      <c r="DI5" s="362" t="n"/>
      <c r="DJ5" s="363" t="n"/>
      <c r="DK5" s="363" t="n"/>
      <c r="DL5" s="356" t="n"/>
      <c r="DM5" s="358" t="n"/>
      <c r="DN5" s="53" t="n"/>
      <c r="DO5" s="363" t="n"/>
      <c r="DP5" s="363" t="n"/>
      <c r="DQ5" s="363" t="n"/>
      <c r="DR5" s="363" t="n"/>
      <c r="DS5" s="54" t="n"/>
      <c r="DT5" s="55" t="n"/>
      <c r="DU5" s="55" t="n"/>
      <c r="DV5" s="55" t="n"/>
      <c r="DW5" s="55" t="n"/>
      <c r="DX5" s="55" t="n"/>
      <c r="DY5" s="55" t="n"/>
      <c r="DZ5" s="55" t="n"/>
      <c r="EA5" s="55" t="n"/>
      <c r="EB5" s="55" t="n"/>
      <c r="EC5" s="358" t="n"/>
      <c r="ED5" s="359" t="n"/>
      <c r="EE5" s="606" t="n"/>
      <c r="EF5" s="606" t="n"/>
      <c r="EG5" s="606" t="n"/>
      <c r="EH5" s="606" t="n"/>
      <c r="EI5" s="606" t="n"/>
      <c r="EJ5" s="606" t="n"/>
      <c r="EK5" s="606" t="n"/>
      <c r="EL5" s="606" t="n"/>
      <c r="EM5" s="606" t="n"/>
      <c r="EN5" s="606" t="n"/>
      <c r="EO5" s="606" t="n"/>
    </row>
    <row r="6" ht="24" customHeight="1" s="590">
      <c r="B6" s="652" t="n"/>
      <c r="C6" s="343" t="n"/>
      <c r="D6" s="650" t="n"/>
      <c r="E6" s="73" t="inlineStr">
        <is>
          <t>GA 1</t>
        </is>
      </c>
      <c r="F6" s="372" t="inlineStr">
        <is>
          <t>GA 3</t>
        </is>
      </c>
      <c r="G6" s="360" t="inlineStr">
        <is>
          <t>GA 3</t>
        </is>
      </c>
      <c r="H6" s="360" t="inlineStr">
        <is>
          <t>GA 3</t>
        </is>
      </c>
      <c r="I6" s="361" t="inlineStr">
        <is>
          <t>GA 4</t>
        </is>
      </c>
      <c r="J6" s="89" t="inlineStr">
        <is>
          <t>GA 2</t>
        </is>
      </c>
      <c r="K6" s="89" t="inlineStr">
        <is>
          <t>GA 4</t>
        </is>
      </c>
      <c r="L6" s="89" t="inlineStr">
        <is>
          <t>GA 5</t>
        </is>
      </c>
      <c r="M6" s="89" t="inlineStr">
        <is>
          <t>GA2</t>
        </is>
      </c>
      <c r="N6" s="372" t="inlineStr">
        <is>
          <t>GA 6</t>
        </is>
      </c>
      <c r="O6" s="490" t="inlineStr">
        <is>
          <t>GA 1</t>
        </is>
      </c>
      <c r="P6" s="360" t="inlineStr">
        <is>
          <t>GA 7</t>
        </is>
      </c>
      <c r="Q6" s="360" t="inlineStr">
        <is>
          <t>GA 8</t>
        </is>
      </c>
      <c r="R6" s="361" t="inlineStr">
        <is>
          <t>GA 8</t>
        </is>
      </c>
      <c r="S6" s="629" t="n"/>
      <c r="T6" s="166" t="inlineStr">
        <is>
          <t>GA 1</t>
        </is>
      </c>
      <c r="U6" s="245" t="inlineStr">
        <is>
          <t>GA 4</t>
        </is>
      </c>
      <c r="V6" s="73" t="n"/>
      <c r="W6" s="123" t="inlineStr">
        <is>
          <t>GA 1</t>
        </is>
      </c>
      <c r="X6" s="129" t="inlineStr">
        <is>
          <t>GA 4</t>
        </is>
      </c>
      <c r="Y6" s="372" t="inlineStr">
        <is>
          <t>GA 1</t>
        </is>
      </c>
      <c r="Z6" s="360" t="inlineStr">
        <is>
          <t>GA 4</t>
        </is>
      </c>
      <c r="AA6" s="373" t="inlineStr">
        <is>
          <t>GA 4</t>
        </is>
      </c>
      <c r="AB6" s="89" t="n"/>
      <c r="AC6" s="89" t="n"/>
      <c r="AD6" s="89" t="n"/>
      <c r="AE6" s="89" t="n"/>
      <c r="AF6" s="372" t="n"/>
      <c r="AG6" s="490" t="n"/>
      <c r="AH6" s="360" t="n"/>
      <c r="AI6" s="360" t="n"/>
      <c r="AJ6" s="361" t="n"/>
      <c r="AK6" s="629" t="n"/>
      <c r="AL6" s="166" t="n"/>
      <c r="AM6" s="245" t="n"/>
      <c r="AN6" s="73" t="n"/>
      <c r="AO6" s="123" t="n"/>
      <c r="AP6" s="129" t="n"/>
      <c r="AQ6" s="372" t="inlineStr">
        <is>
          <t>GA 1</t>
        </is>
      </c>
      <c r="AR6" s="360" t="inlineStr">
        <is>
          <t>GA 4</t>
        </is>
      </c>
      <c r="AS6" s="373" t="inlineStr">
        <is>
          <t>GA 4</t>
        </is>
      </c>
      <c r="AT6" s="363" t="n"/>
      <c r="AU6" s="363" t="n"/>
      <c r="AV6" s="363" t="n"/>
      <c r="AW6" s="363" t="n"/>
      <c r="AX6" s="363" t="n"/>
      <c r="AY6" s="73" t="inlineStr">
        <is>
          <t>PLO8</t>
        </is>
      </c>
      <c r="AZ6" s="73" t="inlineStr">
        <is>
          <t>PLO10</t>
        </is>
      </c>
      <c r="BA6" s="372" t="inlineStr">
        <is>
          <t>GA 1</t>
        </is>
      </c>
      <c r="BB6" s="360" t="inlineStr">
        <is>
          <t>GA 2</t>
        </is>
      </c>
      <c r="BC6" s="360" t="inlineStr">
        <is>
          <t>GA 3</t>
        </is>
      </c>
      <c r="BD6" s="360" t="inlineStr">
        <is>
          <t>GA 4</t>
        </is>
      </c>
      <c r="BE6" s="360" t="n"/>
      <c r="BF6" s="373" t="n"/>
      <c r="BG6" s="134" t="inlineStr">
        <is>
          <t>GA 1</t>
        </is>
      </c>
      <c r="BH6" s="73" t="inlineStr">
        <is>
          <t>GA 7</t>
        </is>
      </c>
      <c r="BI6" s="73" t="inlineStr">
        <is>
          <t>GA 8</t>
        </is>
      </c>
      <c r="BJ6" s="134" t="inlineStr">
        <is>
          <t>GA 1</t>
        </is>
      </c>
      <c r="BK6" s="373" t="inlineStr">
        <is>
          <t>GA 2</t>
        </is>
      </c>
      <c r="BL6" s="373" t="inlineStr">
        <is>
          <t>GA 9</t>
        </is>
      </c>
      <c r="BM6" s="134" t="inlineStr">
        <is>
          <t>GA2</t>
        </is>
      </c>
      <c r="BN6" s="373" t="inlineStr">
        <is>
          <t>GA 2</t>
        </is>
      </c>
      <c r="BO6" s="373" t="inlineStr">
        <is>
          <t>GA 3</t>
        </is>
      </c>
      <c r="BP6" s="73" t="inlineStr">
        <is>
          <t>GA 5</t>
        </is>
      </c>
      <c r="BQ6" s="73" t="inlineStr">
        <is>
          <t>GA 3</t>
        </is>
      </c>
      <c r="BR6" s="73" t="inlineStr">
        <is>
          <t>GA 4</t>
        </is>
      </c>
      <c r="BS6" s="73" t="inlineStr">
        <is>
          <t>GA 1</t>
        </is>
      </c>
      <c r="BT6" s="372" t="inlineStr">
        <is>
          <t>GA 2</t>
        </is>
      </c>
      <c r="BU6" s="360" t="inlineStr">
        <is>
          <t>GA 3</t>
        </is>
      </c>
      <c r="BV6" s="360" t="inlineStr">
        <is>
          <t>GA 4</t>
        </is>
      </c>
      <c r="BW6" s="361" t="inlineStr">
        <is>
          <t>GA 5</t>
        </is>
      </c>
      <c r="BX6" s="373" t="inlineStr">
        <is>
          <t>PLO4</t>
        </is>
      </c>
      <c r="BY6" s="89" t="inlineStr">
        <is>
          <t>PLO5</t>
        </is>
      </c>
      <c r="BZ6" s="490" t="inlineStr">
        <is>
          <t>GA 1</t>
        </is>
      </c>
      <c r="CA6" s="360" t="inlineStr">
        <is>
          <t>GA 2</t>
        </is>
      </c>
      <c r="CB6" s="360" t="inlineStr">
        <is>
          <t>GA 3</t>
        </is>
      </c>
      <c r="CC6" s="360" t="inlineStr">
        <is>
          <t>GA 1</t>
        </is>
      </c>
      <c r="CD6" s="361" t="inlineStr">
        <is>
          <t>GA 3</t>
        </is>
      </c>
      <c r="CE6" s="57" t="inlineStr">
        <is>
          <t>GA1</t>
        </is>
      </c>
      <c r="CF6" s="58" t="inlineStr">
        <is>
          <t>GA2</t>
        </is>
      </c>
      <c r="CG6" s="58" t="inlineStr">
        <is>
          <t>GA3</t>
        </is>
      </c>
      <c r="CH6" s="58" t="inlineStr">
        <is>
          <t>GA4</t>
        </is>
      </c>
      <c r="CI6" s="58" t="inlineStr">
        <is>
          <t>GA5</t>
        </is>
      </c>
      <c r="CJ6" s="58" t="inlineStr">
        <is>
          <t>GA6</t>
        </is>
      </c>
      <c r="CK6" s="58" t="inlineStr">
        <is>
          <t>GA7</t>
        </is>
      </c>
      <c r="CL6" s="58" t="inlineStr">
        <is>
          <t>GA8</t>
        </is>
      </c>
      <c r="CM6" s="58" t="inlineStr">
        <is>
          <t>GA9</t>
        </is>
      </c>
      <c r="CN6" s="58" t="inlineStr">
        <is>
          <t>GA10</t>
        </is>
      </c>
      <c r="CO6" s="58" t="inlineStr">
        <is>
          <t>GA11</t>
        </is>
      </c>
      <c r="CP6" s="27" t="inlineStr">
        <is>
          <t>GA12</t>
        </is>
      </c>
      <c r="CQ6" s="133" t="n"/>
      <c r="CT6" s="649" t="n"/>
      <c r="CU6" s="364" t="n"/>
      <c r="CV6" s="364" t="n"/>
      <c r="CW6" s="364" t="n"/>
      <c r="CX6" s="364" t="n"/>
      <c r="CY6" s="27" t="inlineStr">
        <is>
          <t>GA 1</t>
        </is>
      </c>
      <c r="CZ6" s="27" t="inlineStr">
        <is>
          <t>GA 3</t>
        </is>
      </c>
      <c r="DA6" s="651" t="n"/>
      <c r="DB6" s="27" t="inlineStr">
        <is>
          <t>GA 1</t>
        </is>
      </c>
      <c r="DC6" s="27" t="inlineStr">
        <is>
          <t>GA 3</t>
        </is>
      </c>
      <c r="DD6" s="516" t="inlineStr">
        <is>
          <t>GA 1</t>
        </is>
      </c>
      <c r="DE6" s="366" t="inlineStr">
        <is>
          <t>GA 2</t>
        </is>
      </c>
      <c r="DF6" s="27" t="inlineStr">
        <is>
          <t>GA 5</t>
        </is>
      </c>
      <c r="DG6" s="27" t="inlineStr">
        <is>
          <t>GA 5</t>
        </is>
      </c>
      <c r="DH6" s="651" t="n"/>
      <c r="DI6" s="134" t="inlineStr">
        <is>
          <t>PLO1</t>
        </is>
      </c>
      <c r="DJ6" s="598" t="n"/>
      <c r="DK6" s="599" t="n"/>
      <c r="DL6" s="56" t="inlineStr">
        <is>
          <t>PLO1</t>
        </is>
      </c>
      <c r="DM6" s="27" t="inlineStr">
        <is>
          <t>PLO2</t>
        </is>
      </c>
      <c r="DN6" s="27" t="inlineStr">
        <is>
          <t>PLO5</t>
        </is>
      </c>
      <c r="DO6" s="364" t="n"/>
      <c r="DP6" s="364" t="n"/>
      <c r="DQ6" s="364" t="n"/>
      <c r="DR6" s="364" t="n"/>
      <c r="DS6" s="57" t="inlineStr">
        <is>
          <t>GA1</t>
        </is>
      </c>
      <c r="DT6" s="58" t="inlineStr">
        <is>
          <t>GA2</t>
        </is>
      </c>
      <c r="DU6" s="58" t="inlineStr">
        <is>
          <t>GA3</t>
        </is>
      </c>
      <c r="DV6" s="58" t="inlineStr">
        <is>
          <t>GA4</t>
        </is>
      </c>
      <c r="DW6" s="58" t="inlineStr">
        <is>
          <t>GA5</t>
        </is>
      </c>
      <c r="DX6" s="58" t="inlineStr">
        <is>
          <t>GA6</t>
        </is>
      </c>
      <c r="DY6" s="58" t="inlineStr">
        <is>
          <t>GA7</t>
        </is>
      </c>
      <c r="DZ6" s="58" t="inlineStr">
        <is>
          <t>GA8</t>
        </is>
      </c>
      <c r="EA6" s="58" t="inlineStr">
        <is>
          <t>GA9</t>
        </is>
      </c>
      <c r="EB6" s="58" t="inlineStr">
        <is>
          <t>GA10</t>
        </is>
      </c>
      <c r="EC6" s="365" t="inlineStr">
        <is>
          <t>GA11</t>
        </is>
      </c>
      <c r="ED6" s="56" t="inlineStr">
        <is>
          <t>GA12</t>
        </is>
      </c>
      <c r="EE6" s="606" t="n"/>
      <c r="EF6" s="652" t="n"/>
      <c r="EG6" s="652" t="n"/>
      <c r="EH6" s="652" t="n"/>
      <c r="EI6" s="652" t="n"/>
      <c r="EJ6" s="652" t="n"/>
      <c r="EK6" s="652" t="n"/>
      <c r="EL6" s="652" t="n"/>
      <c r="EM6" s="652" t="n"/>
      <c r="EN6" s="652" t="n"/>
      <c r="EO6" s="652" t="n"/>
    </row>
    <row r="7" ht="15.6" customHeight="1" s="590">
      <c r="B7" s="12" t="n">
        <v>1</v>
      </c>
      <c r="C7" s="13" t="inlineStr">
        <is>
          <t>052-sp23-22058</t>
        </is>
      </c>
      <c r="D7" s="14" t="inlineStr">
        <is>
          <t xml:space="preserve">Syed Akbar Ali </t>
        </is>
      </c>
      <c r="E7" s="74" t="n">
        <v>80.06999999999999</v>
      </c>
      <c r="F7" s="75" t="n">
        <v>72</v>
      </c>
      <c r="G7" s="154" t="n">
        <v>78.09999999999999</v>
      </c>
      <c r="H7" s="76" t="n">
        <v>91.81999999999999</v>
      </c>
      <c r="I7" s="91" t="n"/>
      <c r="J7" s="237" t="n">
        <v>70</v>
      </c>
      <c r="K7" s="238" t="n">
        <v>84</v>
      </c>
      <c r="L7" s="238" t="n">
        <v>98.81</v>
      </c>
      <c r="M7" s="237" t="n">
        <v>83.47</v>
      </c>
      <c r="N7" s="238" t="n">
        <v>86.67</v>
      </c>
      <c r="O7" s="225" t="n">
        <v>84</v>
      </c>
      <c r="P7" s="225" t="n">
        <v>88</v>
      </c>
      <c r="Q7" s="225" t="n">
        <v>86.67</v>
      </c>
      <c r="R7" s="225" t="n">
        <v>0</v>
      </c>
      <c r="S7" s="491" t="n"/>
      <c r="T7" s="237" t="n">
        <v>80.33</v>
      </c>
      <c r="U7" s="238" t="n">
        <v>88.45999999999999</v>
      </c>
      <c r="V7" s="139" t="n"/>
      <c r="W7" s="143" t="n">
        <v>80.33</v>
      </c>
      <c r="X7" s="144" t="n">
        <v>88.45999999999999</v>
      </c>
      <c r="Y7" s="170" t="n">
        <v>73.61</v>
      </c>
      <c r="Z7" s="347" t="n">
        <v>81.64</v>
      </c>
      <c r="AA7" s="348" t="n">
        <v>90</v>
      </c>
      <c r="AB7" s="237" t="n"/>
      <c r="AC7" s="238" t="n"/>
      <c r="AD7" s="238" t="n"/>
      <c r="AE7" s="237" t="n"/>
      <c r="AF7" s="238" t="n"/>
      <c r="AG7" s="225" t="n"/>
      <c r="AH7" s="225" t="n"/>
      <c r="AI7" s="225" t="n"/>
      <c r="AJ7" s="225" t="n"/>
      <c r="AK7" s="491" t="n"/>
      <c r="AL7" s="237" t="n"/>
      <c r="AM7" s="238" t="n"/>
      <c r="AN7" s="139" t="n"/>
      <c r="AO7" s="143" t="n"/>
      <c r="AP7" s="144" t="n"/>
      <c r="AQ7" s="170" t="n">
        <v>73.61</v>
      </c>
      <c r="AR7" s="347" t="n">
        <v>81.64</v>
      </c>
      <c r="AS7" s="348" t="n">
        <v>90</v>
      </c>
      <c r="AT7" s="318" t="n"/>
      <c r="AU7" s="318" t="n"/>
      <c r="AV7" s="318" t="n"/>
      <c r="AW7" s="318" t="n"/>
      <c r="AX7" s="318" t="n"/>
      <c r="AY7" s="140" t="n"/>
      <c r="AZ7" s="108" t="n"/>
      <c r="BA7" s="141" t="n"/>
      <c r="BB7" s="140" t="n"/>
      <c r="BC7" s="140" t="n"/>
      <c r="BD7" s="140" t="n"/>
      <c r="BE7" s="147" t="n"/>
      <c r="BF7" s="664" t="n"/>
      <c r="BG7" s="107" t="n"/>
      <c r="BH7" s="140" t="n"/>
      <c r="BI7" s="140" t="n"/>
      <c r="BJ7" s="107" t="n"/>
      <c r="BK7" s="587" t="n"/>
      <c r="BL7" s="587" t="n"/>
      <c r="BM7" s="141" t="n"/>
      <c r="BN7" s="140" t="n"/>
      <c r="BO7" s="140" t="n"/>
      <c r="BP7" s="140" t="n"/>
      <c r="BQ7" s="140" t="n"/>
      <c r="BR7" s="147" t="n"/>
      <c r="BS7" s="74" t="n"/>
      <c r="BT7" s="75" t="n"/>
      <c r="BU7" s="76" t="n"/>
      <c r="BV7" s="76" t="n"/>
      <c r="BW7" s="91" t="n"/>
      <c r="BX7" s="92" t="n"/>
      <c r="BY7" s="91" t="n"/>
      <c r="BZ7" s="74" t="n"/>
      <c r="CA7" s="92" t="n"/>
      <c r="CB7" s="148" t="n"/>
      <c r="CC7" s="149" t="n"/>
      <c r="CD7" s="150" t="n"/>
      <c r="CE7" s="99" t="n"/>
      <c r="CF7" s="100" t="n"/>
      <c r="CG7" s="100" t="n"/>
      <c r="CH7" s="100" t="n"/>
      <c r="CI7" s="100" t="n"/>
      <c r="CJ7" s="100" t="n"/>
      <c r="CK7" s="100" t="n"/>
      <c r="CL7" s="100" t="n"/>
      <c r="CM7" s="100" t="n"/>
      <c r="CN7" s="100" t="n"/>
      <c r="CO7" s="100" t="n"/>
      <c r="CP7" s="102" t="n"/>
      <c r="CQ7" s="15" t="n"/>
      <c r="CR7" s="546" t="n"/>
      <c r="CS7" s="546" t="n"/>
      <c r="CT7" s="17" t="n"/>
      <c r="CU7" s="15" t="n"/>
      <c r="CV7" s="546" t="n"/>
      <c r="CW7" s="546" t="n"/>
      <c r="CX7" s="17" t="n"/>
      <c r="CY7" s="31" t="n"/>
      <c r="CZ7" s="349" t="n"/>
      <c r="DA7" s="665" t="n"/>
      <c r="DB7" s="45" t="n"/>
      <c r="DC7" s="351" t="n"/>
      <c r="DD7" s="31" t="n"/>
      <c r="DE7" s="45" t="n"/>
      <c r="DF7" s="45" t="n"/>
      <c r="DG7" s="351" t="n"/>
      <c r="DH7" s="663" t="n"/>
      <c r="DI7" s="107" t="n"/>
      <c r="DJ7" s="587" t="n"/>
      <c r="DK7" s="108" t="n"/>
      <c r="DL7" s="15" t="n"/>
      <c r="DM7" s="546" t="n"/>
      <c r="DN7" s="17" t="n"/>
      <c r="DO7" s="15" t="n"/>
      <c r="DP7" s="546" t="n"/>
      <c r="DQ7" s="546" t="n"/>
      <c r="DR7" s="17" t="n"/>
      <c r="DS7" s="31" t="n"/>
      <c r="DT7" s="45" t="n"/>
      <c r="DU7" s="45" t="n"/>
      <c r="DV7" s="45" t="n"/>
      <c r="DW7" s="45" t="n"/>
      <c r="DX7" s="45" t="n"/>
      <c r="DY7" s="45" t="n"/>
      <c r="DZ7" s="45" t="n"/>
      <c r="EA7" s="45" t="n"/>
      <c r="EB7" s="45" t="n"/>
      <c r="EC7" s="45" t="n"/>
      <c r="ED7" s="351" t="n"/>
      <c r="EE7" s="606" t="n"/>
      <c r="EF7" s="65">
        <f>AVERAGE(Y7,W7,T7,O7,J7)</f>
        <v/>
      </c>
      <c r="EG7" s="66">
        <f>AVERAGE(70)</f>
        <v/>
      </c>
      <c r="EH7" s="66">
        <f>AVERAGE(F7:H7)</f>
        <v/>
      </c>
      <c r="EI7" s="66">
        <f>AVERAGE(U7,K7,X7,Z7,AA7)</f>
        <v/>
      </c>
      <c r="EJ7" s="66">
        <f>AVERAGE(L7)</f>
        <v/>
      </c>
      <c r="EK7" s="66" t="n"/>
      <c r="EL7" s="66" t="n"/>
      <c r="EM7" s="66" t="n"/>
      <c r="EN7" s="66" t="n"/>
      <c r="EO7" s="66" t="n"/>
    </row>
    <row r="8" ht="15.6" customHeight="1" s="590">
      <c r="B8" s="12" t="n">
        <v>2</v>
      </c>
      <c r="C8" s="13" t="inlineStr">
        <is>
          <t>052-sp23-22274</t>
        </is>
      </c>
      <c r="D8" s="14" t="inlineStr">
        <is>
          <t>Muhammad umer saeed</t>
        </is>
      </c>
      <c r="E8" s="74" t="n">
        <v>58.13</v>
      </c>
      <c r="F8" s="75" t="n">
        <v>69.25</v>
      </c>
      <c r="G8" s="154" t="n">
        <v>64.76000000000001</v>
      </c>
      <c r="H8" s="76" t="n">
        <v>89.69</v>
      </c>
      <c r="I8" s="91" t="n"/>
      <c r="J8" s="237" t="n">
        <v>56</v>
      </c>
      <c r="K8" s="238" t="n">
        <v>68</v>
      </c>
      <c r="L8" s="238" t="n">
        <v>76.43000000000001</v>
      </c>
      <c r="M8" s="237" t="n">
        <v>67.56999999999999</v>
      </c>
      <c r="N8" s="238" t="n">
        <v>72.08</v>
      </c>
      <c r="O8" s="225" t="n">
        <v>72</v>
      </c>
      <c r="P8" s="225" t="n">
        <v>71.33</v>
      </c>
      <c r="Q8" s="225" t="n">
        <v>100</v>
      </c>
      <c r="R8" s="225" t="n">
        <v>100</v>
      </c>
      <c r="S8" s="163" t="n"/>
      <c r="T8" s="237" t="n">
        <v>65.67</v>
      </c>
      <c r="U8" s="238" t="n">
        <v>64.36</v>
      </c>
      <c r="V8" s="139" t="n"/>
      <c r="W8" s="143" t="n">
        <v>83.33</v>
      </c>
      <c r="X8" s="144" t="n">
        <v>92.61</v>
      </c>
      <c r="Y8" s="170" t="n">
        <v>75</v>
      </c>
      <c r="Z8" s="347" t="n">
        <v>78.33</v>
      </c>
      <c r="AA8" s="348" t="n"/>
      <c r="AB8" s="237" t="n"/>
      <c r="AC8" s="238" t="n"/>
      <c r="AD8" s="238" t="n"/>
      <c r="AE8" s="237" t="n"/>
      <c r="AF8" s="238" t="n"/>
      <c r="AG8" s="225" t="n"/>
      <c r="AH8" s="225" t="n"/>
      <c r="AI8" s="225" t="n"/>
      <c r="AJ8" s="225" t="n"/>
      <c r="AK8" s="163" t="n"/>
      <c r="AL8" s="237" t="n"/>
      <c r="AM8" s="238" t="n"/>
      <c r="AN8" s="139" t="n"/>
      <c r="AO8" s="143" t="n"/>
      <c r="AP8" s="144" t="n"/>
      <c r="AQ8" s="170" t="n">
        <v>75</v>
      </c>
      <c r="AR8" s="347" t="n">
        <v>78.33</v>
      </c>
      <c r="AS8" s="348" t="n"/>
      <c r="AT8" s="318" t="n"/>
      <c r="AU8" s="318" t="n"/>
      <c r="AV8" s="318" t="n"/>
      <c r="AW8" s="318" t="n"/>
      <c r="AX8" s="318" t="n"/>
      <c r="AY8" s="140" t="n"/>
      <c r="AZ8" s="108" t="n"/>
      <c r="BA8" s="141" t="n"/>
      <c r="BB8" s="140" t="n"/>
      <c r="BC8" s="140" t="n"/>
      <c r="BD8" s="140" t="n"/>
      <c r="BE8" s="147" t="n"/>
      <c r="BF8" s="664" t="n"/>
      <c r="BG8" s="107" t="n"/>
      <c r="BH8" s="140" t="n"/>
      <c r="BI8" s="140" t="n"/>
      <c r="BJ8" s="107" t="n"/>
      <c r="BK8" s="587" t="n"/>
      <c r="BL8" s="587" t="n"/>
      <c r="BM8" s="141" t="n"/>
      <c r="BN8" s="140" t="n"/>
      <c r="BO8" s="140" t="n"/>
      <c r="BP8" s="140" t="n"/>
      <c r="BQ8" s="140" t="n"/>
      <c r="BR8" s="147" t="n"/>
      <c r="BS8" s="74" t="n"/>
      <c r="BT8" s="75" t="n"/>
      <c r="BU8" s="76" t="n"/>
      <c r="BV8" s="76" t="n"/>
      <c r="BW8" s="91" t="n"/>
      <c r="BX8" s="92" t="n"/>
      <c r="BY8" s="91" t="n"/>
      <c r="BZ8" s="74" t="n"/>
      <c r="CA8" s="92" t="n"/>
      <c r="CB8" s="148" t="n"/>
      <c r="CC8" s="149" t="n"/>
      <c r="CD8" s="150" t="n"/>
      <c r="CE8" s="99" t="n"/>
      <c r="CF8" s="100" t="n"/>
      <c r="CG8" s="100" t="n"/>
      <c r="CH8" s="100" t="n"/>
      <c r="CI8" s="100" t="n"/>
      <c r="CJ8" s="100" t="n"/>
      <c r="CK8" s="100" t="n"/>
      <c r="CL8" s="100" t="n"/>
      <c r="CM8" s="100" t="n"/>
      <c r="CN8" s="100" t="n"/>
      <c r="CO8" s="100" t="n"/>
      <c r="CP8" s="102" t="n"/>
      <c r="CQ8" s="15" t="n"/>
      <c r="CR8" s="546" t="n"/>
      <c r="CS8" s="546" t="n"/>
      <c r="CT8" s="17" t="n"/>
      <c r="CU8" s="15" t="n"/>
      <c r="CV8" s="546" t="n"/>
      <c r="CW8" s="546" t="n"/>
      <c r="CX8" s="17" t="n"/>
      <c r="CY8" s="31" t="n"/>
      <c r="CZ8" s="349" t="n"/>
      <c r="DA8" s="665" t="n"/>
      <c r="DB8" s="45" t="n"/>
      <c r="DC8" s="351" t="n"/>
      <c r="DD8" s="31" t="n"/>
      <c r="DE8" s="45" t="n"/>
      <c r="DF8" s="45" t="n"/>
      <c r="DG8" s="351" t="n"/>
      <c r="DH8" s="663" t="n"/>
      <c r="DI8" s="107" t="n"/>
      <c r="DJ8" s="587" t="n"/>
      <c r="DK8" s="108" t="n"/>
      <c r="DL8" s="15" t="n"/>
      <c r="DM8" s="546" t="n"/>
      <c r="DN8" s="17" t="n"/>
      <c r="DO8" s="15" t="n"/>
      <c r="DP8" s="546" t="n"/>
      <c r="DQ8" s="546" t="n"/>
      <c r="DR8" s="17" t="n"/>
      <c r="DS8" s="31" t="n"/>
      <c r="DT8" s="45" t="n"/>
      <c r="DU8" s="45" t="n"/>
      <c r="DV8" s="45" t="n"/>
      <c r="DW8" s="45" t="n"/>
      <c r="DX8" s="45" t="n"/>
      <c r="DY8" s="45" t="n"/>
      <c r="DZ8" s="45" t="n"/>
      <c r="EA8" s="45" t="n"/>
      <c r="EB8" s="45" t="n"/>
      <c r="EC8" s="45" t="n"/>
      <c r="ED8" s="351" t="n"/>
      <c r="EE8" s="606" t="n"/>
      <c r="EF8" s="65">
        <f>AVERAGE(Y8,W8,T8,O8,J8)</f>
        <v/>
      </c>
      <c r="EG8" s="248" t="n">
        <v>56</v>
      </c>
      <c r="EH8" s="66">
        <f>AVERAGE(F8:H8)</f>
        <v/>
      </c>
      <c r="EI8" s="66">
        <f>AVERAGE(U8,K8,X8,Z8,AA8)</f>
        <v/>
      </c>
      <c r="EJ8" s="66">
        <f>AVERAGE(L8)</f>
        <v/>
      </c>
      <c r="EK8" s="66" t="n"/>
      <c r="EL8" s="66" t="n"/>
      <c r="EM8" s="66" t="n"/>
      <c r="EN8" s="66" t="n"/>
      <c r="EO8" s="66" t="n"/>
    </row>
    <row r="9" ht="15.6" customHeight="1" s="590">
      <c r="B9" s="12" t="n">
        <v>3</v>
      </c>
      <c r="C9" s="13" t="inlineStr">
        <is>
          <t>052-sp23-22123</t>
        </is>
      </c>
      <c r="D9" s="14" t="inlineStr">
        <is>
          <t xml:space="preserve">Daniyal Tariq </t>
        </is>
      </c>
      <c r="E9" s="74" t="n">
        <v>60</v>
      </c>
      <c r="F9" s="75" t="n">
        <v>58.75</v>
      </c>
      <c r="G9" s="154" t="n">
        <v>67.14</v>
      </c>
      <c r="H9" s="76" t="n">
        <v>67.73</v>
      </c>
      <c r="I9" s="91" t="n"/>
      <c r="J9" s="237" t="n">
        <v>67.75</v>
      </c>
      <c r="K9" s="238" t="n">
        <v>46</v>
      </c>
      <c r="L9" s="238" t="n">
        <v>58.1</v>
      </c>
      <c r="M9" s="237" t="n">
        <v>45.69</v>
      </c>
      <c r="N9" s="238" t="n">
        <v>48.13</v>
      </c>
      <c r="O9" s="225" t="n">
        <v>68</v>
      </c>
      <c r="P9" s="225" t="n">
        <v>60</v>
      </c>
      <c r="Q9" s="225" t="n">
        <v>100</v>
      </c>
      <c r="R9" s="225" t="n">
        <v>100</v>
      </c>
      <c r="S9" s="163" t="n"/>
      <c r="T9" s="237" t="n">
        <v>79.33</v>
      </c>
      <c r="U9" s="238" t="n">
        <v>58.72</v>
      </c>
      <c r="V9" s="139" t="n"/>
      <c r="W9" s="143" t="n">
        <v>83.41</v>
      </c>
      <c r="X9" s="144" t="n">
        <v>91.03</v>
      </c>
      <c r="Y9" s="170" t="n">
        <v>71.67</v>
      </c>
      <c r="Z9" s="347" t="n">
        <v>68.33</v>
      </c>
      <c r="AA9" s="348" t="n"/>
      <c r="AB9" s="237" t="n"/>
      <c r="AC9" s="238" t="n"/>
      <c r="AD9" s="238" t="n"/>
      <c r="AE9" s="237" t="n"/>
      <c r="AF9" s="238" t="n"/>
      <c r="AG9" s="225" t="n"/>
      <c r="AH9" s="225" t="n"/>
      <c r="AI9" s="225" t="n"/>
      <c r="AJ9" s="225" t="n"/>
      <c r="AK9" s="163" t="n"/>
      <c r="AL9" s="237" t="n"/>
      <c r="AM9" s="238" t="n"/>
      <c r="AN9" s="139" t="n"/>
      <c r="AO9" s="143" t="n"/>
      <c r="AP9" s="144" t="n"/>
      <c r="AQ9" s="170" t="n">
        <v>71.67</v>
      </c>
      <c r="AR9" s="347" t="n">
        <v>68.33</v>
      </c>
      <c r="AS9" s="348" t="n"/>
      <c r="AT9" s="318" t="n"/>
      <c r="AU9" s="318" t="n"/>
      <c r="AV9" s="318" t="n"/>
      <c r="AW9" s="318" t="n"/>
      <c r="AX9" s="318" t="n"/>
      <c r="AY9" s="140" t="n"/>
      <c r="AZ9" s="108" t="n"/>
      <c r="BA9" s="141" t="n"/>
      <c r="BB9" s="140" t="n"/>
      <c r="BC9" s="140" t="n"/>
      <c r="BD9" s="140" t="n"/>
      <c r="BE9" s="147" t="n"/>
      <c r="BF9" s="664" t="n"/>
      <c r="BG9" s="107" t="n"/>
      <c r="BH9" s="140" t="n"/>
      <c r="BI9" s="140" t="n"/>
      <c r="BJ9" s="107" t="n"/>
      <c r="BK9" s="587" t="n"/>
      <c r="BL9" s="587" t="n"/>
      <c r="BM9" s="141" t="n"/>
      <c r="BN9" s="140" t="n"/>
      <c r="BO9" s="140" t="n"/>
      <c r="BP9" s="140" t="n"/>
      <c r="BQ9" s="140" t="n"/>
      <c r="BR9" s="147" t="n"/>
      <c r="BS9" s="74" t="n"/>
      <c r="BT9" s="75" t="n"/>
      <c r="BU9" s="76" t="n"/>
      <c r="BV9" s="76" t="n"/>
      <c r="BW9" s="91" t="n"/>
      <c r="BX9" s="92" t="n"/>
      <c r="BY9" s="91" t="n"/>
      <c r="BZ9" s="74" t="n"/>
      <c r="CA9" s="92" t="n"/>
      <c r="CB9" s="148" t="n"/>
      <c r="CC9" s="149" t="n"/>
      <c r="CD9" s="150" t="n"/>
      <c r="CE9" s="99" t="n"/>
      <c r="CF9" s="100" t="n"/>
      <c r="CG9" s="100" t="n"/>
      <c r="CH9" s="100" t="n"/>
      <c r="CI9" s="100" t="n"/>
      <c r="CJ9" s="100" t="n"/>
      <c r="CK9" s="100" t="n"/>
      <c r="CL9" s="100" t="n"/>
      <c r="CM9" s="100" t="n"/>
      <c r="CN9" s="100" t="n"/>
      <c r="CO9" s="100" t="n"/>
      <c r="CP9" s="102" t="n"/>
      <c r="CQ9" s="15" t="n"/>
      <c r="CR9" s="546" t="n"/>
      <c r="CS9" s="546" t="n"/>
      <c r="CT9" s="17" t="n"/>
      <c r="CU9" s="15" t="n"/>
      <c r="CV9" s="546" t="n"/>
      <c r="CW9" s="546" t="n"/>
      <c r="CX9" s="17" t="n"/>
      <c r="CY9" s="31" t="n"/>
      <c r="CZ9" s="349" t="n"/>
      <c r="DA9" s="665" t="n"/>
      <c r="DB9" s="45" t="n"/>
      <c r="DC9" s="351" t="n"/>
      <c r="DD9" s="31" t="n"/>
      <c r="DE9" s="45" t="n"/>
      <c r="DF9" s="45" t="n"/>
      <c r="DG9" s="351" t="n"/>
      <c r="DH9" s="663" t="n"/>
      <c r="DI9" s="107" t="n"/>
      <c r="DJ9" s="587" t="n"/>
      <c r="DK9" s="108" t="n"/>
      <c r="DL9" s="15" t="n"/>
      <c r="DM9" s="546" t="n"/>
      <c r="DN9" s="17" t="n"/>
      <c r="DO9" s="15" t="n"/>
      <c r="DP9" s="546" t="n"/>
      <c r="DQ9" s="546" t="n"/>
      <c r="DR9" s="17" t="n"/>
      <c r="DS9" s="31" t="n"/>
      <c r="DT9" s="45" t="n"/>
      <c r="DU9" s="45" t="n"/>
      <c r="DV9" s="45" t="n"/>
      <c r="DW9" s="45" t="n"/>
      <c r="DX9" s="45" t="n"/>
      <c r="DY9" s="45" t="n"/>
      <c r="DZ9" s="45" t="n"/>
      <c r="EA9" s="45" t="n"/>
      <c r="EB9" s="45" t="n"/>
      <c r="EC9" s="45" t="n"/>
      <c r="ED9" s="351" t="n"/>
      <c r="EE9" s="606" t="n"/>
      <c r="EF9" s="65">
        <f>AVERAGE(Y9,W9,T9,O9,J9)</f>
        <v/>
      </c>
      <c r="EG9" s="248" t="n">
        <v>67.75</v>
      </c>
      <c r="EH9" s="66">
        <f>AVERAGE(F9:H9)</f>
        <v/>
      </c>
      <c r="EI9" s="66">
        <f>AVERAGE(U9,K9,X9,Z9,AA9)</f>
        <v/>
      </c>
      <c r="EJ9" s="66">
        <f>AVERAGE(L9)</f>
        <v/>
      </c>
      <c r="EK9" s="66" t="n"/>
      <c r="EL9" s="66" t="n"/>
      <c r="EM9" s="66" t="n"/>
      <c r="EN9" s="66" t="n"/>
      <c r="EO9" s="66" t="n"/>
    </row>
    <row r="10" ht="15.6" customHeight="1" s="590">
      <c r="B10" s="12" t="n">
        <v>4</v>
      </c>
      <c r="C10" s="13" t="inlineStr">
        <is>
          <t>052-sp23-22036</t>
        </is>
      </c>
      <c r="D10" s="14" t="inlineStr">
        <is>
          <t>Zain Ul Abideen</t>
        </is>
      </c>
      <c r="E10" s="74" t="n">
        <v>65</v>
      </c>
      <c r="F10" s="75" t="n">
        <v>63.25</v>
      </c>
      <c r="G10" s="154" t="n">
        <v>61.43</v>
      </c>
      <c r="H10" s="76" t="n">
        <v>78.18000000000001</v>
      </c>
      <c r="I10" s="91" t="n"/>
      <c r="J10" s="237" t="n">
        <v>75</v>
      </c>
      <c r="K10" s="238" t="n">
        <v>44</v>
      </c>
      <c r="L10" s="238" t="n">
        <v>30.71</v>
      </c>
      <c r="M10" s="237" t="n">
        <v>47.15</v>
      </c>
      <c r="N10" s="238" t="n">
        <v>47.92</v>
      </c>
      <c r="O10" s="225" t="n">
        <v>76</v>
      </c>
      <c r="P10" s="225" t="n">
        <v>77.33</v>
      </c>
      <c r="Q10" s="225" t="n">
        <v>100</v>
      </c>
      <c r="R10" s="225" t="n">
        <v>100</v>
      </c>
      <c r="S10" s="163" t="n"/>
      <c r="T10" s="237" t="n">
        <v>76.33</v>
      </c>
      <c r="U10" s="238" t="n">
        <v>71.28</v>
      </c>
      <c r="V10" s="139" t="n"/>
      <c r="W10" s="143" t="n">
        <v>76.33</v>
      </c>
      <c r="X10" s="144" t="n">
        <v>71.28</v>
      </c>
      <c r="Y10" s="170" t="n">
        <v>73.06</v>
      </c>
      <c r="Z10" s="347" t="n">
        <v>64.40000000000001</v>
      </c>
      <c r="AA10" s="348" t="n">
        <v>75</v>
      </c>
      <c r="AB10" s="237" t="n"/>
      <c r="AC10" s="238" t="n"/>
      <c r="AD10" s="238" t="n"/>
      <c r="AE10" s="237" t="n"/>
      <c r="AF10" s="238" t="n"/>
      <c r="AG10" s="225" t="n"/>
      <c r="AH10" s="225" t="n"/>
      <c r="AI10" s="225" t="n"/>
      <c r="AJ10" s="225" t="n"/>
      <c r="AK10" s="163" t="n"/>
      <c r="AL10" s="237" t="n"/>
      <c r="AM10" s="238" t="n"/>
      <c r="AN10" s="139" t="n"/>
      <c r="AO10" s="143" t="n"/>
      <c r="AP10" s="144" t="n"/>
      <c r="AQ10" s="170" t="n">
        <v>73.06</v>
      </c>
      <c r="AR10" s="347" t="n">
        <v>64.40000000000001</v>
      </c>
      <c r="AS10" s="348" t="n">
        <v>75</v>
      </c>
      <c r="AT10" s="318" t="n"/>
      <c r="AU10" s="318" t="n"/>
      <c r="AV10" s="318" t="n"/>
      <c r="AW10" s="318" t="n"/>
      <c r="AX10" s="318" t="n"/>
      <c r="AY10" s="140" t="n"/>
      <c r="AZ10" s="108" t="n"/>
      <c r="BA10" s="141" t="n"/>
      <c r="BB10" s="140" t="n"/>
      <c r="BC10" s="140" t="n"/>
      <c r="BD10" s="140" t="n"/>
      <c r="BE10" s="147" t="n"/>
      <c r="BF10" s="664" t="n"/>
      <c r="BG10" s="107" t="n"/>
      <c r="BH10" s="140" t="n"/>
      <c r="BI10" s="140" t="n"/>
      <c r="BJ10" s="107" t="n"/>
      <c r="BK10" s="587" t="n"/>
      <c r="BL10" s="587" t="n"/>
      <c r="BM10" s="141" t="n"/>
      <c r="BN10" s="140" t="n"/>
      <c r="BO10" s="140" t="n"/>
      <c r="BP10" s="140" t="n"/>
      <c r="BQ10" s="140" t="n"/>
      <c r="BR10" s="147" t="n"/>
      <c r="BS10" s="74" t="n"/>
      <c r="BT10" s="75" t="n"/>
      <c r="BU10" s="76" t="n"/>
      <c r="BV10" s="76" t="n"/>
      <c r="BW10" s="91" t="n"/>
      <c r="BX10" s="92" t="n"/>
      <c r="BY10" s="91" t="n"/>
      <c r="BZ10" s="74" t="n"/>
      <c r="CA10" s="92" t="n"/>
      <c r="CB10" s="148" t="n"/>
      <c r="CC10" s="149" t="n"/>
      <c r="CD10" s="150" t="n"/>
      <c r="CE10" s="99" t="n"/>
      <c r="CF10" s="100" t="n"/>
      <c r="CG10" s="100" t="n"/>
      <c r="CH10" s="100" t="n"/>
      <c r="CI10" s="100" t="n"/>
      <c r="CJ10" s="100" t="n"/>
      <c r="CK10" s="100" t="n"/>
      <c r="CL10" s="100" t="n"/>
      <c r="CM10" s="100" t="n"/>
      <c r="CN10" s="100" t="n"/>
      <c r="CO10" s="100" t="n"/>
      <c r="CP10" s="102" t="n"/>
      <c r="CQ10" s="15" t="n"/>
      <c r="CR10" s="546" t="n"/>
      <c r="CS10" s="546" t="n"/>
      <c r="CT10" s="17" t="n"/>
      <c r="CU10" s="15" t="n"/>
      <c r="CV10" s="546" t="n"/>
      <c r="CW10" s="546" t="n"/>
      <c r="CX10" s="17" t="n"/>
      <c r="CY10" s="31" t="n"/>
      <c r="CZ10" s="349" t="n"/>
      <c r="DA10" s="665" t="n"/>
      <c r="DB10" s="45" t="n"/>
      <c r="DC10" s="351" t="n"/>
      <c r="DD10" s="31" t="n"/>
      <c r="DE10" s="45" t="n"/>
      <c r="DF10" s="45" t="n"/>
      <c r="DG10" s="351" t="n"/>
      <c r="DH10" s="663" t="n"/>
      <c r="DI10" s="107" t="n"/>
      <c r="DJ10" s="587" t="n"/>
      <c r="DK10" s="108" t="n"/>
      <c r="DL10" s="15" t="n"/>
      <c r="DM10" s="546" t="n"/>
      <c r="DN10" s="17" t="n"/>
      <c r="DO10" s="15" t="n"/>
      <c r="DP10" s="546" t="n"/>
      <c r="DQ10" s="546" t="n"/>
      <c r="DR10" s="17" t="n"/>
      <c r="DS10" s="31" t="n"/>
      <c r="DT10" s="45" t="n"/>
      <c r="DU10" s="45" t="n"/>
      <c r="DV10" s="45" t="n"/>
      <c r="DW10" s="45" t="n"/>
      <c r="DX10" s="45" t="n"/>
      <c r="DY10" s="45" t="n"/>
      <c r="DZ10" s="45" t="n"/>
      <c r="EA10" s="45" t="n"/>
      <c r="EB10" s="45" t="n"/>
      <c r="EC10" s="45" t="n"/>
      <c r="ED10" s="351" t="n"/>
      <c r="EE10" s="606" t="n"/>
      <c r="EF10" s="65">
        <f>AVERAGE(Y10,W10,T10,O10,J10)</f>
        <v/>
      </c>
      <c r="EG10" s="248" t="n">
        <v>75</v>
      </c>
      <c r="EH10" s="66">
        <f>AVERAGE(F10:H10)</f>
        <v/>
      </c>
      <c r="EI10" s="66">
        <f>AVERAGE(U10,K10,X10,Z10,AA10)</f>
        <v/>
      </c>
      <c r="EJ10" s="66">
        <f>AVERAGE(L10)</f>
        <v/>
      </c>
      <c r="EK10" s="66" t="n"/>
      <c r="EL10" s="66" t="n"/>
      <c r="EM10" s="66" t="n"/>
      <c r="EN10" s="66" t="n"/>
      <c r="EO10" s="66" t="n"/>
    </row>
    <row r="11" ht="15.6" customHeight="1" s="590">
      <c r="B11" s="12" t="n">
        <v>5</v>
      </c>
      <c r="C11" s="13" t="inlineStr">
        <is>
          <t>052-sp23-22264</t>
        </is>
      </c>
      <c r="D11" s="14" t="inlineStr">
        <is>
          <t>Faraz Ahmed Shakoor</t>
        </is>
      </c>
      <c r="E11" s="74" t="n">
        <v>74.62</v>
      </c>
      <c r="F11" s="75" t="n">
        <v>81.25</v>
      </c>
      <c r="G11" s="154" t="n">
        <v>86.19</v>
      </c>
      <c r="H11" s="76" t="n">
        <v>92.73</v>
      </c>
      <c r="I11" s="91" t="n"/>
      <c r="J11" s="237" t="n">
        <v>75.5</v>
      </c>
      <c r="K11" s="238" t="n">
        <v>88</v>
      </c>
      <c r="L11" s="238" t="n">
        <v>98.81</v>
      </c>
      <c r="M11" s="237" t="n">
        <v>71.88</v>
      </c>
      <c r="N11" s="238" t="n">
        <v>72.70999999999999</v>
      </c>
      <c r="O11" s="225" t="n">
        <v>86</v>
      </c>
      <c r="P11" s="225" t="n">
        <v>79.33</v>
      </c>
      <c r="Q11" s="225" t="n">
        <v>100</v>
      </c>
      <c r="R11" s="225" t="n">
        <v>100</v>
      </c>
      <c r="S11" s="163" t="n"/>
      <c r="T11" s="237" t="n">
        <v>90.33</v>
      </c>
      <c r="U11" s="238" t="n">
        <v>84.87</v>
      </c>
      <c r="V11" s="139" t="n"/>
      <c r="W11" s="143" t="n">
        <v>90.33</v>
      </c>
      <c r="X11" s="144" t="n">
        <v>84.87</v>
      </c>
      <c r="Y11" s="170" t="n">
        <v>90</v>
      </c>
      <c r="Z11" s="347" t="n">
        <v>88.33</v>
      </c>
      <c r="AA11" s="348" t="n"/>
      <c r="AB11" s="237" t="n"/>
      <c r="AC11" s="238" t="n"/>
      <c r="AD11" s="238" t="n"/>
      <c r="AE11" s="237" t="n"/>
      <c r="AF11" s="238" t="n"/>
      <c r="AG11" s="225" t="n"/>
      <c r="AH11" s="225" t="n"/>
      <c r="AI11" s="225" t="n"/>
      <c r="AJ11" s="225" t="n"/>
      <c r="AK11" s="163" t="n"/>
      <c r="AL11" s="237" t="n"/>
      <c r="AM11" s="238" t="n"/>
      <c r="AN11" s="139" t="n"/>
      <c r="AO11" s="143" t="n"/>
      <c r="AP11" s="144" t="n"/>
      <c r="AQ11" s="170" t="n">
        <v>90</v>
      </c>
      <c r="AR11" s="347" t="n">
        <v>88.33</v>
      </c>
      <c r="AS11" s="348" t="n"/>
      <c r="AT11" s="318" t="n"/>
      <c r="AU11" s="318" t="n"/>
      <c r="AV11" s="318" t="n"/>
      <c r="AW11" s="318" t="n"/>
      <c r="AX11" s="318" t="n"/>
      <c r="AY11" s="140" t="n"/>
      <c r="AZ11" s="108" t="n"/>
      <c r="BA11" s="141" t="n"/>
      <c r="BB11" s="140" t="n"/>
      <c r="BC11" s="140" t="n"/>
      <c r="BD11" s="140" t="n"/>
      <c r="BE11" s="147" t="n"/>
      <c r="BF11" s="664" t="n"/>
      <c r="BG11" s="107" t="n"/>
      <c r="BH11" s="140" t="n"/>
      <c r="BI11" s="140" t="n"/>
      <c r="BJ11" s="107" t="n"/>
      <c r="BK11" s="587" t="n"/>
      <c r="BL11" s="587" t="n"/>
      <c r="BM11" s="141" t="n"/>
      <c r="BN11" s="140" t="n"/>
      <c r="BO11" s="140" t="n"/>
      <c r="BP11" s="140" t="n"/>
      <c r="BQ11" s="140" t="n"/>
      <c r="BR11" s="147" t="n"/>
      <c r="BS11" s="74" t="n"/>
      <c r="BT11" s="75" t="n"/>
      <c r="BU11" s="76" t="n"/>
      <c r="BV11" s="76" t="n"/>
      <c r="BW11" s="91" t="n"/>
      <c r="BX11" s="92" t="n"/>
      <c r="BY11" s="91" t="n"/>
      <c r="BZ11" s="74" t="n"/>
      <c r="CA11" s="92" t="n"/>
      <c r="CB11" s="148" t="n"/>
      <c r="CC11" s="149" t="n"/>
      <c r="CD11" s="150" t="n"/>
      <c r="CE11" s="99" t="n"/>
      <c r="CF11" s="100" t="n"/>
      <c r="CG11" s="100" t="n"/>
      <c r="CH11" s="100" t="n"/>
      <c r="CI11" s="100" t="n"/>
      <c r="CJ11" s="100" t="n"/>
      <c r="CK11" s="100" t="n"/>
      <c r="CL11" s="100" t="n"/>
      <c r="CM11" s="100" t="n"/>
      <c r="CN11" s="100" t="n"/>
      <c r="CO11" s="100" t="n"/>
      <c r="CP11" s="102" t="n"/>
      <c r="CQ11" s="15" t="n"/>
      <c r="CR11" s="546" t="n"/>
      <c r="CS11" s="546" t="n"/>
      <c r="CT11" s="17" t="n"/>
      <c r="CU11" s="15" t="n"/>
      <c r="CV11" s="546" t="n"/>
      <c r="CW11" s="546" t="n"/>
      <c r="CX11" s="17" t="n"/>
      <c r="CY11" s="31" t="n"/>
      <c r="CZ11" s="349" t="n"/>
      <c r="DA11" s="665" t="n"/>
      <c r="DB11" s="45" t="n"/>
      <c r="DC11" s="351" t="n"/>
      <c r="DD11" s="31" t="n"/>
      <c r="DE11" s="45" t="n"/>
      <c r="DF11" s="45" t="n"/>
      <c r="DG11" s="351" t="n"/>
      <c r="DH11" s="663" t="n"/>
      <c r="DI11" s="107" t="n"/>
      <c r="DJ11" s="587" t="n"/>
      <c r="DK11" s="108" t="n"/>
      <c r="DL11" s="15" t="n"/>
      <c r="DM11" s="546" t="n"/>
      <c r="DN11" s="17" t="n"/>
      <c r="DO11" s="15" t="n"/>
      <c r="DP11" s="546" t="n"/>
      <c r="DQ11" s="546" t="n"/>
      <c r="DR11" s="17" t="n"/>
      <c r="DS11" s="31" t="n"/>
      <c r="DT11" s="45" t="n"/>
      <c r="DU11" s="45" t="n"/>
      <c r="DV11" s="45" t="n"/>
      <c r="DW11" s="45" t="n"/>
      <c r="DX11" s="45" t="n"/>
      <c r="DY11" s="45" t="n"/>
      <c r="DZ11" s="45" t="n"/>
      <c r="EA11" s="45" t="n"/>
      <c r="EB11" s="45" t="n"/>
      <c r="EC11" s="45" t="n"/>
      <c r="ED11" s="351" t="n"/>
      <c r="EE11" s="606" t="n"/>
      <c r="EF11" s="65">
        <f>AVERAGE(Y11,W11,T11,O11,J11)</f>
        <v/>
      </c>
      <c r="EG11" s="248" t="n">
        <v>75.5</v>
      </c>
      <c r="EH11" s="66">
        <f>AVERAGE(F11:H11)</f>
        <v/>
      </c>
      <c r="EI11" s="66">
        <f>AVERAGE(U11,K11,X11,Z11,AA11)</f>
        <v/>
      </c>
      <c r="EJ11" s="66">
        <f>AVERAGE(L11)</f>
        <v/>
      </c>
      <c r="EK11" s="66" t="n"/>
      <c r="EL11" s="66" t="n"/>
      <c r="EM11" s="66" t="n"/>
      <c r="EN11" s="66" t="n"/>
      <c r="EO11" s="66" t="n"/>
    </row>
    <row r="12" ht="15.6" customHeight="1" s="590">
      <c r="B12" s="12" t="n">
        <v>6</v>
      </c>
      <c r="C12" s="13" t="inlineStr">
        <is>
          <t>052-sp23-22164</t>
        </is>
      </c>
      <c r="D12" s="14" t="inlineStr">
        <is>
          <t>Salman Anwar</t>
        </is>
      </c>
      <c r="E12" s="74" t="n">
        <v>64.62</v>
      </c>
      <c r="F12" s="75" t="n">
        <v>68.25</v>
      </c>
      <c r="G12" s="154" t="n">
        <v>70.48</v>
      </c>
      <c r="H12" s="76" t="n">
        <v>68.48</v>
      </c>
      <c r="I12" s="91" t="n"/>
      <c r="J12" s="237" t="n">
        <v>52.5</v>
      </c>
      <c r="K12" s="238" t="n">
        <v>54</v>
      </c>
      <c r="L12" s="238" t="n">
        <v>64.05</v>
      </c>
      <c r="M12" s="237" t="n">
        <v>46.25</v>
      </c>
      <c r="N12" s="238" t="n">
        <v>49.79</v>
      </c>
      <c r="O12" s="225" t="n">
        <v>84</v>
      </c>
      <c r="P12" s="225" t="n">
        <v>74</v>
      </c>
      <c r="Q12" s="225" t="n">
        <v>100</v>
      </c>
      <c r="R12" s="225" t="n">
        <v>100</v>
      </c>
      <c r="S12" s="163" t="n"/>
      <c r="T12" s="237" t="n">
        <v>72.67</v>
      </c>
      <c r="U12" s="238" t="n">
        <v>65.13</v>
      </c>
      <c r="V12" s="139" t="n"/>
      <c r="W12" s="143" t="n">
        <v>73.33</v>
      </c>
      <c r="X12" s="144" t="n">
        <v>87.45</v>
      </c>
      <c r="Y12" s="170" t="n">
        <v>76.94</v>
      </c>
      <c r="Z12" s="347" t="n">
        <v>67.86</v>
      </c>
      <c r="AA12" s="348" t="n">
        <v>77.5</v>
      </c>
      <c r="AB12" s="237" t="n"/>
      <c r="AC12" s="238" t="n"/>
      <c r="AD12" s="238" t="n"/>
      <c r="AE12" s="237" t="n"/>
      <c r="AF12" s="238" t="n"/>
      <c r="AG12" s="225" t="n"/>
      <c r="AH12" s="225" t="n"/>
      <c r="AI12" s="225" t="n"/>
      <c r="AJ12" s="225" t="n"/>
      <c r="AK12" s="163" t="n"/>
      <c r="AL12" s="237" t="n"/>
      <c r="AM12" s="238" t="n"/>
      <c r="AN12" s="139" t="n"/>
      <c r="AO12" s="143" t="n"/>
      <c r="AP12" s="144" t="n"/>
      <c r="AQ12" s="170" t="n">
        <v>76.94</v>
      </c>
      <c r="AR12" s="347" t="n">
        <v>67.86</v>
      </c>
      <c r="AS12" s="348" t="n">
        <v>77.5</v>
      </c>
      <c r="AT12" s="318" t="n"/>
      <c r="AU12" s="318" t="n"/>
      <c r="AV12" s="318" t="n"/>
      <c r="AW12" s="318" t="n"/>
      <c r="AX12" s="318" t="n"/>
      <c r="AY12" s="140" t="n"/>
      <c r="AZ12" s="108" t="n"/>
      <c r="BA12" s="141" t="n"/>
      <c r="BB12" s="140" t="n"/>
      <c r="BC12" s="140" t="n"/>
      <c r="BD12" s="140" t="n"/>
      <c r="BE12" s="147" t="n"/>
      <c r="BF12" s="664" t="n"/>
      <c r="BG12" s="107" t="n"/>
      <c r="BH12" s="140" t="n"/>
      <c r="BI12" s="140" t="n"/>
      <c r="BJ12" s="107" t="n"/>
      <c r="BK12" s="587" t="n"/>
      <c r="BL12" s="587" t="n"/>
      <c r="BM12" s="141" t="n"/>
      <c r="BN12" s="140" t="n"/>
      <c r="BO12" s="140" t="n"/>
      <c r="BP12" s="140" t="n"/>
      <c r="BQ12" s="140" t="n"/>
      <c r="BR12" s="147" t="n"/>
      <c r="BS12" s="74" t="n"/>
      <c r="BT12" s="75" t="n"/>
      <c r="BU12" s="76" t="n"/>
      <c r="BV12" s="76" t="n"/>
      <c r="BW12" s="91" t="n"/>
      <c r="BX12" s="92" t="n"/>
      <c r="BY12" s="91" t="n"/>
      <c r="BZ12" s="74" t="n"/>
      <c r="CA12" s="92" t="n"/>
      <c r="CB12" s="148" t="n"/>
      <c r="CC12" s="149" t="n"/>
      <c r="CD12" s="150" t="n"/>
      <c r="CE12" s="99" t="n"/>
      <c r="CF12" s="100" t="n"/>
      <c r="CG12" s="100" t="n"/>
      <c r="CH12" s="100" t="n"/>
      <c r="CI12" s="100" t="n"/>
      <c r="CJ12" s="100" t="n"/>
      <c r="CK12" s="100" t="n"/>
      <c r="CL12" s="100" t="n"/>
      <c r="CM12" s="100" t="n"/>
      <c r="CN12" s="100" t="n"/>
      <c r="CO12" s="100" t="n"/>
      <c r="CP12" s="102" t="n"/>
      <c r="CQ12" s="15" t="n"/>
      <c r="CR12" s="546" t="n"/>
      <c r="CS12" s="546" t="n"/>
      <c r="CT12" s="17" t="n"/>
      <c r="CU12" s="15" t="n"/>
      <c r="CV12" s="546" t="n"/>
      <c r="CW12" s="546" t="n"/>
      <c r="CX12" s="17" t="n"/>
      <c r="CY12" s="31" t="n"/>
      <c r="CZ12" s="349" t="n"/>
      <c r="DA12" s="665" t="n"/>
      <c r="DB12" s="45" t="n"/>
      <c r="DC12" s="351" t="n"/>
      <c r="DD12" s="31" t="n"/>
      <c r="DE12" s="45" t="n"/>
      <c r="DF12" s="45" t="n"/>
      <c r="DG12" s="351" t="n"/>
      <c r="DH12" s="663" t="n"/>
      <c r="DI12" s="107" t="n"/>
      <c r="DJ12" s="587" t="n"/>
      <c r="DK12" s="108" t="n"/>
      <c r="DL12" s="15" t="n"/>
      <c r="DM12" s="546" t="n"/>
      <c r="DN12" s="17" t="n"/>
      <c r="DO12" s="15" t="n"/>
      <c r="DP12" s="546" t="n"/>
      <c r="DQ12" s="546" t="n"/>
      <c r="DR12" s="17" t="n"/>
      <c r="DS12" s="31" t="n"/>
      <c r="DT12" s="45" t="n"/>
      <c r="DU12" s="45" t="n"/>
      <c r="DV12" s="45" t="n"/>
      <c r="DW12" s="45" t="n"/>
      <c r="DX12" s="45" t="n"/>
      <c r="DY12" s="45" t="n"/>
      <c r="DZ12" s="45" t="n"/>
      <c r="EA12" s="45" t="n"/>
      <c r="EB12" s="45" t="n"/>
      <c r="EC12" s="45" t="n"/>
      <c r="ED12" s="351" t="n"/>
      <c r="EE12" s="606" t="n"/>
      <c r="EF12" s="65">
        <f>AVERAGE(Y12,W12,T12,O12,J12)</f>
        <v/>
      </c>
      <c r="EG12" s="248" t="n">
        <v>52.5</v>
      </c>
      <c r="EH12" s="66">
        <f>AVERAGE(F12:H12)</f>
        <v/>
      </c>
      <c r="EI12" s="66">
        <f>AVERAGE(U12,K12,X12,Z12,AA12)</f>
        <v/>
      </c>
      <c r="EJ12" s="66">
        <f>AVERAGE(L12)</f>
        <v/>
      </c>
      <c r="EK12" s="66" t="n"/>
      <c r="EL12" s="66" t="n"/>
      <c r="EM12" s="66" t="n"/>
      <c r="EN12" s="66" t="n"/>
      <c r="EO12" s="66" t="n"/>
    </row>
    <row r="13" ht="15.6" customHeight="1" s="590">
      <c r="B13" s="12" t="n">
        <v>7</v>
      </c>
      <c r="C13" s="13" t="inlineStr">
        <is>
          <t>052-sp23-22114</t>
        </is>
      </c>
      <c r="D13" s="14" t="inlineStr">
        <is>
          <t>Nayyab Taj</t>
        </is>
      </c>
      <c r="E13" s="74" t="n">
        <v>0</v>
      </c>
      <c r="F13" s="75" t="n">
        <v>0</v>
      </c>
      <c r="G13" s="154" t="n">
        <v>0</v>
      </c>
      <c r="H13" s="76" t="n">
        <v>85.76000000000001</v>
      </c>
      <c r="I13" s="91" t="n"/>
      <c r="J13" s="546" t="n">
        <v>0</v>
      </c>
      <c r="K13" s="546" t="n">
        <v>0</v>
      </c>
      <c r="L13" s="546" t="n">
        <v>0</v>
      </c>
      <c r="M13" s="546" t="n">
        <v>0</v>
      </c>
      <c r="N13" s="583" t="n">
        <v>0</v>
      </c>
      <c r="O13" s="141" t="n">
        <v>0</v>
      </c>
      <c r="P13" s="162" t="n">
        <v>0</v>
      </c>
      <c r="Q13" s="162" t="n">
        <v>0</v>
      </c>
      <c r="R13" s="242" t="n">
        <v>0</v>
      </c>
      <c r="S13" s="163" t="n"/>
      <c r="T13" s="141" t="n">
        <v>0</v>
      </c>
      <c r="U13" s="587" t="n">
        <v>0</v>
      </c>
      <c r="V13" s="139" t="n"/>
      <c r="W13" s="143" t="n">
        <v>57.27</v>
      </c>
      <c r="X13" s="144" t="n">
        <v>78.18000000000001</v>
      </c>
      <c r="Y13" s="170" t="n">
        <v>0</v>
      </c>
      <c r="Z13" s="347" t="n">
        <v>0</v>
      </c>
      <c r="AA13" s="348" t="n">
        <v>0</v>
      </c>
      <c r="AB13" s="546" t="n"/>
      <c r="AC13" s="546" t="n"/>
      <c r="AD13" s="546" t="n"/>
      <c r="AE13" s="546" t="n"/>
      <c r="AF13" s="583" t="n"/>
      <c r="AG13" s="141" t="n"/>
      <c r="AH13" s="162" t="n"/>
      <c r="AI13" s="162" t="n"/>
      <c r="AJ13" s="242" t="n"/>
      <c r="AK13" s="163" t="n"/>
      <c r="AL13" s="141" t="n"/>
      <c r="AM13" s="587" t="n"/>
      <c r="AN13" s="139" t="n"/>
      <c r="AO13" s="143" t="n"/>
      <c r="AP13" s="144" t="n"/>
      <c r="AQ13" s="170" t="n">
        <v>0</v>
      </c>
      <c r="AR13" s="347" t="n">
        <v>0</v>
      </c>
      <c r="AS13" s="348" t="n">
        <v>0</v>
      </c>
      <c r="AT13" s="318" t="n"/>
      <c r="AU13" s="318" t="n"/>
      <c r="AV13" s="318" t="n"/>
      <c r="AW13" s="318" t="n"/>
      <c r="AX13" s="318" t="n"/>
      <c r="AY13" s="140" t="n"/>
      <c r="AZ13" s="108" t="n"/>
      <c r="BA13" s="141" t="n"/>
      <c r="BB13" s="140" t="n"/>
      <c r="BC13" s="140" t="n"/>
      <c r="BD13" s="140" t="n"/>
      <c r="BE13" s="147" t="n"/>
      <c r="BF13" s="664" t="n"/>
      <c r="BG13" s="107" t="n"/>
      <c r="BH13" s="140" t="n"/>
      <c r="BI13" s="140" t="n"/>
      <c r="BJ13" s="107" t="n"/>
      <c r="BK13" s="587" t="n"/>
      <c r="BL13" s="587" t="n"/>
      <c r="BM13" s="141" t="n"/>
      <c r="BN13" s="140" t="n"/>
      <c r="BO13" s="140" t="n"/>
      <c r="BP13" s="140" t="n"/>
      <c r="BQ13" s="140" t="n"/>
      <c r="BR13" s="147" t="n"/>
      <c r="BS13" s="74" t="n"/>
      <c r="BT13" s="75" t="n"/>
      <c r="BU13" s="76" t="n"/>
      <c r="BV13" s="76" t="n"/>
      <c r="BW13" s="91" t="n"/>
      <c r="BX13" s="92" t="n"/>
      <c r="BY13" s="91" t="n"/>
      <c r="BZ13" s="74" t="n"/>
      <c r="CA13" s="92" t="n"/>
      <c r="CB13" s="148" t="n"/>
      <c r="CC13" s="149" t="n"/>
      <c r="CD13" s="150" t="n"/>
      <c r="CE13" s="99" t="n"/>
      <c r="CF13" s="100" t="n"/>
      <c r="CG13" s="100" t="n"/>
      <c r="CH13" s="100" t="n"/>
      <c r="CI13" s="100" t="n"/>
      <c r="CJ13" s="100" t="n"/>
      <c r="CK13" s="100" t="n"/>
      <c r="CL13" s="100" t="n"/>
      <c r="CM13" s="100" t="n"/>
      <c r="CN13" s="100" t="n"/>
      <c r="CO13" s="100" t="n"/>
      <c r="CP13" s="102" t="n"/>
      <c r="CQ13" s="15" t="n"/>
      <c r="CR13" s="546" t="n"/>
      <c r="CS13" s="546" t="n"/>
      <c r="CT13" s="17" t="n"/>
      <c r="CU13" s="15" t="n"/>
      <c r="CV13" s="546" t="n"/>
      <c r="CW13" s="546" t="n"/>
      <c r="CX13" s="17" t="n"/>
      <c r="CY13" s="31" t="n"/>
      <c r="CZ13" s="349" t="n"/>
      <c r="DA13" s="665" t="n"/>
      <c r="DB13" s="45" t="n"/>
      <c r="DC13" s="351" t="n"/>
      <c r="DD13" s="31" t="n"/>
      <c r="DE13" s="45" t="n"/>
      <c r="DF13" s="45" t="n"/>
      <c r="DG13" s="351" t="n"/>
      <c r="DH13" s="663" t="n"/>
      <c r="DI13" s="107" t="n"/>
      <c r="DJ13" s="587" t="n"/>
      <c r="DK13" s="108" t="n"/>
      <c r="DL13" s="15" t="n"/>
      <c r="DM13" s="546" t="n"/>
      <c r="DN13" s="17" t="n"/>
      <c r="DO13" s="15" t="n"/>
      <c r="DP13" s="546" t="n"/>
      <c r="DQ13" s="546" t="n"/>
      <c r="DR13" s="17" t="n"/>
      <c r="DS13" s="31" t="n"/>
      <c r="DT13" s="45" t="n"/>
      <c r="DU13" s="45" t="n"/>
      <c r="DV13" s="45" t="n"/>
      <c r="DW13" s="45" t="n"/>
      <c r="DX13" s="45" t="n"/>
      <c r="DY13" s="45" t="n"/>
      <c r="DZ13" s="45" t="n"/>
      <c r="EA13" s="45" t="n"/>
      <c r="EB13" s="45" t="n"/>
      <c r="EC13" s="45" t="n"/>
      <c r="ED13" s="351" t="n"/>
      <c r="EE13" s="606" t="n"/>
      <c r="EF13" s="65">
        <f>AVERAGE(Y13,W13,T13,O13,J13)</f>
        <v/>
      </c>
      <c r="EG13" s="248" t="n">
        <v>0</v>
      </c>
      <c r="EH13" s="66">
        <f>AVERAGE(F13:H13)</f>
        <v/>
      </c>
      <c r="EI13" s="66">
        <f>AVERAGE(U13,K13,X13,Z13,AA13)</f>
        <v/>
      </c>
      <c r="EJ13" s="66">
        <f>AVERAGE(L13)</f>
        <v/>
      </c>
      <c r="EK13" s="66" t="n"/>
      <c r="EL13" s="66" t="n"/>
      <c r="EM13" s="66" t="n"/>
      <c r="EN13" s="66" t="n"/>
      <c r="EO13" s="66" t="n"/>
    </row>
    <row r="14" ht="15.6" customHeight="1" s="590">
      <c r="B14" s="12" t="n">
        <v>8</v>
      </c>
      <c r="C14" s="13" t="inlineStr">
        <is>
          <t>052-sp23-22341</t>
        </is>
      </c>
      <c r="D14" s="14" t="inlineStr">
        <is>
          <t xml:space="preserve">Muhammad Usman </t>
        </is>
      </c>
      <c r="E14" s="74" t="n">
        <v>0</v>
      </c>
      <c r="F14" s="75" t="n">
        <v>0</v>
      </c>
      <c r="G14" s="154" t="n">
        <v>0</v>
      </c>
      <c r="H14" s="76" t="n">
        <v>84.84999999999999</v>
      </c>
      <c r="I14" s="91" t="n"/>
      <c r="J14" s="141" t="n">
        <v>0</v>
      </c>
      <c r="K14" s="162" t="n">
        <v>0</v>
      </c>
      <c r="L14" s="162" t="n">
        <v>0</v>
      </c>
      <c r="M14" s="162" t="n">
        <v>0</v>
      </c>
      <c r="N14" s="163" t="n">
        <v>0</v>
      </c>
      <c r="O14" s="141" t="n">
        <v>0</v>
      </c>
      <c r="P14" s="162" t="n">
        <v>0</v>
      </c>
      <c r="Q14" s="162" t="n">
        <v>0</v>
      </c>
      <c r="R14" s="242" t="n">
        <v>0</v>
      </c>
      <c r="S14" s="163" t="n"/>
      <c r="T14" s="141" t="n">
        <v>0</v>
      </c>
      <c r="U14" s="587" t="n">
        <v>0</v>
      </c>
      <c r="V14" s="139" t="n"/>
      <c r="W14" s="143" t="n">
        <v>57.27</v>
      </c>
      <c r="X14" s="144" t="n">
        <v>78.18000000000001</v>
      </c>
      <c r="Y14" s="170" t="n">
        <v>0</v>
      </c>
      <c r="Z14" s="347" t="n">
        <v>0</v>
      </c>
      <c r="AA14" s="348" t="n">
        <v>0</v>
      </c>
      <c r="AB14" s="141" t="n"/>
      <c r="AC14" s="162" t="n"/>
      <c r="AD14" s="162" t="n"/>
      <c r="AE14" s="162" t="n"/>
      <c r="AF14" s="163" t="n"/>
      <c r="AG14" s="141" t="n"/>
      <c r="AH14" s="162" t="n"/>
      <c r="AI14" s="162" t="n"/>
      <c r="AJ14" s="242" t="n"/>
      <c r="AK14" s="163" t="n"/>
      <c r="AL14" s="141" t="n"/>
      <c r="AM14" s="587" t="n"/>
      <c r="AN14" s="139" t="n"/>
      <c r="AO14" s="143" t="n"/>
      <c r="AP14" s="144" t="n"/>
      <c r="AQ14" s="170" t="n">
        <v>0</v>
      </c>
      <c r="AR14" s="347" t="n">
        <v>0</v>
      </c>
      <c r="AS14" s="348" t="n">
        <v>0</v>
      </c>
      <c r="AT14" s="587" t="n"/>
      <c r="AU14" s="587" t="n"/>
      <c r="AV14" s="587" t="n"/>
      <c r="AW14" s="587" t="n"/>
      <c r="AX14" s="587" t="n"/>
      <c r="AY14" s="140" t="n"/>
      <c r="AZ14" s="147" t="n"/>
      <c r="BA14" s="141" t="n"/>
      <c r="BB14" s="140" t="n"/>
      <c r="BC14" s="140" t="n"/>
      <c r="BD14" s="140" t="n"/>
      <c r="BE14" s="147" t="n"/>
      <c r="BF14" s="664" t="n"/>
      <c r="BG14" s="141" t="n"/>
      <c r="BH14" s="140" t="n"/>
      <c r="BI14" s="147" t="n"/>
      <c r="BJ14" s="107" t="n"/>
      <c r="BK14" s="587" t="n"/>
      <c r="BL14" s="587" t="n"/>
      <c r="BM14" s="141" t="n"/>
      <c r="BN14" s="140" t="n"/>
      <c r="BO14" s="140" t="n"/>
      <c r="BP14" s="140" t="n"/>
      <c r="BQ14" s="140" t="n"/>
      <c r="BR14" s="147" t="n"/>
      <c r="BS14" s="74" t="n"/>
      <c r="BT14" s="148" t="n"/>
      <c r="BU14" s="148" t="n"/>
      <c r="BV14" s="148" t="n"/>
      <c r="BW14" s="150" t="n"/>
      <c r="BX14" s="92" t="n"/>
      <c r="BY14" s="91" t="n"/>
      <c r="BZ14" s="74" t="n"/>
      <c r="CA14" s="92" t="n"/>
      <c r="CB14" s="148" t="n"/>
      <c r="CC14" s="149" t="n"/>
      <c r="CD14" s="150" t="n"/>
      <c r="CE14" s="99" t="n"/>
      <c r="CF14" s="100" t="n"/>
      <c r="CG14" s="100" t="n"/>
      <c r="CH14" s="100" t="n"/>
      <c r="CI14" s="100" t="n"/>
      <c r="CJ14" s="100" t="n"/>
      <c r="CK14" s="100" t="n"/>
      <c r="CL14" s="100" t="n"/>
      <c r="CM14" s="100" t="n"/>
      <c r="CN14" s="100" t="n"/>
      <c r="CO14" s="100" t="n"/>
      <c r="CP14" s="102" t="n"/>
      <c r="CQ14" s="15" t="n"/>
      <c r="CR14" s="546" t="n"/>
      <c r="CS14" s="546" t="n"/>
      <c r="CT14" s="17" t="n"/>
      <c r="CU14" s="15" t="n"/>
      <c r="CV14" s="546" t="n"/>
      <c r="CW14" s="546" t="n"/>
      <c r="CX14" s="17" t="n"/>
      <c r="CY14" s="31" t="n"/>
      <c r="CZ14" s="349" t="n"/>
      <c r="DA14" s="665" t="n"/>
      <c r="DB14" s="45" t="n"/>
      <c r="DC14" s="351" t="n"/>
      <c r="DD14" s="31" t="n"/>
      <c r="DE14" s="45" t="n"/>
      <c r="DF14" s="45" t="n"/>
      <c r="DG14" s="351" t="n"/>
      <c r="DH14" s="663" t="n"/>
      <c r="DI14" s="107" t="n"/>
      <c r="DJ14" s="587" t="n"/>
      <c r="DK14" s="108" t="n"/>
      <c r="DL14" s="15" t="n"/>
      <c r="DM14" s="546" t="n"/>
      <c r="DN14" s="17" t="n"/>
      <c r="DO14" s="15" t="n"/>
      <c r="DP14" s="546" t="n"/>
      <c r="DQ14" s="546" t="n"/>
      <c r="DR14" s="17" t="n"/>
      <c r="DS14" s="31" t="n"/>
      <c r="DT14" s="45" t="n"/>
      <c r="DU14" s="45" t="n"/>
      <c r="DV14" s="45" t="n"/>
      <c r="DW14" s="45" t="n"/>
      <c r="DX14" s="45" t="n"/>
      <c r="DY14" s="45" t="n"/>
      <c r="DZ14" s="45" t="n"/>
      <c r="EA14" s="45" t="n"/>
      <c r="EB14" s="45" t="n"/>
      <c r="EC14" s="45" t="n"/>
      <c r="ED14" s="351" t="n"/>
      <c r="EE14" s="606" t="n"/>
      <c r="EF14" s="65">
        <f>AVERAGE(Y14,W14,T14,O14,J14)</f>
        <v/>
      </c>
      <c r="EG14" s="248" t="n">
        <v>0</v>
      </c>
      <c r="EH14" s="66">
        <f>AVERAGE(F14:H14)</f>
        <v/>
      </c>
      <c r="EI14" s="66">
        <f>AVERAGE(U14,K14,X14,Z14,AA14)</f>
        <v/>
      </c>
      <c r="EJ14" s="66">
        <f>AVERAGE(L14)</f>
        <v/>
      </c>
      <c r="EK14" s="66" t="n"/>
      <c r="EL14" s="66" t="n"/>
      <c r="EM14" s="66" t="n"/>
      <c r="EN14" s="66" t="n"/>
      <c r="EO14" s="66" t="n"/>
    </row>
    <row r="15" ht="15.6" customHeight="1" s="590">
      <c r="B15" s="12" t="n">
        <v>9</v>
      </c>
      <c r="C15" s="13" t="inlineStr">
        <is>
          <t>052-sp23-22050</t>
        </is>
      </c>
      <c r="D15" s="14" t="inlineStr">
        <is>
          <t xml:space="preserve">Abu bakar </t>
        </is>
      </c>
      <c r="E15" s="74" t="n">
        <v>53.89</v>
      </c>
      <c r="F15" s="75" t="n">
        <v>76</v>
      </c>
      <c r="G15" s="154" t="n">
        <v>65.70999999999999</v>
      </c>
      <c r="H15" s="76" t="n">
        <v>67.73</v>
      </c>
      <c r="I15" s="91" t="n"/>
      <c r="J15" s="237" t="n">
        <v>29</v>
      </c>
      <c r="K15" s="238" t="n">
        <v>30</v>
      </c>
      <c r="L15" s="238" t="n">
        <v>30.95</v>
      </c>
      <c r="M15" s="237" t="n">
        <v>46.74</v>
      </c>
      <c r="N15" s="238" t="n">
        <v>43.33</v>
      </c>
      <c r="O15" s="225" t="n">
        <v>76</v>
      </c>
      <c r="P15" s="225" t="n">
        <v>66.67</v>
      </c>
      <c r="Q15" s="225" t="n">
        <v>100</v>
      </c>
      <c r="R15" s="225" t="n">
        <v>100</v>
      </c>
      <c r="S15" s="163" t="n"/>
      <c r="T15" s="237" t="n">
        <v>75.67</v>
      </c>
      <c r="U15" s="238" t="n">
        <v>72.81999999999999</v>
      </c>
      <c r="V15" s="139" t="n"/>
      <c r="W15" s="143" t="n">
        <v>75.67</v>
      </c>
      <c r="X15" s="144" t="n">
        <v>72.81999999999999</v>
      </c>
      <c r="Y15" s="170" t="n">
        <v>74.72</v>
      </c>
      <c r="Z15" s="347" t="n">
        <v>75.3</v>
      </c>
      <c r="AA15" s="348" t="n">
        <v>82.5</v>
      </c>
      <c r="AB15" s="237" t="n"/>
      <c r="AC15" s="238" t="n"/>
      <c r="AD15" s="238" t="n"/>
      <c r="AE15" s="237" t="n"/>
      <c r="AF15" s="238" t="n"/>
      <c r="AG15" s="225" t="n"/>
      <c r="AH15" s="225" t="n"/>
      <c r="AI15" s="225" t="n"/>
      <c r="AJ15" s="225" t="n"/>
      <c r="AK15" s="163" t="n"/>
      <c r="AL15" s="237" t="n"/>
      <c r="AM15" s="238" t="n"/>
      <c r="AN15" s="139" t="n"/>
      <c r="AO15" s="143" t="n"/>
      <c r="AP15" s="144" t="n"/>
      <c r="AQ15" s="170" t="n">
        <v>74.72</v>
      </c>
      <c r="AR15" s="347" t="n">
        <v>75.3</v>
      </c>
      <c r="AS15" s="348" t="n">
        <v>82.5</v>
      </c>
      <c r="AT15" s="587" t="n"/>
      <c r="AU15" s="587" t="n"/>
      <c r="AV15" s="587" t="n"/>
      <c r="AW15" s="587" t="n"/>
      <c r="AX15" s="587" t="n"/>
      <c r="AY15" s="140" t="n"/>
      <c r="AZ15" s="147" t="n"/>
      <c r="BA15" s="141" t="n"/>
      <c r="BB15" s="140" t="n"/>
      <c r="BC15" s="140" t="n"/>
      <c r="BD15" s="140" t="n"/>
      <c r="BE15" s="147" t="n"/>
      <c r="BF15" s="664" t="n"/>
      <c r="BG15" s="141" t="n"/>
      <c r="BH15" s="140" t="n"/>
      <c r="BI15" s="147" t="n"/>
      <c r="BJ15" s="107" t="n"/>
      <c r="BK15" s="587" t="n"/>
      <c r="BL15" s="587" t="n"/>
      <c r="BM15" s="141" t="n"/>
      <c r="BN15" s="140" t="n"/>
      <c r="BO15" s="140" t="n"/>
      <c r="BP15" s="140" t="n"/>
      <c r="BQ15" s="140" t="n"/>
      <c r="BR15" s="147" t="n"/>
      <c r="BS15" s="74" t="n"/>
      <c r="BT15" s="148" t="n"/>
      <c r="BU15" s="148" t="n"/>
      <c r="BV15" s="148" t="n"/>
      <c r="BW15" s="150" t="n"/>
      <c r="BX15" s="92" t="n"/>
      <c r="BY15" s="91" t="n"/>
      <c r="BZ15" s="74" t="n"/>
      <c r="CA15" s="92" t="n"/>
      <c r="CB15" s="148" t="n"/>
      <c r="CC15" s="149" t="n"/>
      <c r="CD15" s="150" t="n"/>
      <c r="CE15" s="99" t="n"/>
      <c r="CF15" s="100" t="n"/>
      <c r="CG15" s="100" t="n"/>
      <c r="CH15" s="100" t="n"/>
      <c r="CI15" s="100" t="n"/>
      <c r="CJ15" s="100" t="n"/>
      <c r="CK15" s="100" t="n"/>
      <c r="CL15" s="100" t="n"/>
      <c r="CM15" s="100" t="n"/>
      <c r="CN15" s="100" t="n"/>
      <c r="CO15" s="100" t="n"/>
      <c r="CP15" s="102" t="n"/>
      <c r="CQ15" s="15" t="n"/>
      <c r="CR15" s="546" t="n"/>
      <c r="CS15" s="546" t="n"/>
      <c r="CT15" s="17" t="n"/>
      <c r="CU15" s="15" t="n"/>
      <c r="CV15" s="546" t="n"/>
      <c r="CW15" s="546" t="n"/>
      <c r="CX15" s="17" t="n"/>
      <c r="CY15" s="31" t="n"/>
      <c r="CZ15" s="349" t="n"/>
      <c r="DA15" s="665" t="n"/>
      <c r="DB15" s="45" t="n"/>
      <c r="DC15" s="351" t="n"/>
      <c r="DD15" s="31" t="n"/>
      <c r="DE15" s="45" t="n"/>
      <c r="DF15" s="45" t="n"/>
      <c r="DG15" s="351" t="n"/>
      <c r="DH15" s="663" t="n"/>
      <c r="DI15" s="107" t="n"/>
      <c r="DJ15" s="587" t="n"/>
      <c r="DK15" s="108" t="n"/>
      <c r="DL15" s="15" t="n"/>
      <c r="DM15" s="546" t="n"/>
      <c r="DN15" s="17" t="n"/>
      <c r="DO15" s="15" t="n"/>
      <c r="DP15" s="546" t="n"/>
      <c r="DQ15" s="546" t="n"/>
      <c r="DR15" s="17" t="n"/>
      <c r="DS15" s="31" t="n"/>
      <c r="DT15" s="45" t="n"/>
      <c r="DU15" s="45" t="n"/>
      <c r="DV15" s="45" t="n"/>
      <c r="DW15" s="45" t="n"/>
      <c r="DX15" s="45" t="n"/>
      <c r="DY15" s="45" t="n"/>
      <c r="DZ15" s="45" t="n"/>
      <c r="EA15" s="45" t="n"/>
      <c r="EB15" s="45" t="n"/>
      <c r="EC15" s="45" t="n"/>
      <c r="ED15" s="351" t="n"/>
      <c r="EE15" s="606" t="n"/>
      <c r="EF15" s="65">
        <f>AVERAGE(Y15,W15,T15,O15,J15)</f>
        <v/>
      </c>
      <c r="EG15" s="248" t="n">
        <v>29</v>
      </c>
      <c r="EH15" s="66">
        <f>AVERAGE(F15:H15)</f>
        <v/>
      </c>
      <c r="EI15" s="66">
        <f>AVERAGE(U15,K15,X15,Z15,AA15)</f>
        <v/>
      </c>
      <c r="EJ15" s="66">
        <f>AVERAGE(L15)</f>
        <v/>
      </c>
      <c r="EK15" s="66" t="n"/>
      <c r="EL15" s="66" t="n"/>
      <c r="EM15" s="66" t="n"/>
      <c r="EN15" s="66" t="n"/>
      <c r="EO15" s="66" t="n"/>
    </row>
    <row r="16" ht="15.6" customHeight="1" s="590">
      <c r="B16" s="12" t="n">
        <v>10</v>
      </c>
      <c r="C16" s="13" t="inlineStr">
        <is>
          <t>052-sp23-22100</t>
        </is>
      </c>
      <c r="D16" s="14" t="inlineStr">
        <is>
          <t>Saif Ullah Naseer</t>
        </is>
      </c>
      <c r="E16" s="74" t="n">
        <v>58.06</v>
      </c>
      <c r="F16" s="75" t="n">
        <v>68.5</v>
      </c>
      <c r="G16" s="154" t="n">
        <v>68.56999999999999</v>
      </c>
      <c r="H16" s="76" t="n">
        <v>63.03</v>
      </c>
      <c r="I16" s="91" t="n"/>
      <c r="J16" s="237" t="n">
        <v>47.75</v>
      </c>
      <c r="K16" s="238" t="n">
        <v>60</v>
      </c>
      <c r="L16" s="238" t="n">
        <v>98.81</v>
      </c>
      <c r="M16" s="237" t="n">
        <v>46.94</v>
      </c>
      <c r="N16" s="238" t="n">
        <v>55.42</v>
      </c>
      <c r="O16" s="225" t="n">
        <v>70</v>
      </c>
      <c r="P16" s="225" t="n">
        <v>66.67</v>
      </c>
      <c r="Q16" s="225" t="n">
        <v>100</v>
      </c>
      <c r="R16" s="225" t="n">
        <v>100</v>
      </c>
      <c r="S16" s="163" t="n"/>
      <c r="T16" s="237" t="n">
        <v>68</v>
      </c>
      <c r="U16" s="238" t="n">
        <v>57.95</v>
      </c>
      <c r="V16" s="139" t="n"/>
      <c r="W16" s="143" t="n">
        <v>68</v>
      </c>
      <c r="X16" s="144" t="n">
        <v>81.7</v>
      </c>
      <c r="Y16" s="170" t="n">
        <v>76.11</v>
      </c>
      <c r="Z16" s="347" t="n">
        <v>73.98999999999999</v>
      </c>
      <c r="AA16" s="348" t="n">
        <v>80</v>
      </c>
      <c r="AB16" s="237" t="n"/>
      <c r="AC16" s="238" t="n"/>
      <c r="AD16" s="238" t="n"/>
      <c r="AE16" s="237" t="n"/>
      <c r="AF16" s="238" t="n"/>
      <c r="AG16" s="225" t="n"/>
      <c r="AH16" s="225" t="n"/>
      <c r="AI16" s="225" t="n"/>
      <c r="AJ16" s="225" t="n"/>
      <c r="AK16" s="163" t="n"/>
      <c r="AL16" s="237" t="n"/>
      <c r="AM16" s="238" t="n"/>
      <c r="AN16" s="139" t="n"/>
      <c r="AO16" s="143" t="n"/>
      <c r="AP16" s="144" t="n"/>
      <c r="AQ16" s="170" t="n">
        <v>76.11</v>
      </c>
      <c r="AR16" s="347" t="n">
        <v>73.98999999999999</v>
      </c>
      <c r="AS16" s="348" t="n">
        <v>80</v>
      </c>
      <c r="AT16" s="587" t="n"/>
      <c r="AU16" s="587" t="n"/>
      <c r="AV16" s="587" t="n"/>
      <c r="AW16" s="587" t="n"/>
      <c r="AX16" s="587" t="n"/>
      <c r="AY16" s="140" t="n"/>
      <c r="AZ16" s="147" t="n"/>
      <c r="BA16" s="141" t="n"/>
      <c r="BB16" s="140" t="n"/>
      <c r="BC16" s="140" t="n"/>
      <c r="BD16" s="140" t="n"/>
      <c r="BE16" s="147" t="n"/>
      <c r="BF16" s="664" t="n"/>
      <c r="BG16" s="141" t="n"/>
      <c r="BH16" s="140" t="n"/>
      <c r="BI16" s="147" t="n"/>
      <c r="BJ16" s="107" t="n"/>
      <c r="BK16" s="587" t="n"/>
      <c r="BL16" s="587" t="n"/>
      <c r="BM16" s="141" t="n"/>
      <c r="BN16" s="140" t="n"/>
      <c r="BO16" s="140" t="n"/>
      <c r="BP16" s="140" t="n"/>
      <c r="BQ16" s="140" t="n"/>
      <c r="BR16" s="147" t="n"/>
      <c r="BS16" s="74" t="n"/>
      <c r="BT16" s="148" t="n"/>
      <c r="BU16" s="148" t="n"/>
      <c r="BV16" s="148" t="n"/>
      <c r="BW16" s="150" t="n"/>
      <c r="BX16" s="92" t="n"/>
      <c r="BY16" s="91" t="n"/>
      <c r="BZ16" s="74" t="n"/>
      <c r="CA16" s="92" t="n"/>
      <c r="CB16" s="148" t="n"/>
      <c r="CC16" s="149" t="n"/>
      <c r="CD16" s="150" t="n"/>
      <c r="CE16" s="99" t="n"/>
      <c r="CF16" s="100" t="n"/>
      <c r="CG16" s="100" t="n"/>
      <c r="CH16" s="100" t="n"/>
      <c r="CI16" s="100" t="n"/>
      <c r="CJ16" s="100" t="n"/>
      <c r="CK16" s="100" t="n"/>
      <c r="CL16" s="100" t="n"/>
      <c r="CM16" s="100" t="n"/>
      <c r="CN16" s="100" t="n"/>
      <c r="CO16" s="100" t="n"/>
      <c r="CP16" s="102" t="n"/>
      <c r="CQ16" s="15" t="n"/>
      <c r="CR16" s="546" t="n"/>
      <c r="CS16" s="546" t="n"/>
      <c r="CT16" s="17" t="n"/>
      <c r="CU16" s="15" t="n"/>
      <c r="CV16" s="546" t="n"/>
      <c r="CW16" s="546" t="n"/>
      <c r="CX16" s="17" t="n"/>
      <c r="CY16" s="31" t="n"/>
      <c r="CZ16" s="349" t="n"/>
      <c r="DA16" s="665" t="n"/>
      <c r="DB16" s="45" t="n"/>
      <c r="DC16" s="351" t="n"/>
      <c r="DD16" s="31" t="n"/>
      <c r="DE16" s="45" t="n"/>
      <c r="DF16" s="45" t="n"/>
      <c r="DG16" s="351" t="n"/>
      <c r="DH16" s="663" t="n"/>
      <c r="DI16" s="107" t="n"/>
      <c r="DJ16" s="587" t="n"/>
      <c r="DK16" s="108" t="n"/>
      <c r="DL16" s="15" t="n"/>
      <c r="DM16" s="546" t="n"/>
      <c r="DN16" s="17" t="n"/>
      <c r="DO16" s="15" t="n"/>
      <c r="DP16" s="546" t="n"/>
      <c r="DQ16" s="546" t="n"/>
      <c r="DR16" s="17" t="n"/>
      <c r="DS16" s="31" t="n"/>
      <c r="DT16" s="45" t="n"/>
      <c r="DU16" s="45" t="n"/>
      <c r="DV16" s="45" t="n"/>
      <c r="DW16" s="45" t="n"/>
      <c r="DX16" s="45" t="n"/>
      <c r="DY16" s="45" t="n"/>
      <c r="DZ16" s="45" t="n"/>
      <c r="EA16" s="45" t="n"/>
      <c r="EB16" s="45" t="n"/>
      <c r="EC16" s="45" t="n"/>
      <c r="ED16" s="351" t="n"/>
      <c r="EE16" s="606" t="n"/>
      <c r="EF16" s="65">
        <f>AVERAGE(Y16,W16,T16,O16,J16)</f>
        <v/>
      </c>
      <c r="EG16" s="248" t="n">
        <v>47.75</v>
      </c>
      <c r="EH16" s="66">
        <f>AVERAGE(F16:H16)</f>
        <v/>
      </c>
      <c r="EI16" s="66">
        <f>AVERAGE(U16,K16,X16,Z16,AA16)</f>
        <v/>
      </c>
      <c r="EJ16" s="66">
        <f>AVERAGE(L16)</f>
        <v/>
      </c>
      <c r="EK16" s="66" t="n"/>
      <c r="EL16" s="66" t="n"/>
      <c r="EM16" s="66" t="n"/>
      <c r="EN16" s="66" t="n"/>
      <c r="EO16" s="66" t="n"/>
    </row>
    <row r="17" ht="15.6" customHeight="1" s="590">
      <c r="B17" s="12" t="n">
        <v>11</v>
      </c>
      <c r="C17" s="13" t="inlineStr">
        <is>
          <t>052-sp23-22033</t>
        </is>
      </c>
      <c r="D17" s="14" t="inlineStr">
        <is>
          <t>Saad Mehmood Abbasi</t>
        </is>
      </c>
      <c r="E17" s="74" t="n">
        <v>63.54</v>
      </c>
      <c r="F17" s="155" t="n">
        <v>67</v>
      </c>
      <c r="G17" s="154" t="n">
        <v>63.33</v>
      </c>
      <c r="H17" s="76" t="n"/>
      <c r="I17" s="91" t="n"/>
      <c r="J17" s="237" t="n">
        <v>51.75</v>
      </c>
      <c r="K17" s="238" t="n">
        <v>44</v>
      </c>
      <c r="L17" s="238" t="n">
        <v>54.52</v>
      </c>
      <c r="M17" s="237" t="n">
        <v>47.57</v>
      </c>
      <c r="N17" s="238" t="n">
        <v>52.5</v>
      </c>
      <c r="O17" s="225" t="n">
        <v>74</v>
      </c>
      <c r="P17" s="225" t="n">
        <v>58</v>
      </c>
      <c r="Q17" s="225" t="n">
        <v>100</v>
      </c>
      <c r="R17" s="225" t="n">
        <v>100</v>
      </c>
      <c r="S17" s="163" t="n"/>
      <c r="T17" s="237" t="n">
        <v>66</v>
      </c>
      <c r="U17" s="238" t="n">
        <v>68.72</v>
      </c>
      <c r="V17" s="139" t="n"/>
      <c r="W17" s="143" t="n">
        <v>66.33</v>
      </c>
      <c r="X17" s="144" t="n">
        <v>68.72</v>
      </c>
      <c r="Y17" s="170" t="n">
        <v>78.61</v>
      </c>
      <c r="Z17" s="347" t="n">
        <v>69.05</v>
      </c>
      <c r="AA17" s="348" t="n">
        <v>90</v>
      </c>
      <c r="AB17" s="237" t="n"/>
      <c r="AC17" s="238" t="n"/>
      <c r="AD17" s="238" t="n"/>
      <c r="AE17" s="237" t="n"/>
      <c r="AF17" s="238" t="n"/>
      <c r="AG17" s="225" t="n"/>
      <c r="AH17" s="225" t="n"/>
      <c r="AI17" s="225" t="n"/>
      <c r="AJ17" s="225" t="n"/>
      <c r="AK17" s="163" t="n"/>
      <c r="AL17" s="237" t="n"/>
      <c r="AM17" s="238" t="n"/>
      <c r="AN17" s="139" t="n"/>
      <c r="AO17" s="143" t="n"/>
      <c r="AP17" s="144" t="n"/>
      <c r="AQ17" s="170" t="n">
        <v>78.61</v>
      </c>
      <c r="AR17" s="347" t="n">
        <v>69.05</v>
      </c>
      <c r="AS17" s="348" t="n">
        <v>90</v>
      </c>
      <c r="AT17" s="587" t="n"/>
      <c r="AU17" s="587" t="n"/>
      <c r="AV17" s="587" t="n"/>
      <c r="AW17" s="587" t="n"/>
      <c r="AX17" s="587" t="n"/>
      <c r="AY17" s="140" t="n"/>
      <c r="AZ17" s="147" t="n"/>
      <c r="BA17" s="141" t="n"/>
      <c r="BB17" s="140" t="n"/>
      <c r="BC17" s="140" t="n"/>
      <c r="BD17" s="140" t="n"/>
      <c r="BE17" s="147" t="n"/>
      <c r="BF17" s="664" t="n"/>
      <c r="BG17" s="141" t="n"/>
      <c r="BH17" s="140" t="n"/>
      <c r="BI17" s="147" t="n"/>
      <c r="BJ17" s="107" t="n"/>
      <c r="BK17" s="587" t="n"/>
      <c r="BL17" s="587" t="n"/>
      <c r="BM17" s="141" t="n"/>
      <c r="BN17" s="140" t="n"/>
      <c r="BO17" s="140" t="n"/>
      <c r="BP17" s="140" t="n"/>
      <c r="BQ17" s="140" t="n"/>
      <c r="BR17" s="147" t="n"/>
      <c r="BS17" s="74" t="n"/>
      <c r="BT17" s="148" t="n"/>
      <c r="BU17" s="148" t="n"/>
      <c r="BV17" s="148" t="n"/>
      <c r="BW17" s="150" t="n"/>
      <c r="BX17" s="92" t="n"/>
      <c r="BY17" s="91" t="n"/>
      <c r="BZ17" s="74" t="n"/>
      <c r="CA17" s="92" t="n"/>
      <c r="CB17" s="148" t="n"/>
      <c r="CC17" s="149" t="n"/>
      <c r="CD17" s="150" t="n"/>
      <c r="CE17" s="99" t="n"/>
      <c r="CF17" s="100" t="n"/>
      <c r="CG17" s="100" t="n"/>
      <c r="CH17" s="100" t="n"/>
      <c r="CI17" s="100" t="n"/>
      <c r="CJ17" s="100" t="n"/>
      <c r="CK17" s="100" t="n"/>
      <c r="CL17" s="100" t="n"/>
      <c r="CM17" s="100" t="n"/>
      <c r="CN17" s="100" t="n"/>
      <c r="CO17" s="100" t="n"/>
      <c r="CP17" s="102" t="n"/>
      <c r="CQ17" s="15" t="n"/>
      <c r="CR17" s="546" t="n"/>
      <c r="CS17" s="546" t="n"/>
      <c r="CT17" s="17" t="n"/>
      <c r="CU17" s="15" t="n"/>
      <c r="CV17" s="546" t="n"/>
      <c r="CW17" s="546" t="n"/>
      <c r="CX17" s="17" t="n"/>
      <c r="CY17" s="31" t="n"/>
      <c r="CZ17" s="349" t="n"/>
      <c r="DA17" s="665" t="n"/>
      <c r="DB17" s="45" t="n"/>
      <c r="DC17" s="351" t="n"/>
      <c r="DD17" s="31" t="n"/>
      <c r="DE17" s="45" t="n"/>
      <c r="DF17" s="45" t="n"/>
      <c r="DG17" s="351" t="n"/>
      <c r="DH17" s="663" t="n"/>
      <c r="DI17" s="107" t="n"/>
      <c r="DJ17" s="587" t="n"/>
      <c r="DK17" s="108" t="n"/>
      <c r="DL17" s="15" t="n"/>
      <c r="DM17" s="546" t="n"/>
      <c r="DN17" s="17" t="n"/>
      <c r="DO17" s="15" t="n"/>
      <c r="DP17" s="546" t="n"/>
      <c r="DQ17" s="546" t="n"/>
      <c r="DR17" s="17" t="n"/>
      <c r="DS17" s="31" t="n"/>
      <c r="DT17" s="45" t="n"/>
      <c r="DU17" s="45" t="n"/>
      <c r="DV17" s="45" t="n"/>
      <c r="DW17" s="45" t="n"/>
      <c r="DX17" s="45" t="n"/>
      <c r="DY17" s="45" t="n"/>
      <c r="DZ17" s="45" t="n"/>
      <c r="EA17" s="45" t="n"/>
      <c r="EB17" s="45" t="n"/>
      <c r="EC17" s="45" t="n"/>
      <c r="ED17" s="351" t="n"/>
      <c r="EE17" s="606" t="n"/>
      <c r="EF17" s="65">
        <f>AVERAGE(Y17,W17,T17,O17,J17)</f>
        <v/>
      </c>
      <c r="EG17" s="248" t="n">
        <v>51.75</v>
      </c>
      <c r="EH17" s="66">
        <f>AVERAGE(F17:H17)</f>
        <v/>
      </c>
      <c r="EI17" s="66">
        <f>AVERAGE(U17,K17,X17,Z17,AA17)</f>
        <v/>
      </c>
      <c r="EJ17" s="66">
        <f>AVERAGE(L17)</f>
        <v/>
      </c>
      <c r="EK17" s="66" t="n"/>
      <c r="EL17" s="66" t="n"/>
      <c r="EM17" s="66" t="n"/>
      <c r="EN17" s="66" t="n"/>
      <c r="EO17" s="66" t="n"/>
    </row>
    <row r="18" ht="15.6" customHeight="1" s="590">
      <c r="B18" s="12" t="n">
        <v>12</v>
      </c>
      <c r="C18" s="13" t="inlineStr">
        <is>
          <t>052-sp23-22126</t>
        </is>
      </c>
      <c r="D18" s="14" t="inlineStr">
        <is>
          <t xml:space="preserve">Ali Hassan </t>
        </is>
      </c>
      <c r="E18" s="74" t="n">
        <v>78.68000000000001</v>
      </c>
      <c r="F18" s="75" t="n">
        <v>80.75</v>
      </c>
      <c r="G18" s="154" t="n">
        <v>86.67</v>
      </c>
      <c r="H18" s="76" t="n">
        <v>87.73</v>
      </c>
      <c r="I18" s="91" t="n"/>
      <c r="J18" s="237" t="n">
        <v>70.25</v>
      </c>
      <c r="K18" s="238" t="n">
        <v>92</v>
      </c>
      <c r="L18" s="238" t="n">
        <v>98.81</v>
      </c>
      <c r="M18" s="237" t="n">
        <v>86.18000000000001</v>
      </c>
      <c r="N18" s="238" t="n">
        <v>85.42</v>
      </c>
      <c r="O18" s="225" t="n">
        <v>78</v>
      </c>
      <c r="P18" s="225" t="n">
        <v>91.33</v>
      </c>
      <c r="Q18" s="225" t="n">
        <v>96.67</v>
      </c>
      <c r="R18" s="225" t="n">
        <v>100</v>
      </c>
      <c r="S18" s="163" t="n"/>
      <c r="T18" s="237" t="n">
        <v>90</v>
      </c>
      <c r="U18" s="238" t="n">
        <v>89.48999999999999</v>
      </c>
      <c r="V18" s="139" t="n"/>
      <c r="W18" s="143" t="n">
        <v>92.42</v>
      </c>
      <c r="X18" s="144" t="n">
        <v>94.79000000000001</v>
      </c>
      <c r="Y18" s="170" t="n">
        <v>83.89</v>
      </c>
      <c r="Z18" s="347" t="n">
        <v>79.45</v>
      </c>
      <c r="AA18" s="348" t="n">
        <v>92.5</v>
      </c>
      <c r="AB18" s="237" t="n"/>
      <c r="AC18" s="238" t="n"/>
      <c r="AD18" s="238" t="n"/>
      <c r="AE18" s="237" t="n"/>
      <c r="AF18" s="238" t="n"/>
      <c r="AG18" s="225" t="n"/>
      <c r="AH18" s="225" t="n"/>
      <c r="AI18" s="225" t="n"/>
      <c r="AJ18" s="225" t="n"/>
      <c r="AK18" s="163" t="n"/>
      <c r="AL18" s="237" t="n"/>
      <c r="AM18" s="238" t="n"/>
      <c r="AN18" s="139" t="n"/>
      <c r="AO18" s="143" t="n"/>
      <c r="AP18" s="144" t="n"/>
      <c r="AQ18" s="170" t="n">
        <v>83.89</v>
      </c>
      <c r="AR18" s="347" t="n">
        <v>79.45</v>
      </c>
      <c r="AS18" s="348" t="n">
        <v>92.5</v>
      </c>
      <c r="AT18" s="587" t="n"/>
      <c r="AU18" s="587" t="n"/>
      <c r="AV18" s="587" t="n"/>
      <c r="AW18" s="587" t="n"/>
      <c r="AX18" s="587" t="n"/>
      <c r="AY18" s="140" t="n"/>
      <c r="AZ18" s="147" t="n"/>
      <c r="BA18" s="141" t="n"/>
      <c r="BB18" s="140" t="n"/>
      <c r="BC18" s="140" t="n"/>
      <c r="BD18" s="140" t="n"/>
      <c r="BE18" s="147" t="n"/>
      <c r="BF18" s="664" t="n"/>
      <c r="BG18" s="141" t="n"/>
      <c r="BH18" s="140" t="n"/>
      <c r="BI18" s="147" t="n"/>
      <c r="BJ18" s="107" t="n"/>
      <c r="BK18" s="587" t="n"/>
      <c r="BL18" s="587" t="n"/>
      <c r="BM18" s="141" t="n"/>
      <c r="BN18" s="140" t="n"/>
      <c r="BO18" s="140" t="n"/>
      <c r="BP18" s="140" t="n"/>
      <c r="BQ18" s="140" t="n"/>
      <c r="BR18" s="147" t="n"/>
      <c r="BS18" s="74" t="n"/>
      <c r="BT18" s="148" t="n"/>
      <c r="BU18" s="148" t="n"/>
      <c r="BV18" s="148" t="n"/>
      <c r="BW18" s="150" t="n"/>
      <c r="BX18" s="92" t="n"/>
      <c r="BY18" s="91" t="n"/>
      <c r="BZ18" s="74" t="n"/>
      <c r="CA18" s="92" t="n"/>
      <c r="CB18" s="148" t="n"/>
      <c r="CC18" s="149" t="n"/>
      <c r="CD18" s="150" t="n"/>
      <c r="CE18" s="99" t="n"/>
      <c r="CF18" s="100" t="n"/>
      <c r="CG18" s="100" t="n"/>
      <c r="CH18" s="100" t="n"/>
      <c r="CI18" s="100" t="n"/>
      <c r="CJ18" s="100" t="n"/>
      <c r="CK18" s="100" t="n"/>
      <c r="CL18" s="100" t="n"/>
      <c r="CM18" s="100" t="n"/>
      <c r="CN18" s="100" t="n"/>
      <c r="CO18" s="100" t="n"/>
      <c r="CP18" s="102" t="n"/>
      <c r="CQ18" s="15" t="n"/>
      <c r="CR18" s="546" t="n"/>
      <c r="CS18" s="546" t="n"/>
      <c r="CT18" s="17" t="n"/>
      <c r="CU18" s="15" t="n"/>
      <c r="CV18" s="546" t="n"/>
      <c r="CW18" s="546" t="n"/>
      <c r="CX18" s="17" t="n"/>
      <c r="CY18" s="31" t="n"/>
      <c r="CZ18" s="349" t="n"/>
      <c r="DA18" s="665" t="n"/>
      <c r="DB18" s="45" t="n"/>
      <c r="DC18" s="351" t="n"/>
      <c r="DD18" s="31" t="n"/>
      <c r="DE18" s="45" t="n"/>
      <c r="DF18" s="45" t="n"/>
      <c r="DG18" s="351" t="n"/>
      <c r="DH18" s="663" t="n"/>
      <c r="DI18" s="107" t="n"/>
      <c r="DJ18" s="587" t="n"/>
      <c r="DK18" s="108" t="n"/>
      <c r="DL18" s="15" t="n"/>
      <c r="DM18" s="546" t="n"/>
      <c r="DN18" s="17" t="n"/>
      <c r="DO18" s="15" t="n"/>
      <c r="DP18" s="546" t="n"/>
      <c r="DQ18" s="546" t="n"/>
      <c r="DR18" s="17" t="n"/>
      <c r="DS18" s="31" t="n"/>
      <c r="DT18" s="45" t="n"/>
      <c r="DU18" s="45" t="n"/>
      <c r="DV18" s="45" t="n"/>
      <c r="DW18" s="45" t="n"/>
      <c r="DX18" s="45" t="n"/>
      <c r="DY18" s="45" t="n"/>
      <c r="DZ18" s="45" t="n"/>
      <c r="EA18" s="45" t="n"/>
      <c r="EB18" s="45" t="n"/>
      <c r="EC18" s="45" t="n"/>
      <c r="ED18" s="351" t="n"/>
      <c r="EE18" s="606" t="n"/>
      <c r="EF18" s="65">
        <f>AVERAGE(Y18,W18,T18,O18,J18)</f>
        <v/>
      </c>
      <c r="EG18" s="248" t="n">
        <v>70.25</v>
      </c>
      <c r="EH18" s="66">
        <f>AVERAGE(F18:H18)</f>
        <v/>
      </c>
      <c r="EI18" s="66">
        <f>AVERAGE(U18,K18,X18,Z18,AA18)</f>
        <v/>
      </c>
      <c r="EJ18" s="66">
        <f>AVERAGE(L18)</f>
        <v/>
      </c>
      <c r="EK18" s="66" t="n"/>
      <c r="EL18" s="66" t="n"/>
      <c r="EM18" s="66" t="n"/>
      <c r="EN18" s="66" t="n"/>
      <c r="EO18" s="66" t="n"/>
    </row>
    <row r="19" ht="15.6" customHeight="1" s="590">
      <c r="B19" s="12" t="n">
        <v>13</v>
      </c>
      <c r="C19" s="13" t="inlineStr">
        <is>
          <t>052-sp23-22016</t>
        </is>
      </c>
      <c r="D19" s="14" t="inlineStr">
        <is>
          <t xml:space="preserve">M. Fasih Ur Rehman </t>
        </is>
      </c>
      <c r="E19" s="74" t="n">
        <v>75.34999999999999</v>
      </c>
      <c r="F19" s="75" t="n">
        <v>79.5</v>
      </c>
      <c r="G19" s="154" t="n">
        <v>81.43000000000001</v>
      </c>
      <c r="H19" s="76" t="n">
        <v>86.36</v>
      </c>
      <c r="I19" s="91" t="n"/>
      <c r="J19" s="237" t="n">
        <v>93</v>
      </c>
      <c r="K19" s="238" t="n">
        <v>74</v>
      </c>
      <c r="L19" s="238" t="n">
        <v>70.48</v>
      </c>
      <c r="M19" s="237" t="n">
        <v>47.99</v>
      </c>
      <c r="N19" s="238" t="n">
        <v>50.83</v>
      </c>
      <c r="O19" s="225" t="n">
        <v>82</v>
      </c>
      <c r="P19" s="225" t="n">
        <v>87.33</v>
      </c>
      <c r="Q19" s="225" t="n">
        <v>100</v>
      </c>
      <c r="R19" s="225" t="n">
        <v>100</v>
      </c>
      <c r="S19" s="163" t="n"/>
      <c r="T19" s="237" t="n">
        <v>83.67</v>
      </c>
      <c r="U19" s="238" t="n">
        <v>82.05</v>
      </c>
      <c r="V19" s="139" t="n"/>
      <c r="W19" s="143" t="n">
        <v>83.67</v>
      </c>
      <c r="X19" s="144" t="n">
        <v>82.05</v>
      </c>
      <c r="Y19" s="170" t="n">
        <v>66.94</v>
      </c>
      <c r="Z19" s="347" t="n">
        <v>79.61</v>
      </c>
      <c r="AA19" s="348" t="n">
        <v>82.5</v>
      </c>
      <c r="AB19" s="237" t="n"/>
      <c r="AC19" s="238" t="n"/>
      <c r="AD19" s="238" t="n"/>
      <c r="AE19" s="237" t="n"/>
      <c r="AF19" s="238" t="n"/>
      <c r="AG19" s="225" t="n"/>
      <c r="AH19" s="225" t="n"/>
      <c r="AI19" s="225" t="n"/>
      <c r="AJ19" s="225" t="n"/>
      <c r="AK19" s="163" t="n"/>
      <c r="AL19" s="237" t="n"/>
      <c r="AM19" s="238" t="n"/>
      <c r="AN19" s="139" t="n"/>
      <c r="AO19" s="143" t="n"/>
      <c r="AP19" s="144" t="n"/>
      <c r="AQ19" s="170" t="n">
        <v>66.94</v>
      </c>
      <c r="AR19" s="347" t="n">
        <v>79.61</v>
      </c>
      <c r="AS19" s="348" t="n">
        <v>82.5</v>
      </c>
      <c r="AT19" s="587" t="n"/>
      <c r="AU19" s="587" t="n"/>
      <c r="AV19" s="587" t="n"/>
      <c r="AW19" s="587" t="n"/>
      <c r="AX19" s="587" t="n"/>
      <c r="AY19" s="140" t="n"/>
      <c r="AZ19" s="147" t="n"/>
      <c r="BA19" s="141" t="n"/>
      <c r="BB19" s="140" t="n"/>
      <c r="BC19" s="140" t="n"/>
      <c r="BD19" s="140" t="n"/>
      <c r="BE19" s="147" t="n"/>
      <c r="BF19" s="664" t="n"/>
      <c r="BG19" s="141" t="n"/>
      <c r="BH19" s="140" t="n"/>
      <c r="BI19" s="147" t="n"/>
      <c r="BJ19" s="107" t="n"/>
      <c r="BK19" s="587" t="n"/>
      <c r="BL19" s="587" t="n"/>
      <c r="BM19" s="141" t="n"/>
      <c r="BN19" s="140" t="n"/>
      <c r="BO19" s="140" t="n"/>
      <c r="BP19" s="140" t="n"/>
      <c r="BQ19" s="140" t="n"/>
      <c r="BR19" s="147" t="n"/>
      <c r="BS19" s="74" t="n"/>
      <c r="BT19" s="148" t="n"/>
      <c r="BU19" s="148" t="n"/>
      <c r="BV19" s="148" t="n"/>
      <c r="BW19" s="150" t="n"/>
      <c r="BX19" s="92" t="n"/>
      <c r="BY19" s="91" t="n"/>
      <c r="BZ19" s="74" t="n"/>
      <c r="CA19" s="92" t="n"/>
      <c r="CB19" s="148" t="n"/>
      <c r="CC19" s="149" t="n"/>
      <c r="CD19" s="150" t="n"/>
      <c r="CE19" s="99" t="n"/>
      <c r="CF19" s="100" t="n"/>
      <c r="CG19" s="100" t="n"/>
      <c r="CH19" s="100" t="n"/>
      <c r="CI19" s="100" t="n"/>
      <c r="CJ19" s="100" t="n"/>
      <c r="CK19" s="100" t="n"/>
      <c r="CL19" s="100" t="n"/>
      <c r="CM19" s="100" t="n"/>
      <c r="CN19" s="100" t="n"/>
      <c r="CO19" s="100" t="n"/>
      <c r="CP19" s="102" t="n"/>
      <c r="CQ19" s="15" t="n"/>
      <c r="CR19" s="546" t="n"/>
      <c r="CS19" s="546" t="n"/>
      <c r="CT19" s="17" t="n"/>
      <c r="CU19" s="15" t="n"/>
      <c r="CV19" s="546" t="n"/>
      <c r="CW19" s="546" t="n"/>
      <c r="CX19" s="17" t="n"/>
      <c r="CY19" s="31" t="n"/>
      <c r="CZ19" s="349" t="n"/>
      <c r="DA19" s="665" t="n"/>
      <c r="DB19" s="45" t="n"/>
      <c r="DC19" s="351" t="n"/>
      <c r="DD19" s="31" t="n"/>
      <c r="DE19" s="45" t="n"/>
      <c r="DF19" s="45" t="n"/>
      <c r="DG19" s="351" t="n"/>
      <c r="DH19" s="663" t="n"/>
      <c r="DI19" s="107" t="n"/>
      <c r="DJ19" s="587" t="n"/>
      <c r="DK19" s="108" t="n"/>
      <c r="DL19" s="15" t="n"/>
      <c r="DM19" s="546" t="n"/>
      <c r="DN19" s="17" t="n"/>
      <c r="DO19" s="15" t="n"/>
      <c r="DP19" s="546" t="n"/>
      <c r="DQ19" s="546" t="n"/>
      <c r="DR19" s="17" t="n"/>
      <c r="DS19" s="31" t="n"/>
      <c r="DT19" s="45" t="n"/>
      <c r="DU19" s="45" t="n"/>
      <c r="DV19" s="45" t="n"/>
      <c r="DW19" s="45" t="n"/>
      <c r="DX19" s="45" t="n"/>
      <c r="DY19" s="45" t="n"/>
      <c r="DZ19" s="45" t="n"/>
      <c r="EA19" s="45" t="n"/>
      <c r="EB19" s="45" t="n"/>
      <c r="EC19" s="45" t="n"/>
      <c r="ED19" s="351" t="n"/>
      <c r="EE19" s="606" t="n"/>
      <c r="EF19" s="65">
        <f>AVERAGE(Y19,W19,T19,O19,J19)</f>
        <v/>
      </c>
      <c r="EG19" s="248" t="n">
        <v>93</v>
      </c>
      <c r="EH19" s="66">
        <f>AVERAGE(F19:H19)</f>
        <v/>
      </c>
      <c r="EI19" s="66">
        <f>AVERAGE(U19,K19,X19,Z19,AA19)</f>
        <v/>
      </c>
      <c r="EJ19" s="66">
        <f>AVERAGE(L19)</f>
        <v/>
      </c>
      <c r="EK19" s="66" t="n"/>
      <c r="EL19" s="66" t="n"/>
      <c r="EM19" s="66" t="n"/>
      <c r="EN19" s="66" t="n"/>
      <c r="EO19" s="66" t="n"/>
    </row>
    <row r="20" ht="15.6" customHeight="1" s="590">
      <c r="B20" s="12" t="n">
        <v>14</v>
      </c>
      <c r="C20" s="13" t="inlineStr">
        <is>
          <t xml:space="preserve">052-23-122004  </t>
        </is>
      </c>
      <c r="D20" s="14" t="inlineStr">
        <is>
          <t xml:space="preserve">Khubaib Ashraf </t>
        </is>
      </c>
      <c r="E20" s="74" t="n">
        <v>63.61</v>
      </c>
      <c r="F20" s="75" t="n">
        <v>75.5</v>
      </c>
      <c r="G20" s="154" t="n">
        <v>77.14</v>
      </c>
      <c r="H20" s="76" t="n">
        <v>88.64</v>
      </c>
      <c r="I20" s="91" t="n"/>
      <c r="J20" s="237" t="n">
        <v>71</v>
      </c>
      <c r="K20" s="238" t="n">
        <v>82</v>
      </c>
      <c r="L20" s="238" t="n">
        <v>100</v>
      </c>
      <c r="M20" s="237" t="n">
        <v>82.70999999999999</v>
      </c>
      <c r="N20" s="238" t="n">
        <v>87.5</v>
      </c>
      <c r="O20" s="225" t="n">
        <v>76</v>
      </c>
      <c r="P20" s="225" t="n">
        <v>58.67</v>
      </c>
      <c r="Q20" s="225" t="n">
        <v>100</v>
      </c>
      <c r="R20" s="225" t="n">
        <v>100</v>
      </c>
      <c r="S20" s="163" t="n"/>
      <c r="T20" s="237" t="n">
        <v>76</v>
      </c>
      <c r="U20" s="238" t="n">
        <v>74.87</v>
      </c>
      <c r="V20" s="139" t="n"/>
      <c r="W20" s="168" t="n">
        <v>76</v>
      </c>
      <c r="X20" s="172" t="n">
        <v>74.86</v>
      </c>
      <c r="Y20" s="170" t="inlineStr">
        <is>
          <t>81..39</t>
        </is>
      </c>
      <c r="Z20" s="347" t="n">
        <v>72.59</v>
      </c>
      <c r="AA20" s="348" t="n">
        <v>82.5</v>
      </c>
      <c r="AB20" s="237" t="n"/>
      <c r="AC20" s="238" t="n"/>
      <c r="AD20" s="238" t="n"/>
      <c r="AE20" s="237" t="n"/>
      <c r="AF20" s="238" t="n"/>
      <c r="AG20" s="225" t="n"/>
      <c r="AH20" s="225" t="n"/>
      <c r="AI20" s="225" t="n"/>
      <c r="AJ20" s="225" t="n"/>
      <c r="AK20" s="163" t="n"/>
      <c r="AL20" s="237" t="n"/>
      <c r="AM20" s="238" t="n"/>
      <c r="AN20" s="139" t="n"/>
      <c r="AO20" s="168" t="n"/>
      <c r="AP20" s="172" t="n"/>
      <c r="AQ20" s="170" t="inlineStr">
        <is>
          <t>81..39</t>
        </is>
      </c>
      <c r="AR20" s="347" t="n">
        <v>72.59</v>
      </c>
      <c r="AS20" s="348" t="n">
        <v>82.5</v>
      </c>
      <c r="AT20" s="587" t="n"/>
      <c r="AU20" s="587" t="n"/>
      <c r="AV20" s="587" t="n"/>
      <c r="AW20" s="587" t="n"/>
      <c r="AX20" s="587" t="n"/>
      <c r="AY20" s="140" t="n"/>
      <c r="AZ20" s="147" t="n"/>
      <c r="BA20" s="141" t="n"/>
      <c r="BB20" s="140" t="n"/>
      <c r="BC20" s="140" t="n"/>
      <c r="BD20" s="140" t="n"/>
      <c r="BE20" s="147" t="n"/>
      <c r="BF20" s="664" t="n"/>
      <c r="BG20" s="141" t="n"/>
      <c r="BH20" s="140" t="n"/>
      <c r="BI20" s="147" t="n"/>
      <c r="BJ20" s="107" t="n"/>
      <c r="BK20" s="587" t="n"/>
      <c r="BL20" s="587" t="n"/>
      <c r="BM20" s="141" t="n"/>
      <c r="BN20" s="140" t="n"/>
      <c r="BO20" s="140" t="n"/>
      <c r="BP20" s="140" t="n"/>
      <c r="BQ20" s="140" t="n"/>
      <c r="BR20" s="147" t="n"/>
      <c r="BS20" s="74" t="n"/>
      <c r="BT20" s="148" t="n"/>
      <c r="BU20" s="148" t="n"/>
      <c r="BV20" s="148" t="n"/>
      <c r="BW20" s="150" t="n"/>
      <c r="BX20" s="92" t="n"/>
      <c r="BY20" s="91" t="n"/>
      <c r="BZ20" s="74" t="n"/>
      <c r="CA20" s="92" t="n"/>
      <c r="CB20" s="148" t="n"/>
      <c r="CC20" s="149" t="n"/>
      <c r="CD20" s="150" t="n"/>
      <c r="CE20" s="99" t="n"/>
      <c r="CF20" s="100" t="n"/>
      <c r="CG20" s="100" t="n"/>
      <c r="CH20" s="100" t="n"/>
      <c r="CI20" s="100" t="n"/>
      <c r="CJ20" s="100" t="n"/>
      <c r="CK20" s="100" t="n"/>
      <c r="CL20" s="100" t="n"/>
      <c r="CM20" s="100" t="n"/>
      <c r="CN20" s="100" t="n"/>
      <c r="CO20" s="100" t="n"/>
      <c r="CP20" s="102" t="n"/>
      <c r="CQ20" s="15" t="n"/>
      <c r="CR20" s="546" t="n"/>
      <c r="CS20" s="546" t="n"/>
      <c r="CT20" s="17" t="n"/>
      <c r="CU20" s="15" t="n"/>
      <c r="CV20" s="546" t="n"/>
      <c r="CW20" s="546" t="n"/>
      <c r="CX20" s="17" t="n"/>
      <c r="CY20" s="31" t="n"/>
      <c r="CZ20" s="349" t="n"/>
      <c r="DA20" s="665" t="n"/>
      <c r="DB20" s="45" t="n"/>
      <c r="DC20" s="351" t="n"/>
      <c r="DD20" s="31" t="n"/>
      <c r="DE20" s="45" t="n"/>
      <c r="DF20" s="45" t="n"/>
      <c r="DG20" s="351" t="n"/>
      <c r="DH20" s="663" t="n"/>
      <c r="DI20" s="107" t="n"/>
      <c r="DJ20" s="587" t="n"/>
      <c r="DK20" s="108" t="n"/>
      <c r="DL20" s="15" t="n"/>
      <c r="DM20" s="546" t="n"/>
      <c r="DN20" s="17" t="n"/>
      <c r="DO20" s="15" t="n"/>
      <c r="DP20" s="546" t="n"/>
      <c r="DQ20" s="546" t="n"/>
      <c r="DR20" s="17" t="n"/>
      <c r="DS20" s="31" t="n"/>
      <c r="DT20" s="45" t="n"/>
      <c r="DU20" s="45" t="n"/>
      <c r="DV20" s="45" t="n"/>
      <c r="DW20" s="45" t="n"/>
      <c r="DX20" s="45" t="n"/>
      <c r="DY20" s="45" t="n"/>
      <c r="DZ20" s="45" t="n"/>
      <c r="EA20" s="45" t="n"/>
      <c r="EB20" s="45" t="n"/>
      <c r="EC20" s="45" t="n"/>
      <c r="ED20" s="351" t="n"/>
      <c r="EE20" s="606" t="n"/>
      <c r="EF20" s="65">
        <f>AVERAGE(Y20,W20,T20,O20,J20)</f>
        <v/>
      </c>
      <c r="EG20" s="248" t="n">
        <v>71</v>
      </c>
      <c r="EH20" s="66">
        <f>AVERAGE(F20:H20)</f>
        <v/>
      </c>
      <c r="EI20" s="66">
        <f>AVERAGE(U20,K20,X20,Z20,AA20)</f>
        <v/>
      </c>
      <c r="EJ20" s="66">
        <f>AVERAGE(L20)</f>
        <v/>
      </c>
      <c r="EK20" s="66" t="n"/>
      <c r="EL20" s="66" t="n"/>
      <c r="EM20" s="66" t="n"/>
      <c r="EN20" s="66" t="n"/>
      <c r="EO20" s="66" t="n"/>
    </row>
    <row r="21" ht="14.25" customHeight="1" s="590">
      <c r="B21" s="352" t="inlineStr">
        <is>
          <t>Class Average</t>
        </is>
      </c>
      <c r="C21" s="674" t="n"/>
      <c r="D21" s="674" t="n"/>
      <c r="E21" s="77">
        <f>AVERAGE(E7:E13)</f>
        <v/>
      </c>
      <c r="F21" s="354">
        <f>AVERAGE(F7:F13)</f>
        <v/>
      </c>
      <c r="G21" s="354">
        <f>AVERAGE(G7:G13)</f>
        <v/>
      </c>
      <c r="H21" s="77">
        <f>AVERAGE(H7:H13)</f>
        <v/>
      </c>
      <c r="I21" s="676" t="n"/>
      <c r="J21" s="77">
        <f>AVERAGE(J7:J13)</f>
        <v/>
      </c>
      <c r="K21" s="77">
        <f>AVERAGE(K7:K13)</f>
        <v/>
      </c>
      <c r="L21" s="77">
        <f>AVERAGE(L7:L13)</f>
        <v/>
      </c>
      <c r="M21" s="77">
        <f>AVERAGE(M7:M13)</f>
        <v/>
      </c>
      <c r="N21" s="77">
        <f>AVERAGE(N7:N13)</f>
        <v/>
      </c>
      <c r="O21" s="77">
        <f>AVERAGE(O7:O13)</f>
        <v/>
      </c>
      <c r="P21" s="77">
        <f>AVERAGE(P7:P13)</f>
        <v/>
      </c>
      <c r="Q21" s="77">
        <f>AVERAGE(Q7:Q13)</f>
        <v/>
      </c>
      <c r="R21" s="77">
        <f>AVERAGE(R7:R13)</f>
        <v/>
      </c>
      <c r="S21" s="77">
        <f>AVERAGE(S7:S13)</f>
        <v/>
      </c>
      <c r="T21" s="77">
        <f>AVERAGE(T7:T13)</f>
        <v/>
      </c>
      <c r="U21" s="354">
        <f>AVERAGE(U7:U13)</f>
        <v/>
      </c>
      <c r="V21" s="77">
        <f>AVERAGE(V7:V13)</f>
        <v/>
      </c>
      <c r="W21" s="169">
        <f>AVERAGE(W7:W13)</f>
        <v/>
      </c>
      <c r="X21" s="169">
        <f>AVERAGE(X7:X13)</f>
        <v/>
      </c>
      <c r="Y21" s="145">
        <f>AVERAGE(Y7:Y13)</f>
        <v/>
      </c>
      <c r="Z21" s="354">
        <f>AVERAGE(Z7:Z13)</f>
        <v/>
      </c>
      <c r="AA21" s="354">
        <f>AVERAGE(AA7:AA13)</f>
        <v/>
      </c>
      <c r="AB21" s="77" t="n"/>
      <c r="AC21" s="77" t="n"/>
      <c r="AD21" s="77" t="n"/>
      <c r="AE21" s="77" t="n"/>
      <c r="AF21" s="77" t="n"/>
      <c r="AG21" s="77" t="n"/>
      <c r="AH21" s="77" t="n"/>
      <c r="AI21" s="77" t="n"/>
      <c r="AJ21" s="77" t="n"/>
      <c r="AK21" s="77" t="n"/>
      <c r="AL21" s="77" t="n"/>
      <c r="AM21" s="354" t="n"/>
      <c r="AN21" s="77" t="n"/>
      <c r="AO21" s="169" t="n"/>
      <c r="AP21" s="169" t="n"/>
      <c r="AQ21" s="145">
        <f>AVERAGE(AQ7:AQ13)</f>
        <v/>
      </c>
      <c r="AR21" s="354">
        <f>AVERAGE(AR7:AR13)</f>
        <v/>
      </c>
      <c r="AS21" s="354">
        <f>AVERAGE(AS7:AS13)</f>
        <v/>
      </c>
      <c r="AT21" s="316" t="n"/>
      <c r="AU21" s="316" t="n"/>
      <c r="AV21" s="316" t="n"/>
      <c r="AW21" s="316" t="n"/>
      <c r="AX21" s="316" t="n"/>
      <c r="AY21" s="77">
        <f>AVERAGE(AY7:AY13)</f>
        <v/>
      </c>
      <c r="AZ21" s="77">
        <f>AVERAGE(AZ7:AZ13)</f>
        <v/>
      </c>
      <c r="BA21" s="77">
        <f>AVERAGE(BA7:BA13)</f>
        <v/>
      </c>
      <c r="BB21" s="77">
        <f>AVERAGE(BB7:BB13)</f>
        <v/>
      </c>
      <c r="BC21" s="77">
        <f>AVERAGE(BC7:BC13)</f>
        <v/>
      </c>
      <c r="BD21" s="77">
        <f>AVERAGE(BD7:BD13)</f>
        <v/>
      </c>
      <c r="BE21" s="77">
        <f>AVERAGE(BE7:BE13)</f>
        <v/>
      </c>
      <c r="BF21" s="676" t="n"/>
      <c r="BG21" s="77">
        <f>AVERAGE(BG7:BG13)</f>
        <v/>
      </c>
      <c r="BH21" s="77">
        <f>AVERAGE(BH7:BH13)</f>
        <v/>
      </c>
      <c r="BI21" s="77">
        <f>AVERAGE(BI7:BI13)</f>
        <v/>
      </c>
      <c r="BJ21" s="77">
        <f>AVERAGE(BJ7:BJ13)</f>
        <v/>
      </c>
      <c r="BK21" s="77">
        <f>AVERAGE(BK7:BK13)</f>
        <v/>
      </c>
      <c r="BL21" s="77">
        <f>AVERAGE(BL7:BL13)</f>
        <v/>
      </c>
      <c r="BM21" s="77">
        <f>AVERAGE(BM7:BM13)</f>
        <v/>
      </c>
      <c r="BN21" s="676" t="n"/>
      <c r="BO21" s="77">
        <f>AVERAGE(BO7:BO13)</f>
        <v/>
      </c>
      <c r="BP21" s="77">
        <f>AVERAGE(BP7:BP13)</f>
        <v/>
      </c>
      <c r="BQ21" s="77">
        <f>AVERAGE(BQ7:BQ13)</f>
        <v/>
      </c>
      <c r="BR21" s="77">
        <f>AVERAGE(BR7:BR13)</f>
        <v/>
      </c>
      <c r="BS21" s="77">
        <f>AVERAGE(BS7:BS13)</f>
        <v/>
      </c>
      <c r="BT21" s="78">
        <f>AVERAGE(BT7:BT13)</f>
        <v/>
      </c>
      <c r="BU21" s="79">
        <f>AVERAGE(BU7:BU13)</f>
        <v/>
      </c>
      <c r="BV21" s="79">
        <f>AVERAGE(BV7:BV13)</f>
        <v/>
      </c>
      <c r="BW21" s="79">
        <f>AVERAGE(BW7:BW13)</f>
        <v/>
      </c>
      <c r="BX21" s="94">
        <f>AVERAGE(BX7:BX13)</f>
        <v/>
      </c>
      <c r="BY21" s="35">
        <f>AVERAGE(BY7:BY13)</f>
        <v/>
      </c>
      <c r="BZ21" s="35">
        <f>AVERAGE(BZ7:BZ13)</f>
        <v/>
      </c>
      <c r="CA21" s="35">
        <f>AVERAGE(CA7:CA13)</f>
        <v/>
      </c>
      <c r="CB21" s="35">
        <f>AVERAGE(CB7:CB13)</f>
        <v/>
      </c>
      <c r="CC21" s="35">
        <f>AVERAGE(CC7:CC13)</f>
        <v/>
      </c>
      <c r="CD21" s="35">
        <f>AVERAGE(CD7:CD13)</f>
        <v/>
      </c>
      <c r="CE21" s="35">
        <f>AVERAGE(CE7:CE13)</f>
        <v/>
      </c>
      <c r="CF21" s="35">
        <f>AVERAGE(CF7:CF13)</f>
        <v/>
      </c>
      <c r="CG21" s="35">
        <f>AVERAGE(CG7:CG13)</f>
        <v/>
      </c>
      <c r="CH21" s="35">
        <f>AVERAGE(CH7:CH13)</f>
        <v/>
      </c>
      <c r="CI21" s="35">
        <f>AVERAGE(CI7:CI13)</f>
        <v/>
      </c>
      <c r="CJ21" s="35">
        <f>AVERAGE(CJ7:CJ13)</f>
        <v/>
      </c>
      <c r="CK21" s="35">
        <f>AVERAGE(CK7:CK13)</f>
        <v/>
      </c>
      <c r="CL21" s="35">
        <f>AVERAGE(CL7:CL13)</f>
        <v/>
      </c>
      <c r="CM21" s="35">
        <f>AVERAGE(CM7:CM13)</f>
        <v/>
      </c>
      <c r="CN21" s="35">
        <f>AVERAGE(CN7:CN13)</f>
        <v/>
      </c>
      <c r="CO21" s="35">
        <f>AVERAGE(CO7:CO13)</f>
        <v/>
      </c>
      <c r="CP21" s="35">
        <f>AVERAGE(CP7:CP13)</f>
        <v/>
      </c>
      <c r="CQ21" s="18">
        <f>AVERAGE(CQ7:CQ13)</f>
        <v/>
      </c>
      <c r="CR21" s="18">
        <f>AVERAGE(CR7:CR13)</f>
        <v/>
      </c>
      <c r="CS21" s="18">
        <f>AVERAGE(CS7:CS13)</f>
        <v/>
      </c>
      <c r="CT21" s="18">
        <f>AVERAGE(CT7:CT13)</f>
        <v/>
      </c>
      <c r="CU21" s="18">
        <f>AVERAGE(CU7:CU13)</f>
        <v/>
      </c>
      <c r="CV21" s="18">
        <f>AVERAGE(CV7:CV13)</f>
        <v/>
      </c>
      <c r="CW21" s="18">
        <f>AVERAGE(CW7:CW13)</f>
        <v/>
      </c>
      <c r="CX21" s="18">
        <f>AVERAGE(CX7:CX13)</f>
        <v/>
      </c>
      <c r="CY21" s="35">
        <f>AVERAGE(CY7:CY13)</f>
        <v/>
      </c>
      <c r="CZ21" s="35">
        <f>AVERAGE(CZ7:CZ13)</f>
        <v/>
      </c>
      <c r="DA21" s="35">
        <f>AVERAGE(DA7:DA13)</f>
        <v/>
      </c>
      <c r="DB21" s="35">
        <f>AVERAGE(DB7:DB13)</f>
        <v/>
      </c>
      <c r="DC21" s="35">
        <f>AVERAGE(DC7:DC13)</f>
        <v/>
      </c>
      <c r="DD21" s="35">
        <f>AVERAGE(DD7:DD13)</f>
        <v/>
      </c>
      <c r="DE21" s="35">
        <f>AVERAGE(DE7:DE13)</f>
        <v/>
      </c>
      <c r="DF21" s="35">
        <f>AVERAGE(DF7:DF13)</f>
        <v/>
      </c>
      <c r="DG21" s="35">
        <f>AVERAGE(DG7:DG13)</f>
        <v/>
      </c>
      <c r="DH21" s="35">
        <f>AVERAGE(DH7:DH13)</f>
        <v/>
      </c>
      <c r="DI21" s="77">
        <f>AVERAGE(DI7:DI13)</f>
        <v/>
      </c>
      <c r="DJ21" s="77">
        <f>AVERAGE(DJ7:DJ13)</f>
        <v/>
      </c>
      <c r="DK21" s="77">
        <f>AVERAGE(DK7:DK13)</f>
        <v/>
      </c>
      <c r="DL21" s="35">
        <f>AVERAGE(DL7:DL13)</f>
        <v/>
      </c>
      <c r="DM21" s="35">
        <f>AVERAGE(DM7:DM13)</f>
        <v/>
      </c>
      <c r="DN21" s="59">
        <f>AVERAGE(DN7:DN13)</f>
        <v/>
      </c>
      <c r="DO21" s="18">
        <f>AVERAGE(DO7:DO13)</f>
        <v/>
      </c>
      <c r="DP21" s="18">
        <f>AVERAGE(DP7:DP13)</f>
        <v/>
      </c>
      <c r="DQ21" s="18">
        <f>AVERAGE(DQ7:DQ13)</f>
        <v/>
      </c>
      <c r="DR21" s="18">
        <f>AVERAGE(DR7:DR13)</f>
        <v/>
      </c>
      <c r="DS21" s="59">
        <f>AVERAGE(DS7:DS13)</f>
        <v/>
      </c>
      <c r="DT21" s="59">
        <f>AVERAGE(DT7:DT13)</f>
        <v/>
      </c>
      <c r="DU21" s="59">
        <f>AVERAGE(DU7:DU13)</f>
        <v/>
      </c>
      <c r="DV21" s="59">
        <f>AVERAGE(DV7:DV13)</f>
        <v/>
      </c>
      <c r="DW21" s="59">
        <f>AVERAGE(DW7:DW13)</f>
        <v/>
      </c>
      <c r="DX21" s="59">
        <f>AVERAGE(DX7:DX13)</f>
        <v/>
      </c>
      <c r="DY21" s="59">
        <f>AVERAGE(DY7:DY13)</f>
        <v/>
      </c>
      <c r="DZ21" s="59">
        <f>AVERAGE(DZ7:DZ13)</f>
        <v/>
      </c>
      <c r="EA21" s="59">
        <f>AVERAGE(EA7:EA13)</f>
        <v/>
      </c>
      <c r="EB21" s="59">
        <f>AVERAGE(EB7:EB13)</f>
        <v/>
      </c>
      <c r="EC21" s="59">
        <f>AVERAGE(EC7:EC13)</f>
        <v/>
      </c>
      <c r="ED21" s="59">
        <f>AVERAGE(ED7:ED13)</f>
        <v/>
      </c>
      <c r="EE21" s="652" t="n"/>
      <c r="EF21" s="67">
        <f>AVERAGE(EF7:EF20)</f>
        <v/>
      </c>
      <c r="EG21" s="67">
        <f>AVERAGE(EG7:EG20)</f>
        <v/>
      </c>
      <c r="EH21" s="67">
        <f>AVERAGE(EH7:EH20)</f>
        <v/>
      </c>
      <c r="EI21" s="67">
        <f>AVERAGE(EI7:EI20)</f>
        <v/>
      </c>
      <c r="EJ21" s="67">
        <f>AVERAGE(EJ7:EJ20)</f>
        <v/>
      </c>
      <c r="EK21" s="67" t="n"/>
      <c r="EL21" s="67" t="n"/>
      <c r="EM21" s="67" t="n"/>
      <c r="EN21" s="67" t="n"/>
      <c r="EO21" s="67" t="n"/>
    </row>
    <row r="22"/>
    <row r="23">
      <c r="AA23" s="589">
        <f>IF(AA8="","",IF(AA8&lt;50,"U","S"))</f>
        <v/>
      </c>
    </row>
    <row r="24">
      <c r="AA24" s="589">
        <f>IF(AA9="","",IF(AA9&lt;50,"U","S"))</f>
        <v/>
      </c>
    </row>
    <row r="25"/>
    <row r="26"/>
    <row r="27"/>
    <row r="28"/>
    <row r="29"/>
    <row r="30"/>
    <row r="31"/>
    <row r="32"/>
    <row r="33"/>
    <row r="34"/>
    <row r="35">
      <c r="AA35" s="589">
        <f>IF(AA20="","",IF(AA20&lt;50,"U","S"))</f>
        <v/>
      </c>
    </row>
  </sheetData>
  <mergeCells count="124">
    <mergeCell ref="E3:I3"/>
    <mergeCell ref="CZ10:DA10"/>
    <mergeCell ref="BA5:BD5"/>
    <mergeCell ref="O3:S3"/>
    <mergeCell ref="BE15:BF15"/>
    <mergeCell ref="BS3:BW3"/>
    <mergeCell ref="DG6:DH6"/>
    <mergeCell ref="DI6:DK6"/>
    <mergeCell ref="BA3:BF3"/>
    <mergeCell ref="R6:S6"/>
    <mergeCell ref="BZ5:CB5"/>
    <mergeCell ref="CZ17:DA17"/>
    <mergeCell ref="E1:ED1"/>
    <mergeCell ref="CZ11:DA11"/>
    <mergeCell ref="A1:A21"/>
    <mergeCell ref="DG16:DH16"/>
    <mergeCell ref="J5:M5"/>
    <mergeCell ref="AB5:AE5"/>
    <mergeCell ref="BJ3:BL3"/>
    <mergeCell ref="DL3:DN3"/>
    <mergeCell ref="CZ19:DA19"/>
    <mergeCell ref="AJ6:AK6"/>
    <mergeCell ref="BJ5:BL5"/>
    <mergeCell ref="CZ12:DA12"/>
    <mergeCell ref="EI4:EI6"/>
    <mergeCell ref="DG8:DH8"/>
    <mergeCell ref="BE17:BF17"/>
    <mergeCell ref="AJ4:AK4"/>
    <mergeCell ref="J3:N3"/>
    <mergeCell ref="CZ14:DA14"/>
    <mergeCell ref="BE19:BF19"/>
    <mergeCell ref="DG19:DH19"/>
    <mergeCell ref="U4:V4"/>
    <mergeCell ref="CE3:CP3"/>
    <mergeCell ref="DG9:DH9"/>
    <mergeCell ref="BE5:BF5"/>
    <mergeCell ref="BE14:BF14"/>
    <mergeCell ref="CY5:DA5"/>
    <mergeCell ref="DG20:DH20"/>
    <mergeCell ref="DG5:DH5"/>
    <mergeCell ref="CU3:CX3"/>
    <mergeCell ref="BQ5:BR5"/>
    <mergeCell ref="EF4:EF6"/>
    <mergeCell ref="O5:S5"/>
    <mergeCell ref="DS3:ED3"/>
    <mergeCell ref="CZ16:DA16"/>
    <mergeCell ref="DO3:DR3"/>
    <mergeCell ref="EO4:EO6"/>
    <mergeCell ref="BE8:BF8"/>
    <mergeCell ref="AP2:BL2"/>
    <mergeCell ref="CQ6:CT6"/>
    <mergeCell ref="T5:V5"/>
    <mergeCell ref="BM3:BR3"/>
    <mergeCell ref="BX3:BY3"/>
    <mergeCell ref="H5:I5"/>
    <mergeCell ref="B21:D21"/>
    <mergeCell ref="CZ20:DA20"/>
    <mergeCell ref="BE10:BF10"/>
    <mergeCell ref="BE18:BF18"/>
    <mergeCell ref="DG10:DH10"/>
    <mergeCell ref="DD5:DF5"/>
    <mergeCell ref="T3:X3"/>
    <mergeCell ref="DD3:DH3"/>
    <mergeCell ref="CZ6:DA6"/>
    <mergeCell ref="EF1:EO2"/>
    <mergeCell ref="W5:X5"/>
    <mergeCell ref="EN4:EN6"/>
    <mergeCell ref="H21:I21"/>
    <mergeCell ref="BE20:BF20"/>
    <mergeCell ref="EE1:EE21"/>
    <mergeCell ref="EH4:EH6"/>
    <mergeCell ref="CZ7:DA7"/>
    <mergeCell ref="BE12:BF12"/>
    <mergeCell ref="BE21:BF21"/>
    <mergeCell ref="DG12:DH12"/>
    <mergeCell ref="BS2:CP2"/>
    <mergeCell ref="AM4:AN4"/>
    <mergeCell ref="CQ3:CT3"/>
    <mergeCell ref="DG14:DH14"/>
    <mergeCell ref="CY2:ED2"/>
    <mergeCell ref="BE13:BF13"/>
    <mergeCell ref="BE7:BF7"/>
    <mergeCell ref="DG13:DH13"/>
    <mergeCell ref="DG7:DH7"/>
    <mergeCell ref="AG5:AK5"/>
    <mergeCell ref="EG4:EG6"/>
    <mergeCell ref="DB5:DC5"/>
    <mergeCell ref="AB3:AF3"/>
    <mergeCell ref="DG15:DH15"/>
    <mergeCell ref="CY3:DC3"/>
    <mergeCell ref="BM5:BP5"/>
    <mergeCell ref="BM21:BN21"/>
    <mergeCell ref="CZ9:DA9"/>
    <mergeCell ref="BV5:BW5"/>
    <mergeCell ref="EK4:EK6"/>
    <mergeCell ref="EM4:EM6"/>
    <mergeCell ref="R4:S4"/>
    <mergeCell ref="BE16:BF16"/>
    <mergeCell ref="AL5:AN5"/>
    <mergeCell ref="BZ3:CD3"/>
    <mergeCell ref="BE9:BF9"/>
    <mergeCell ref="AL3:AP3"/>
    <mergeCell ref="DG18:DH18"/>
    <mergeCell ref="CZ13:DA13"/>
    <mergeCell ref="AO5:AP5"/>
    <mergeCell ref="BE11:BF11"/>
    <mergeCell ref="DG17:DH17"/>
    <mergeCell ref="DG11:DH11"/>
    <mergeCell ref="BG3:BI3"/>
    <mergeCell ref="Y3:AA3"/>
    <mergeCell ref="B2:B6"/>
    <mergeCell ref="E2:AA2"/>
    <mergeCell ref="D2:D6"/>
    <mergeCell ref="EJ4:EJ6"/>
    <mergeCell ref="CZ15:DA15"/>
    <mergeCell ref="EL4:EL6"/>
    <mergeCell ref="DI3:DK3"/>
    <mergeCell ref="CZ18:DA18"/>
    <mergeCell ref="AG3:AK3"/>
    <mergeCell ref="E5:G5"/>
    <mergeCell ref="CZ8:DA8"/>
    <mergeCell ref="BS5:BU5"/>
    <mergeCell ref="CC5:CD5"/>
    <mergeCell ref="AQ3:AS3"/>
  </mergeCells>
  <conditionalFormatting sqref="Z7">
    <cfRule type="cellIs" priority="20" operator="lessThan" dxfId="0">
      <formula>5</formula>
    </cfRule>
  </conditionalFormatting>
  <conditionalFormatting sqref="BA7:BE7">
    <cfRule type="cellIs" priority="112" operator="lessThan" dxfId="0">
      <formula>5</formula>
    </cfRule>
  </conditionalFormatting>
  <conditionalFormatting sqref="BM7">
    <cfRule type="cellIs" priority="94" operator="lessThan" dxfId="0">
      <formula>5</formula>
    </cfRule>
  </conditionalFormatting>
  <conditionalFormatting sqref="BN7">
    <cfRule type="cellIs" priority="93" operator="lessThan" dxfId="0">
      <formula>5</formula>
    </cfRule>
  </conditionalFormatting>
  <conditionalFormatting sqref="BO7">
    <cfRule type="cellIs" priority="92" operator="lessThan" dxfId="0">
      <formula>5</formula>
    </cfRule>
  </conditionalFormatting>
  <conditionalFormatting sqref="BP7">
    <cfRule type="cellIs" priority="91" operator="lessThan" dxfId="0">
      <formula>5</formula>
    </cfRule>
  </conditionalFormatting>
  <conditionalFormatting sqref="BQ7">
    <cfRule type="cellIs" priority="90" operator="lessThan" dxfId="0">
      <formula>5</formula>
    </cfRule>
  </conditionalFormatting>
  <conditionalFormatting sqref="BR7">
    <cfRule type="cellIs" priority="89" operator="lessThan" dxfId="0">
      <formula>5</formula>
    </cfRule>
  </conditionalFormatting>
  <conditionalFormatting sqref="Z8">
    <cfRule type="cellIs" priority="21" operator="lessThan" dxfId="0">
      <formula>5</formula>
    </cfRule>
  </conditionalFormatting>
  <conditionalFormatting sqref="BA8:BE8">
    <cfRule type="cellIs" priority="111" operator="lessThan" dxfId="0">
      <formula>5</formula>
    </cfRule>
  </conditionalFormatting>
  <conditionalFormatting sqref="BM8">
    <cfRule type="cellIs" priority="88" operator="lessThan" dxfId="0">
      <formula>5</formula>
    </cfRule>
  </conditionalFormatting>
  <conditionalFormatting sqref="BN8">
    <cfRule type="cellIs" priority="87" operator="lessThan" dxfId="0">
      <formula>5</formula>
    </cfRule>
  </conditionalFormatting>
  <conditionalFormatting sqref="BO8">
    <cfRule type="cellIs" priority="86" operator="lessThan" dxfId="0">
      <formula>5</formula>
    </cfRule>
  </conditionalFormatting>
  <conditionalFormatting sqref="BP8">
    <cfRule type="cellIs" priority="85" operator="lessThan" dxfId="0">
      <formula>5</formula>
    </cfRule>
  </conditionalFormatting>
  <conditionalFormatting sqref="BQ8">
    <cfRule type="cellIs" priority="84" operator="lessThan" dxfId="0">
      <formula>5</formula>
    </cfRule>
  </conditionalFormatting>
  <conditionalFormatting sqref="BR8">
    <cfRule type="cellIs" priority="83" operator="lessThan" dxfId="0">
      <formula>5</formula>
    </cfRule>
  </conditionalFormatting>
  <conditionalFormatting sqref="Z9">
    <cfRule type="cellIs" priority="19" operator="lessThan" dxfId="0">
      <formula>5</formula>
    </cfRule>
  </conditionalFormatting>
  <conditionalFormatting sqref="BA9:BE9">
    <cfRule type="cellIs" priority="110" operator="lessThan" dxfId="0">
      <formula>5</formula>
    </cfRule>
  </conditionalFormatting>
  <conditionalFormatting sqref="BM9">
    <cfRule type="cellIs" priority="82" operator="lessThan" dxfId="0">
      <formula>5</formula>
    </cfRule>
  </conditionalFormatting>
  <conditionalFormatting sqref="BN9">
    <cfRule type="cellIs" priority="81" operator="lessThan" dxfId="0">
      <formula>5</formula>
    </cfRule>
  </conditionalFormatting>
  <conditionalFormatting sqref="BO9">
    <cfRule type="cellIs" priority="80" operator="lessThan" dxfId="0">
      <formula>5</formula>
    </cfRule>
  </conditionalFormatting>
  <conditionalFormatting sqref="BP9">
    <cfRule type="cellIs" priority="79" operator="lessThan" dxfId="0">
      <formula>5</formula>
    </cfRule>
  </conditionalFormatting>
  <conditionalFormatting sqref="BQ9">
    <cfRule type="cellIs" priority="78" operator="lessThan" dxfId="0">
      <formula>5</formula>
    </cfRule>
  </conditionalFormatting>
  <conditionalFormatting sqref="BR9">
    <cfRule type="cellIs" priority="77" operator="lessThan" dxfId="0">
      <formula>5</formula>
    </cfRule>
  </conditionalFormatting>
  <conditionalFormatting sqref="BA10:BE10">
    <cfRule type="cellIs" priority="109" operator="lessThan" dxfId="0">
      <formula>5</formula>
    </cfRule>
  </conditionalFormatting>
  <conditionalFormatting sqref="BM10">
    <cfRule type="cellIs" priority="76" operator="lessThan" dxfId="0">
      <formula>5</formula>
    </cfRule>
  </conditionalFormatting>
  <conditionalFormatting sqref="BN10">
    <cfRule type="cellIs" priority="75" operator="lessThan" dxfId="0">
      <formula>5</formula>
    </cfRule>
  </conditionalFormatting>
  <conditionalFormatting sqref="BO10">
    <cfRule type="cellIs" priority="74" operator="lessThan" dxfId="0">
      <formula>5</formula>
    </cfRule>
  </conditionalFormatting>
  <conditionalFormatting sqref="BP10">
    <cfRule type="cellIs" priority="73" operator="lessThan" dxfId="0">
      <formula>5</formula>
    </cfRule>
  </conditionalFormatting>
  <conditionalFormatting sqref="BQ10">
    <cfRule type="cellIs" priority="72" operator="lessThan" dxfId="0">
      <formula>5</formula>
    </cfRule>
  </conditionalFormatting>
  <conditionalFormatting sqref="BR10">
    <cfRule type="cellIs" priority="71" operator="lessThan" dxfId="0">
      <formula>5</formula>
    </cfRule>
  </conditionalFormatting>
  <conditionalFormatting sqref="BA11:BE11">
    <cfRule type="cellIs" priority="108" operator="lessThan" dxfId="0">
      <formula>5</formula>
    </cfRule>
  </conditionalFormatting>
  <conditionalFormatting sqref="BM11">
    <cfRule type="cellIs" priority="70" operator="lessThan" dxfId="0">
      <formula>5</formula>
    </cfRule>
  </conditionalFormatting>
  <conditionalFormatting sqref="BN11">
    <cfRule type="cellIs" priority="69" operator="lessThan" dxfId="0">
      <formula>5</formula>
    </cfRule>
  </conditionalFormatting>
  <conditionalFormatting sqref="BO11">
    <cfRule type="cellIs" priority="68" operator="lessThan" dxfId="0">
      <formula>5</formula>
    </cfRule>
  </conditionalFormatting>
  <conditionalFormatting sqref="BP11">
    <cfRule type="cellIs" priority="67" operator="lessThan" dxfId="0">
      <formula>5</formula>
    </cfRule>
  </conditionalFormatting>
  <conditionalFormatting sqref="BQ11">
    <cfRule type="cellIs" priority="66" operator="lessThan" dxfId="0">
      <formula>5</formula>
    </cfRule>
  </conditionalFormatting>
  <conditionalFormatting sqref="BR11">
    <cfRule type="cellIs" priority="65" operator="lessThan" dxfId="0">
      <formula>5</formula>
    </cfRule>
  </conditionalFormatting>
  <conditionalFormatting sqref="BA12:BE12">
    <cfRule type="cellIs" priority="107" operator="lessThan" dxfId="0">
      <formula>5</formula>
    </cfRule>
  </conditionalFormatting>
  <conditionalFormatting sqref="BM12">
    <cfRule type="cellIs" priority="64" operator="lessThan" dxfId="0">
      <formula>5</formula>
    </cfRule>
  </conditionalFormatting>
  <conditionalFormatting sqref="BN12">
    <cfRule type="cellIs" priority="63" operator="lessThan" dxfId="0">
      <formula>5</formula>
    </cfRule>
  </conditionalFormatting>
  <conditionalFormatting sqref="BO12">
    <cfRule type="cellIs" priority="62" operator="lessThan" dxfId="0">
      <formula>5</formula>
    </cfRule>
  </conditionalFormatting>
  <conditionalFormatting sqref="BP12">
    <cfRule type="cellIs" priority="61" operator="lessThan" dxfId="0">
      <formula>5</formula>
    </cfRule>
  </conditionalFormatting>
  <conditionalFormatting sqref="BQ12">
    <cfRule type="cellIs" priority="60" operator="lessThan" dxfId="0">
      <formula>5</formula>
    </cfRule>
  </conditionalFormatting>
  <conditionalFormatting sqref="BR12">
    <cfRule type="cellIs" priority="59" operator="lessThan" dxfId="0">
      <formula>5</formula>
    </cfRule>
  </conditionalFormatting>
  <conditionalFormatting sqref="BA13:BE13">
    <cfRule type="cellIs" priority="106" operator="lessThan" dxfId="0">
      <formula>5</formula>
    </cfRule>
  </conditionalFormatting>
  <conditionalFormatting sqref="BM13">
    <cfRule type="cellIs" priority="58" operator="lessThan" dxfId="0">
      <formula>5</formula>
    </cfRule>
  </conditionalFormatting>
  <conditionalFormatting sqref="BN13">
    <cfRule type="cellIs" priority="57" operator="lessThan" dxfId="0">
      <formula>5</formula>
    </cfRule>
  </conditionalFormatting>
  <conditionalFormatting sqref="BO13">
    <cfRule type="cellIs" priority="56" operator="lessThan" dxfId="0">
      <formula>5</formula>
    </cfRule>
  </conditionalFormatting>
  <conditionalFormatting sqref="BP13">
    <cfRule type="cellIs" priority="55" operator="lessThan" dxfId="0">
      <formula>5</formula>
    </cfRule>
  </conditionalFormatting>
  <conditionalFormatting sqref="BQ13">
    <cfRule type="cellIs" priority="54" operator="lessThan" dxfId="0">
      <formula>5</formula>
    </cfRule>
  </conditionalFormatting>
  <conditionalFormatting sqref="BR13">
    <cfRule type="cellIs" priority="53" operator="lessThan" dxfId="0">
      <formula>5</formula>
    </cfRule>
  </conditionalFormatting>
  <conditionalFormatting sqref="AP14">
    <cfRule type="cellIs" priority="198" operator="lessThan" dxfId="0">
      <formula>5</formula>
    </cfRule>
  </conditionalFormatting>
  <conditionalFormatting sqref="AQ14">
    <cfRule type="cellIs" priority="203" operator="lessThan" dxfId="0">
      <formula>5</formula>
    </cfRule>
  </conditionalFormatting>
  <conditionalFormatting sqref="AS14">
    <cfRule type="cellIs" priority="191" operator="lessThan" dxfId="0">
      <formula>5</formula>
    </cfRule>
  </conditionalFormatting>
  <conditionalFormatting sqref="BA14:BE14">
    <cfRule type="cellIs" priority="185" operator="lessThan" dxfId="0">
      <formula>5</formula>
    </cfRule>
  </conditionalFormatting>
  <conditionalFormatting sqref="BM14">
    <cfRule type="cellIs" priority="175" operator="lessThan" dxfId="0">
      <formula>5</formula>
    </cfRule>
  </conditionalFormatting>
  <conditionalFormatting sqref="BN14">
    <cfRule type="cellIs" priority="168" operator="lessThan" dxfId="0">
      <formula>5</formula>
    </cfRule>
  </conditionalFormatting>
  <conditionalFormatting sqref="BO14">
    <cfRule type="cellIs" priority="161" operator="lessThan" dxfId="0">
      <formula>5</formula>
    </cfRule>
  </conditionalFormatting>
  <conditionalFormatting sqref="BP14">
    <cfRule type="cellIs" priority="154" operator="lessThan" dxfId="0">
      <formula>5</formula>
    </cfRule>
  </conditionalFormatting>
  <conditionalFormatting sqref="BQ14">
    <cfRule type="cellIs" priority="147" operator="lessThan" dxfId="0">
      <formula>5</formula>
    </cfRule>
  </conditionalFormatting>
  <conditionalFormatting sqref="CZ14">
    <cfRule type="cellIs" priority="218" operator="lessThan" dxfId="0">
      <formula>5</formula>
    </cfRule>
  </conditionalFormatting>
  <conditionalFormatting sqref="DG14">
    <cfRule type="cellIs" priority="210" operator="lessThan" dxfId="0">
      <formula>5</formula>
    </cfRule>
  </conditionalFormatting>
  <conditionalFormatting sqref="AP15">
    <cfRule type="cellIs" priority="197" operator="lessThan" dxfId="0">
      <formula>5</formula>
    </cfRule>
  </conditionalFormatting>
  <conditionalFormatting sqref="AQ15">
    <cfRule type="cellIs" priority="202" operator="lessThan" dxfId="0">
      <formula>5</formula>
    </cfRule>
  </conditionalFormatting>
  <conditionalFormatting sqref="AS15">
    <cfRule type="cellIs" priority="190" operator="lessThan" dxfId="0">
      <formula>5</formula>
    </cfRule>
  </conditionalFormatting>
  <conditionalFormatting sqref="BA15:BE15">
    <cfRule type="cellIs" priority="184" operator="lessThan" dxfId="0">
      <formula>5</formula>
    </cfRule>
  </conditionalFormatting>
  <conditionalFormatting sqref="BM15">
    <cfRule type="cellIs" priority="174" operator="lessThan" dxfId="0">
      <formula>5</formula>
    </cfRule>
  </conditionalFormatting>
  <conditionalFormatting sqref="BN15">
    <cfRule type="cellIs" priority="167" operator="lessThan" dxfId="0">
      <formula>5</formula>
    </cfRule>
  </conditionalFormatting>
  <conditionalFormatting sqref="BO15">
    <cfRule type="cellIs" priority="160" operator="lessThan" dxfId="0">
      <formula>5</formula>
    </cfRule>
  </conditionalFormatting>
  <conditionalFormatting sqref="BP15">
    <cfRule type="cellIs" priority="153" operator="lessThan" dxfId="0">
      <formula>5</formula>
    </cfRule>
  </conditionalFormatting>
  <conditionalFormatting sqref="BQ15">
    <cfRule type="cellIs" priority="146" operator="lessThan" dxfId="0">
      <formula>5</formula>
    </cfRule>
  </conditionalFormatting>
  <conditionalFormatting sqref="CZ15">
    <cfRule type="cellIs" priority="217" operator="lessThan" dxfId="0">
      <formula>5</formula>
    </cfRule>
  </conditionalFormatting>
  <conditionalFormatting sqref="DG15">
    <cfRule type="cellIs" priority="209" operator="lessThan" dxfId="0">
      <formula>5</formula>
    </cfRule>
  </conditionalFormatting>
  <conditionalFormatting sqref="AP16">
    <cfRule type="cellIs" priority="196" operator="lessThan" dxfId="0">
      <formula>5</formula>
    </cfRule>
  </conditionalFormatting>
  <conditionalFormatting sqref="AQ16">
    <cfRule type="cellIs" priority="201" operator="lessThan" dxfId="0">
      <formula>5</formula>
    </cfRule>
  </conditionalFormatting>
  <conditionalFormatting sqref="AS16">
    <cfRule type="cellIs" priority="189" operator="lessThan" dxfId="0">
      <formula>5</formula>
    </cfRule>
  </conditionalFormatting>
  <conditionalFormatting sqref="BA16:BE16">
    <cfRule type="cellIs" priority="183" operator="lessThan" dxfId="0">
      <formula>5</formula>
    </cfRule>
  </conditionalFormatting>
  <conditionalFormatting sqref="BM16">
    <cfRule type="cellIs" priority="173" operator="lessThan" dxfId="0">
      <formula>5</formula>
    </cfRule>
  </conditionalFormatting>
  <conditionalFormatting sqref="BN16">
    <cfRule type="cellIs" priority="166" operator="lessThan" dxfId="0">
      <formula>5</formula>
    </cfRule>
  </conditionalFormatting>
  <conditionalFormatting sqref="BO16">
    <cfRule type="cellIs" priority="159" operator="lessThan" dxfId="0">
      <formula>5</formula>
    </cfRule>
  </conditionalFormatting>
  <conditionalFormatting sqref="BP16">
    <cfRule type="cellIs" priority="152" operator="lessThan" dxfId="0">
      <formula>5</formula>
    </cfRule>
  </conditionalFormatting>
  <conditionalFormatting sqref="BQ16">
    <cfRule type="cellIs" priority="145" operator="lessThan" dxfId="0">
      <formula>5</formula>
    </cfRule>
  </conditionalFormatting>
  <conditionalFormatting sqref="BR16">
    <cfRule type="cellIs" priority="139" operator="lessThan" dxfId="0">
      <formula>5</formula>
    </cfRule>
  </conditionalFormatting>
  <conditionalFormatting sqref="CZ16">
    <cfRule type="cellIs" priority="216" operator="lessThan" dxfId="0">
      <formula>5</formula>
    </cfRule>
  </conditionalFormatting>
  <conditionalFormatting sqref="DG16">
    <cfRule type="cellIs" priority="208" operator="lessThan" dxfId="0">
      <formula>5</formula>
    </cfRule>
  </conditionalFormatting>
  <conditionalFormatting sqref="AP17">
    <cfRule type="cellIs" priority="195" operator="lessThan" dxfId="0">
      <formula>5</formula>
    </cfRule>
  </conditionalFormatting>
  <conditionalFormatting sqref="AQ17">
    <cfRule type="cellIs" priority="200" operator="lessThan" dxfId="0">
      <formula>5</formula>
    </cfRule>
  </conditionalFormatting>
  <conditionalFormatting sqref="AS17">
    <cfRule type="cellIs" priority="188" operator="lessThan" dxfId="0">
      <formula>5</formula>
    </cfRule>
  </conditionalFormatting>
  <conditionalFormatting sqref="BA17:BE17">
    <cfRule type="cellIs" priority="105" operator="lessThan" dxfId="0">
      <formula>5</formula>
    </cfRule>
  </conditionalFormatting>
  <conditionalFormatting sqref="BM17">
    <cfRule type="cellIs" priority="172" operator="lessThan" dxfId="0">
      <formula>5</formula>
    </cfRule>
  </conditionalFormatting>
  <conditionalFormatting sqref="BN17">
    <cfRule type="cellIs" priority="165" operator="lessThan" dxfId="0">
      <formula>5</formula>
    </cfRule>
  </conditionalFormatting>
  <conditionalFormatting sqref="BO17">
    <cfRule type="cellIs" priority="158" operator="lessThan" dxfId="0">
      <formula>5</formula>
    </cfRule>
  </conditionalFormatting>
  <conditionalFormatting sqref="BP17">
    <cfRule type="cellIs" priority="151" operator="lessThan" dxfId="0">
      <formula>5</formula>
    </cfRule>
  </conditionalFormatting>
  <conditionalFormatting sqref="BQ17">
    <cfRule type="cellIs" priority="144" operator="lessThan" dxfId="0">
      <formula>5</formula>
    </cfRule>
  </conditionalFormatting>
  <conditionalFormatting sqref="CZ17">
    <cfRule type="cellIs" priority="215" operator="lessThan" dxfId="0">
      <formula>5</formula>
    </cfRule>
  </conditionalFormatting>
  <conditionalFormatting sqref="DG17">
    <cfRule type="cellIs" priority="207" operator="lessThan" dxfId="0">
      <formula>5</formula>
    </cfRule>
  </conditionalFormatting>
  <conditionalFormatting sqref="AP18">
    <cfRule type="cellIs" priority="101" operator="lessThan" dxfId="0">
      <formula>5</formula>
    </cfRule>
  </conditionalFormatting>
  <conditionalFormatting sqref="AQ18">
    <cfRule type="cellIs" priority="102" operator="lessThan" dxfId="0">
      <formula>5</formula>
    </cfRule>
  </conditionalFormatting>
  <conditionalFormatting sqref="AS18">
    <cfRule type="cellIs" priority="99" operator="lessThan" dxfId="0">
      <formula>5</formula>
    </cfRule>
  </conditionalFormatting>
  <conditionalFormatting sqref="AT18">
    <cfRule type="cellIs" priority="100" operator="lessThan" dxfId="0">
      <formula>5</formula>
    </cfRule>
  </conditionalFormatting>
  <conditionalFormatting sqref="BA18:BE18">
    <cfRule type="cellIs" priority="104" operator="lessThan" dxfId="0">
      <formula>5</formula>
    </cfRule>
  </conditionalFormatting>
  <conditionalFormatting sqref="BM18">
    <cfRule type="cellIs" priority="171" operator="lessThan" dxfId="0">
      <formula>5</formula>
    </cfRule>
  </conditionalFormatting>
  <conditionalFormatting sqref="BN18">
    <cfRule type="cellIs" priority="164" operator="lessThan" dxfId="0">
      <formula>5</formula>
    </cfRule>
  </conditionalFormatting>
  <conditionalFormatting sqref="BO18">
    <cfRule type="cellIs" priority="157" operator="lessThan" dxfId="0">
      <formula>5</formula>
    </cfRule>
  </conditionalFormatting>
  <conditionalFormatting sqref="BP18">
    <cfRule type="cellIs" priority="150" operator="lessThan" dxfId="0">
      <formula>5</formula>
    </cfRule>
  </conditionalFormatting>
  <conditionalFormatting sqref="BQ18">
    <cfRule type="cellIs" priority="143" operator="lessThan" dxfId="0">
      <formula>5</formula>
    </cfRule>
  </conditionalFormatting>
  <conditionalFormatting sqref="CZ18">
    <cfRule type="cellIs" priority="214" operator="lessThan" dxfId="0">
      <formula>5</formula>
    </cfRule>
  </conditionalFormatting>
  <conditionalFormatting sqref="DG18">
    <cfRule type="cellIs" priority="206" operator="lessThan" dxfId="0">
      <formula>5</formula>
    </cfRule>
  </conditionalFormatting>
  <conditionalFormatting sqref="AP19">
    <cfRule type="cellIs" priority="97" operator="lessThan" dxfId="0">
      <formula>5</formula>
    </cfRule>
  </conditionalFormatting>
  <conditionalFormatting sqref="AQ19">
    <cfRule type="cellIs" priority="98" operator="lessThan" dxfId="0">
      <formula>5</formula>
    </cfRule>
  </conditionalFormatting>
  <conditionalFormatting sqref="AS19">
    <cfRule type="cellIs" priority="95" operator="lessThan" dxfId="0">
      <formula>5</formula>
    </cfRule>
  </conditionalFormatting>
  <conditionalFormatting sqref="AT19">
    <cfRule type="cellIs" priority="96" operator="lessThan" dxfId="0">
      <formula>5</formula>
    </cfRule>
  </conditionalFormatting>
  <conditionalFormatting sqref="BA19:BE19">
    <cfRule type="cellIs" priority="103" operator="lessThan" dxfId="0">
      <formula>5</formula>
    </cfRule>
  </conditionalFormatting>
  <conditionalFormatting sqref="BM19">
    <cfRule type="cellIs" priority="170" operator="lessThan" dxfId="0">
      <formula>5</formula>
    </cfRule>
  </conditionalFormatting>
  <conditionalFormatting sqref="BN19">
    <cfRule type="cellIs" priority="163" operator="lessThan" dxfId="0">
      <formula>5</formula>
    </cfRule>
  </conditionalFormatting>
  <conditionalFormatting sqref="BO19">
    <cfRule type="cellIs" priority="156" operator="lessThan" dxfId="0">
      <formula>5</formula>
    </cfRule>
  </conditionalFormatting>
  <conditionalFormatting sqref="BP19">
    <cfRule type="cellIs" priority="149" operator="lessThan" dxfId="0">
      <formula>5</formula>
    </cfRule>
  </conditionalFormatting>
  <conditionalFormatting sqref="BQ19">
    <cfRule type="cellIs" priority="142" operator="lessThan" dxfId="0">
      <formula>5</formula>
    </cfRule>
  </conditionalFormatting>
  <conditionalFormatting sqref="CZ19">
    <cfRule type="cellIs" priority="213" operator="lessThan" dxfId="0">
      <formula>5</formula>
    </cfRule>
  </conditionalFormatting>
  <conditionalFormatting sqref="DG19">
    <cfRule type="cellIs" priority="205" operator="lessThan" dxfId="0">
      <formula>5</formula>
    </cfRule>
  </conditionalFormatting>
  <conditionalFormatting sqref="AP20">
    <cfRule type="cellIs" priority="194" operator="lessThan" dxfId="0">
      <formula>5</formula>
    </cfRule>
  </conditionalFormatting>
  <conditionalFormatting sqref="AQ20">
    <cfRule type="cellIs" priority="199" operator="lessThan" dxfId="0">
      <formula>5</formula>
    </cfRule>
  </conditionalFormatting>
  <conditionalFormatting sqref="AS20">
    <cfRule type="cellIs" priority="187" operator="lessThan" dxfId="0">
      <formula>5</formula>
    </cfRule>
  </conditionalFormatting>
  <conditionalFormatting sqref="AT20">
    <cfRule type="cellIs" priority="193" operator="lessThan" dxfId="0">
      <formula>5</formula>
    </cfRule>
  </conditionalFormatting>
  <conditionalFormatting sqref="BA20:BE20">
    <cfRule type="cellIs" priority="186" operator="lessThan" dxfId="0">
      <formula>5</formula>
    </cfRule>
  </conditionalFormatting>
  <conditionalFormatting sqref="BM20">
    <cfRule type="cellIs" priority="169" operator="lessThan" dxfId="0">
      <formula>5</formula>
    </cfRule>
  </conditionalFormatting>
  <conditionalFormatting sqref="BN20">
    <cfRule type="cellIs" priority="162" operator="lessThan" dxfId="0">
      <formula>5</formula>
    </cfRule>
  </conditionalFormatting>
  <conditionalFormatting sqref="BO20">
    <cfRule type="cellIs" priority="155" operator="lessThan" dxfId="0">
      <formula>5</formula>
    </cfRule>
  </conditionalFormatting>
  <conditionalFormatting sqref="BP20">
    <cfRule type="cellIs" priority="148" operator="lessThan" dxfId="0">
      <formula>5</formula>
    </cfRule>
  </conditionalFormatting>
  <conditionalFormatting sqref="BQ20">
    <cfRule type="cellIs" priority="141" operator="lessThan" dxfId="0">
      <formula>5</formula>
    </cfRule>
  </conditionalFormatting>
  <conditionalFormatting sqref="CZ20">
    <cfRule type="cellIs" priority="212" operator="lessThan" dxfId="0">
      <formula>5</formula>
    </cfRule>
  </conditionalFormatting>
  <conditionalFormatting sqref="DG20">
    <cfRule type="cellIs" priority="204" operator="lessThan" dxfId="0">
      <formula>5</formula>
    </cfRule>
  </conditionalFormatting>
  <conditionalFormatting sqref="Z21:AO21">
    <cfRule type="cellIs" priority="17" operator="lessThan" dxfId="0">
      <formula>5</formula>
    </cfRule>
  </conditionalFormatting>
  <conditionalFormatting sqref="DO21">
    <cfRule type="cellIs" priority="181" operator="lessThan" dxfId="0">
      <formula>5</formula>
    </cfRule>
  </conditionalFormatting>
  <conditionalFormatting sqref="DP21">
    <cfRule type="cellIs" priority="180" operator="lessThan" dxfId="0">
      <formula>5</formula>
    </cfRule>
  </conditionalFormatting>
  <conditionalFormatting sqref="DQ21">
    <cfRule type="cellIs" priority="179" operator="lessThan" dxfId="0">
      <formula>5</formula>
    </cfRule>
  </conditionalFormatting>
  <conditionalFormatting sqref="DR21">
    <cfRule type="cellIs" priority="178" operator="lessThan" dxfId="0">
      <formula>5</formula>
    </cfRule>
  </conditionalFormatting>
  <conditionalFormatting sqref="J14">
    <cfRule type="cellIs" priority="133" operator="lessThan" dxfId="0">
      <formula>5</formula>
    </cfRule>
  </conditionalFormatting>
  <conditionalFormatting sqref="O13:O14">
    <cfRule type="cellIs" priority="135" operator="lessThan" dxfId="0">
      <formula>5</formula>
    </cfRule>
  </conditionalFormatting>
  <conditionalFormatting sqref="S7:S20">
    <cfRule type="cellIs" priority="22" operator="lessThan" dxfId="0">
      <formula>5</formula>
    </cfRule>
  </conditionalFormatting>
  <conditionalFormatting sqref="Z10:Z20">
    <cfRule type="cellIs" priority="18" operator="lessThan" dxfId="0">
      <formula>5</formula>
    </cfRule>
  </conditionalFormatting>
  <conditionalFormatting sqref="AT14:AT17">
    <cfRule type="cellIs" priority="192" operator="lessThan" dxfId="0">
      <formula>5</formula>
    </cfRule>
  </conditionalFormatting>
  <conditionalFormatting sqref="BH14:BH20">
    <cfRule type="cellIs" priority="182" operator="lessThan" dxfId="0">
      <formula>5</formula>
    </cfRule>
  </conditionalFormatting>
  <conditionalFormatting sqref="BR14:BR15">
    <cfRule type="cellIs" priority="140" operator="lessThan" dxfId="0">
      <formula>5</formula>
    </cfRule>
  </conditionalFormatting>
  <conditionalFormatting sqref="BR17:BR20">
    <cfRule type="cellIs" priority="138" operator="lessThan" dxfId="0">
      <formula>5</formula>
    </cfRule>
  </conditionalFormatting>
  <conditionalFormatting sqref="CY14:CY18">
    <cfRule type="cellIs" priority="220" operator="lessThan" dxfId="0">
      <formula>5</formula>
    </cfRule>
  </conditionalFormatting>
  <conditionalFormatting sqref="CY19:CY20">
    <cfRule type="cellIs" priority="219" operator="lessThan" dxfId="0">
      <formula>5</formula>
    </cfRule>
  </conditionalFormatting>
  <conditionalFormatting sqref="DB19:DB20">
    <cfRule type="cellIs" priority="211" operator="lessThan" dxfId="0">
      <formula>5</formula>
    </cfRule>
  </conditionalFormatting>
  <conditionalFormatting sqref="DC14:DC20">
    <cfRule type="cellIs" priority="221" operator="lessThan" dxfId="0">
      <formula>5</formula>
    </cfRule>
  </conditionalFormatting>
  <conditionalFormatting sqref="DD14:DD17">
    <cfRule type="cellIs" priority="223" operator="lessThan" dxfId="0">
      <formula>5</formula>
    </cfRule>
  </conditionalFormatting>
  <conditionalFormatting sqref="DD18:DD20">
    <cfRule type="cellIs" priority="222" operator="lessThan" dxfId="0">
      <formula>5</formula>
    </cfRule>
  </conditionalFormatting>
  <conditionalFormatting sqref="DN7:DN20">
    <cfRule type="cellIs" priority="225" operator="lessThan" dxfId="0">
      <formula>5</formula>
    </cfRule>
  </conditionalFormatting>
  <conditionalFormatting sqref="E21:H21 J21:X21 P13:R13 R14 T13:U13 T14 V7:W13 W14:W20 CY7:CZ13 CY21:DH21 DB7:DG13 DB14:DB18">
    <cfRule type="cellIs" priority="233" operator="lessThan" dxfId="0">
      <formula>5</formula>
    </cfRule>
  </conditionalFormatting>
  <conditionalFormatting sqref="E7:E16 E17:F17 E18:E20 H7:H20">
    <cfRule type="cellIs" priority="137" operator="lessThan" dxfId="0">
      <formula>5</formula>
    </cfRule>
  </conditionalFormatting>
  <conditionalFormatting sqref="J13:N13">
    <cfRule type="cellIs" priority="136" operator="lessThan" dxfId="0">
      <formula>5</formula>
    </cfRule>
  </conditionalFormatting>
  <conditionalFormatting sqref="Y7:Y21 AU7:AZ20 AU21:BE21 BG7:BL13 BG14:BG20 BG21:BL21 BI14:BL16 BI17:BI20">
    <cfRule type="cellIs" priority="232" operator="lessThan" dxfId="0">
      <formula>5</formula>
    </cfRule>
  </conditionalFormatting>
  <conditionalFormatting sqref="AP7:AQ13 AP21:AT21 AS7:AT13">
    <cfRule type="cellIs" priority="228" operator="lessThan" dxfId="0">
      <formula>5</formula>
    </cfRule>
  </conditionalFormatting>
  <conditionalFormatting sqref="BS7:CX21">
    <cfRule type="cellIs" priority="230" operator="lessThan" dxfId="0">
      <formula>5</formula>
    </cfRule>
  </conditionalFormatting>
  <conditionalFormatting sqref="DI7:DK20 DI21:DN21 DS7:ED21">
    <cfRule type="cellIs" priority="229" operator="lessThan" dxfId="0">
      <formula>5</formula>
    </cfRule>
  </conditionalFormatting>
  <conditionalFormatting sqref="DL7:DM20">
    <cfRule type="cellIs" priority="226" operator="lessThan" dxfId="0">
      <formula>5</formula>
    </cfRule>
  </conditionalFormatting>
  <conditionalFormatting sqref="DO7:DR20">
    <cfRule type="cellIs" priority="227" operator="lessThan" dxfId="0">
      <formula>5</formula>
    </cfRule>
  </conditionalFormatting>
  <conditionalFormatting sqref="K14:N14">
    <cfRule type="cellIs" priority="132" operator="lessThan" dxfId="0">
      <formula>5</formula>
    </cfRule>
  </conditionalFormatting>
  <conditionalFormatting sqref="P14:Q14">
    <cfRule type="cellIs" priority="134" operator="lessThan" dxfId="0">
      <formula>5</formula>
    </cfRule>
  </conditionalFormatting>
  <conditionalFormatting sqref="U14 V14:V20">
    <cfRule type="cellIs" priority="177" operator="lessThan" dxfId="0">
      <formula>5</formula>
    </cfRule>
  </conditionalFormatting>
  <conditionalFormatting sqref="DE14:DF20">
    <cfRule type="cellIs" priority="224" operator="lessThan" dxfId="0">
      <formula>5</formula>
    </cfRule>
  </conditionalFormatting>
  <conditionalFormatting sqref="BJ17:BL20">
    <cfRule type="cellIs" priority="176" operator="lessThan" dxfId="0">
      <formula>5</formula>
    </cfRule>
  </conditionalFormatting>
  <conditionalFormatting sqref="BM21 BO21:BR21">
    <cfRule type="cellIs" priority="231" operator="lessThan" dxfId="0">
      <formula>5</formula>
    </cfRule>
  </conditionalFormatting>
  <conditionalFormatting sqref="AR7">
    <cfRule type="cellIs" priority="4" operator="lessThan" dxfId="0">
      <formula>5</formula>
    </cfRule>
  </conditionalFormatting>
  <conditionalFormatting sqref="AR8">
    <cfRule type="cellIs" priority="5" operator="lessThan" dxfId="0">
      <formula>5</formula>
    </cfRule>
  </conditionalFormatting>
  <conditionalFormatting sqref="AR9">
    <cfRule type="cellIs" priority="3" operator="lessThan" dxfId="0">
      <formula>5</formula>
    </cfRule>
  </conditionalFormatting>
  <conditionalFormatting sqref="AR21:AX21">
    <cfRule type="cellIs" priority="1" operator="lessThan" dxfId="0">
      <formula>5</formula>
    </cfRule>
  </conditionalFormatting>
  <conditionalFormatting sqref="AB14">
    <cfRule type="cellIs" priority="8" operator="lessThan" dxfId="0">
      <formula>5</formula>
    </cfRule>
  </conditionalFormatting>
  <conditionalFormatting sqref="AG13:AG14">
    <cfRule type="cellIs" priority="10" operator="lessThan" dxfId="0">
      <formula>5</formula>
    </cfRule>
  </conditionalFormatting>
  <conditionalFormatting sqref="AK7:AK20">
    <cfRule type="cellIs" priority="6" operator="lessThan" dxfId="0">
      <formula>5</formula>
    </cfRule>
  </conditionalFormatting>
  <conditionalFormatting sqref="AR10:AR20">
    <cfRule type="cellIs" priority="2" operator="lessThan" dxfId="0">
      <formula>5</formula>
    </cfRule>
  </conditionalFormatting>
  <conditionalFormatting sqref="AB21:AP21 AH13:AJ13 AJ14 AL13:AM13 AL14 AN7:AO13 AO14:AO20">
    <cfRule type="cellIs" priority="14" operator="lessThan" dxfId="0">
      <formula>5</formula>
    </cfRule>
  </conditionalFormatting>
  <conditionalFormatting sqref="AB13:AF13">
    <cfRule type="cellIs" priority="11" operator="lessThan" dxfId="0">
      <formula>5</formula>
    </cfRule>
  </conditionalFormatting>
  <conditionalFormatting sqref="AQ7:AQ21">
    <cfRule type="cellIs" priority="13" operator="lessThan" dxfId="0">
      <formula>5</formula>
    </cfRule>
  </conditionalFormatting>
  <conditionalFormatting sqref="AC14:AF14">
    <cfRule type="cellIs" priority="7" operator="lessThan" dxfId="0">
      <formula>5</formula>
    </cfRule>
  </conditionalFormatting>
  <conditionalFormatting sqref="AH14:AI14">
    <cfRule type="cellIs" priority="9" operator="lessThan" dxfId="0">
      <formula>5</formula>
    </cfRule>
  </conditionalFormatting>
  <conditionalFormatting sqref="AM14 AN14:AN20">
    <cfRule type="cellIs" priority="12" operator="lessThan" dxfId="0">
      <formula>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N18"/>
  <sheetViews>
    <sheetView topLeftCell="EV1" zoomScale="55" zoomScaleNormal="55" workbookViewId="0">
      <selection activeCell="DM18" sqref="DM18"/>
    </sheetView>
  </sheetViews>
  <sheetFormatPr baseColWidth="8" defaultColWidth="9.125" defaultRowHeight="13.5" customHeight="1"/>
  <cols>
    <col width="18.5" customWidth="1" style="590" min="3" max="3"/>
    <col width="26.875" customWidth="1" style="590" min="4" max="4"/>
    <col hidden="1" width="9.125" customWidth="1" style="590" min="5" max="91"/>
    <col width="9.125" customWidth="1" style="590" min="92" max="97"/>
    <col hidden="1" width="9.125" customWidth="1" style="590" min="98" max="103"/>
    <col width="9.125" customWidth="1" style="590" min="104" max="109"/>
    <col width="8.875" customWidth="1" style="590" min="110" max="112"/>
  </cols>
  <sheetData>
    <row r="1" ht="25.5" customHeight="1" s="590">
      <c r="A1" s="337" t="inlineStr">
        <is>
          <t>AI-FA-22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386" t="n"/>
      <c r="GC1" s="591" t="n"/>
      <c r="GD1" s="592" t="inlineStr">
        <is>
          <t>Attainment of GAs</t>
        </is>
      </c>
      <c r="GE1" s="336" t="inlineStr">
        <is>
          <t>Attainment of Graduate Attribute</t>
        </is>
      </c>
    </row>
    <row r="2" ht="24" customHeight="1" s="590">
      <c r="B2" s="671" t="inlineStr">
        <is>
          <t>Sr. No.</t>
        </is>
      </c>
      <c r="C2" s="341" t="n"/>
      <c r="D2" s="593" t="inlineStr">
        <is>
          <t>Student Name</t>
        </is>
      </c>
      <c r="E2" s="594" t="inlineStr">
        <is>
          <t>Semester 1</t>
        </is>
      </c>
      <c r="F2" s="595" t="n"/>
      <c r="G2" s="595" t="n"/>
      <c r="H2" s="595" t="n"/>
      <c r="I2" s="595" t="n"/>
      <c r="J2" s="595" t="n"/>
      <c r="K2" s="595" t="n"/>
      <c r="L2" s="595" t="n"/>
      <c r="M2" s="595" t="n"/>
      <c r="N2" s="595" t="n"/>
      <c r="O2" s="595" t="n"/>
      <c r="P2" s="595" t="n"/>
      <c r="Q2" s="595" t="n"/>
      <c r="R2" s="595" t="n"/>
      <c r="S2" s="595" t="n"/>
      <c r="T2" s="595" t="n"/>
      <c r="U2" s="595" t="n"/>
      <c r="V2" s="595" t="n"/>
      <c r="W2" s="595" t="n"/>
      <c r="X2" s="595" t="n"/>
      <c r="Y2" s="596" t="n"/>
      <c r="Z2" s="597" t="inlineStr">
        <is>
          <t>Semester 2</t>
        </is>
      </c>
      <c r="AA2" s="598" t="n"/>
      <c r="AB2" s="598" t="n"/>
      <c r="AC2" s="598" t="n"/>
      <c r="AD2" s="598" t="n"/>
      <c r="AE2" s="598" t="n"/>
      <c r="AF2" s="598" t="n"/>
      <c r="AG2" s="598" t="n"/>
      <c r="AH2" s="598" t="n"/>
      <c r="AI2" s="598" t="n"/>
      <c r="AJ2" s="598" t="n"/>
      <c r="AK2" s="598" t="n"/>
      <c r="AL2" s="598" t="n"/>
      <c r="AM2" s="598" t="n"/>
      <c r="AN2" s="598" t="n"/>
      <c r="AO2" s="598" t="n"/>
      <c r="AP2" s="598" t="n"/>
      <c r="AQ2" s="598" t="n"/>
      <c r="AR2" s="598" t="n"/>
      <c r="AS2" s="598" t="n"/>
      <c r="AT2" s="598" t="n"/>
      <c r="AU2" s="598" t="n"/>
      <c r="AV2" s="598" t="n"/>
      <c r="AW2" s="599" t="n"/>
      <c r="AX2" s="427" t="inlineStr">
        <is>
          <t>Semester 3</t>
        </is>
      </c>
      <c r="AY2" s="600" t="n"/>
      <c r="AZ2" s="600" t="n"/>
      <c r="BA2" s="600" t="n"/>
      <c r="BB2" s="600" t="n"/>
      <c r="BC2" s="600" t="n"/>
      <c r="BD2" s="600" t="n"/>
      <c r="BE2" s="600" t="n"/>
      <c r="BF2" s="600" t="n"/>
      <c r="BG2" s="600" t="n"/>
      <c r="BH2" s="600" t="n"/>
      <c r="BI2" s="600" t="n"/>
      <c r="BJ2" s="600" t="n"/>
      <c r="BK2" s="600" t="n"/>
      <c r="BL2" s="600" t="n"/>
      <c r="BM2" s="600" t="n"/>
      <c r="BN2" s="600" t="n"/>
      <c r="BO2" s="600" t="n"/>
      <c r="BP2" s="600" t="n"/>
      <c r="BQ2" s="600" t="n"/>
      <c r="BR2" s="601" t="n"/>
      <c r="BS2" s="602" t="inlineStr">
        <is>
          <t>Semester 4</t>
        </is>
      </c>
      <c r="BT2" s="603" t="n"/>
      <c r="BU2" s="603" t="n"/>
      <c r="BV2" s="603" t="n"/>
      <c r="BW2" s="603" t="n"/>
      <c r="BX2" s="603" t="n"/>
      <c r="BY2" s="603" t="n"/>
      <c r="BZ2" s="603" t="n"/>
      <c r="CA2" s="603" t="n"/>
      <c r="CB2" s="603" t="n"/>
      <c r="CC2" s="603" t="n"/>
      <c r="CD2" s="603" t="n"/>
      <c r="CE2" s="603" t="n"/>
      <c r="CF2" s="603" t="n"/>
      <c r="CG2" s="603" t="n"/>
      <c r="CH2" s="603" t="n"/>
      <c r="CI2" s="603" t="n"/>
      <c r="CJ2" s="603" t="n"/>
      <c r="CK2" s="603" t="n"/>
      <c r="CL2" s="603" t="n"/>
      <c r="CM2" s="604" t="n"/>
      <c r="CN2" s="582" t="inlineStr">
        <is>
          <t xml:space="preserve">Semester 7 </t>
        </is>
      </c>
      <c r="EX2" s="390" t="inlineStr">
        <is>
          <t>Semester - 8</t>
        </is>
      </c>
      <c r="GD2" s="606" t="n"/>
      <c r="GE2" s="607" t="n"/>
      <c r="GF2" s="607" t="n"/>
      <c r="GG2" s="607" t="n"/>
      <c r="GH2" s="607" t="n"/>
      <c r="GI2" s="607" t="n"/>
      <c r="GJ2" s="607" t="n"/>
      <c r="GK2" s="607" t="n"/>
      <c r="GL2" s="607" t="n"/>
      <c r="GM2" s="607" t="n"/>
      <c r="GN2" s="607" t="n"/>
    </row>
    <row r="3" ht="45" customHeight="1" s="590">
      <c r="B3" s="606" t="n"/>
      <c r="C3" s="342" t="n"/>
      <c r="D3" s="608" t="n"/>
      <c r="E3" s="672" t="inlineStr">
        <is>
          <t>Application of information &amp; Communication Technologies</t>
        </is>
      </c>
      <c r="F3" s="609" t="n"/>
      <c r="G3" s="609" t="n"/>
      <c r="H3" s="611" t="n"/>
      <c r="I3" s="673" t="inlineStr">
        <is>
          <t>Applied Physics</t>
        </is>
      </c>
      <c r="J3" s="609" t="n"/>
      <c r="K3" s="609" t="n"/>
      <c r="L3" s="611" t="n"/>
      <c r="M3" s="610" t="inlineStr">
        <is>
          <t>Programming Fundamentals</t>
        </is>
      </c>
      <c r="N3" s="609" t="n"/>
      <c r="O3" s="609" t="n"/>
      <c r="P3" s="609" t="n"/>
      <c r="Q3" s="611" t="n"/>
      <c r="R3" s="612" t="inlineStr">
        <is>
          <t>Calculus and Analytic Geometry</t>
        </is>
      </c>
      <c r="S3" s="609" t="n"/>
      <c r="T3" s="611" t="n"/>
      <c r="U3" s="441" t="inlineStr">
        <is>
          <t>Functional English</t>
        </is>
      </c>
      <c r="V3" s="609" t="n"/>
      <c r="W3" s="609" t="n"/>
      <c r="X3" s="613" t="inlineStr">
        <is>
          <t>Islamic Studies</t>
        </is>
      </c>
      <c r="Y3" s="599" t="n"/>
      <c r="Z3" s="446" t="inlineStr">
        <is>
          <t>Expository Writing</t>
        </is>
      </c>
      <c r="AA3" s="607" t="n"/>
      <c r="AB3" s="614" t="n"/>
      <c r="AC3" s="447" t="inlineStr">
        <is>
          <t>Object Oriented Programming</t>
        </is>
      </c>
      <c r="AD3" s="607" t="n"/>
      <c r="AE3" s="607" t="n"/>
      <c r="AF3" s="607" t="n"/>
      <c r="AG3" s="607" t="n"/>
      <c r="AH3" s="607" t="n"/>
      <c r="AI3" s="615" t="inlineStr">
        <is>
          <t>Discreate Structures</t>
        </is>
      </c>
      <c r="AJ3" s="607" t="n"/>
      <c r="AK3" s="614" t="n"/>
      <c r="AL3" s="465" t="inlineStr">
        <is>
          <t xml:space="preserve">Ideology and Constitution of Pakistan </t>
        </is>
      </c>
      <c r="AM3" s="607" t="n"/>
      <c r="AN3" s="607" t="n"/>
      <c r="AO3" s="607" t="n"/>
      <c r="AP3" s="616" t="inlineStr">
        <is>
          <t>Digital Logic Design</t>
        </is>
      </c>
      <c r="AQ3" s="607" t="n"/>
      <c r="AR3" s="607" t="n"/>
      <c r="AS3" s="607" t="n"/>
      <c r="AT3" s="614" t="n"/>
      <c r="AU3" s="617" t="inlineStr">
        <is>
          <t>Multi Variable Calculus</t>
        </is>
      </c>
      <c r="AV3" s="607" t="n"/>
      <c r="AW3" s="614" t="n"/>
      <c r="AX3" s="618" t="inlineStr">
        <is>
          <t>Data Structures</t>
        </is>
      </c>
      <c r="AY3" s="609" t="n"/>
      <c r="AZ3" s="611" t="n"/>
      <c r="BA3" s="619" t="inlineStr">
        <is>
          <t>Computer Organization &amp; Assembly Language</t>
        </is>
      </c>
      <c r="BB3" s="609" t="n"/>
      <c r="BC3" s="611" t="n"/>
      <c r="BD3" s="620" t="inlineStr">
        <is>
          <t>Introduction to Artificial Intelligence</t>
        </is>
      </c>
      <c r="BE3" s="609" t="n"/>
      <c r="BF3" s="611" t="n"/>
      <c r="BG3" s="621" t="inlineStr">
        <is>
          <t>Computer Network</t>
        </is>
      </c>
      <c r="BH3" s="609" t="n"/>
      <c r="BI3" s="609" t="n"/>
      <c r="BJ3" s="609" t="n"/>
      <c r="BK3" s="611" t="n"/>
      <c r="BL3" s="451" t="inlineStr">
        <is>
          <t>Probability &amp; Statistics</t>
        </is>
      </c>
      <c r="BM3" s="609" t="n"/>
      <c r="BN3" s="609" t="n"/>
      <c r="BO3" s="609" t="n"/>
      <c r="BP3" s="609" t="n"/>
      <c r="BQ3" s="609" t="n"/>
      <c r="BR3" s="609" t="n"/>
      <c r="BS3" s="622" t="inlineStr">
        <is>
          <t>Design Analysis of Algorithms</t>
        </is>
      </c>
      <c r="BT3" s="623" t="n"/>
      <c r="BU3" s="623" t="n"/>
      <c r="BV3" s="623" t="n"/>
      <c r="BW3" s="623" t="n"/>
      <c r="BX3" s="624" t="n"/>
      <c r="BY3" s="625" t="inlineStr">
        <is>
          <t>Data Structures and Algorithms</t>
        </is>
      </c>
      <c r="BZ3" s="623" t="n"/>
      <c r="CA3" s="623" t="n"/>
      <c r="CB3" s="624" t="n"/>
      <c r="CC3" s="460" t="inlineStr">
        <is>
          <t>Applied Statistics</t>
        </is>
      </c>
      <c r="CD3" s="623" t="n"/>
      <c r="CE3" s="623" t="n"/>
      <c r="CF3" s="623" t="n"/>
      <c r="CG3" s="623" t="n"/>
      <c r="CH3" s="626" t="inlineStr">
        <is>
          <t xml:space="preserve">Software Engineering </t>
        </is>
      </c>
      <c r="CI3" s="623" t="n"/>
      <c r="CJ3" s="624" t="n"/>
      <c r="CK3" s="627" t="inlineStr">
        <is>
          <t>World History</t>
        </is>
      </c>
      <c r="CL3" s="623" t="n"/>
      <c r="CM3" s="624" t="n"/>
      <c r="CN3" s="627" t="inlineStr">
        <is>
          <t xml:space="preserve">Natural Language Processing </t>
        </is>
      </c>
      <c r="CO3" s="623" t="n"/>
      <c r="CP3" s="623" t="n"/>
      <c r="CQ3" s="623" t="n"/>
      <c r="CR3" s="623" t="n"/>
      <c r="CS3" s="624" t="n"/>
      <c r="CT3" s="633" t="inlineStr">
        <is>
          <t>Computer Vision</t>
        </is>
      </c>
      <c r="CU3" s="623" t="n"/>
      <c r="CV3" s="623" t="n"/>
      <c r="CW3" s="623" t="n"/>
      <c r="CX3" s="623" t="n"/>
      <c r="CY3" s="624" t="n"/>
      <c r="CZ3" s="634" t="inlineStr">
        <is>
          <t xml:space="preserve">Logical and Automated Reasoning </t>
        </is>
      </c>
      <c r="DA3" s="623" t="n"/>
      <c r="DB3" s="623" t="n"/>
      <c r="DC3" s="624" t="n"/>
      <c r="DD3" s="635" t="inlineStr">
        <is>
          <t xml:space="preserve">Elective I Security and Privacy </t>
        </is>
      </c>
      <c r="DE3" s="623" t="n"/>
      <c r="DF3" s="624" t="n"/>
      <c r="DG3" s="397" t="inlineStr">
        <is>
          <t xml:space="preserve">Elective II Image Processing and Analysis </t>
        </is>
      </c>
      <c r="DH3" s="623" t="n"/>
      <c r="DI3" s="623" t="n"/>
      <c r="DJ3" s="623" t="n"/>
      <c r="DK3" s="623" t="n"/>
      <c r="DL3" s="623" t="n"/>
      <c r="DM3" s="399" t="inlineStr">
        <is>
          <t xml:space="preserve">Philosophy and Critical Thinking </t>
        </is>
      </c>
      <c r="DN3" s="623" t="n"/>
      <c r="DO3" s="623" t="n"/>
      <c r="DP3" s="623" t="n"/>
      <c r="DQ3" s="623" t="n"/>
      <c r="DR3" s="704" t="n"/>
      <c r="DS3" s="609" t="n"/>
      <c r="DT3" s="609" t="n"/>
      <c r="DU3" s="609" t="n"/>
      <c r="DV3" s="609" t="n"/>
      <c r="DW3" s="609" t="n"/>
      <c r="DX3" s="609" t="n"/>
      <c r="DY3" s="609" t="n"/>
      <c r="DZ3" s="609" t="n"/>
      <c r="EA3" s="609" t="n"/>
      <c r="EB3" s="609" t="n"/>
      <c r="EC3" s="611" t="n"/>
      <c r="ED3" s="638" t="inlineStr">
        <is>
          <t>Final Year Project - I</t>
        </is>
      </c>
      <c r="EE3" s="609" t="n"/>
      <c r="EF3" s="609" t="n"/>
      <c r="EG3" s="609" t="n"/>
      <c r="EH3" s="609" t="n"/>
      <c r="EI3" s="609" t="n"/>
      <c r="EJ3" s="609" t="n"/>
      <c r="EK3" s="609" t="n"/>
      <c r="EL3" s="609" t="n"/>
      <c r="EM3" s="609" t="n"/>
      <c r="EN3" s="609" t="n"/>
      <c r="EO3" s="611" t="n"/>
      <c r="EP3" s="705" t="n"/>
      <c r="EQ3" s="623" t="n"/>
      <c r="ER3" s="623" t="n"/>
      <c r="ES3" s="623" t="n"/>
      <c r="ET3" s="623" t="n"/>
      <c r="EU3" s="623" t="n"/>
      <c r="EV3" s="623" t="n"/>
      <c r="EW3" s="645" t="n"/>
      <c r="EX3" s="640" t="inlineStr">
        <is>
          <t>Deep Learning</t>
        </is>
      </c>
      <c r="EY3" s="609" t="n"/>
      <c r="EZ3" s="609" t="n"/>
      <c r="FA3" s="609" t="n"/>
      <c r="FB3" s="611" t="n"/>
      <c r="FC3" s="641" t="inlineStr">
        <is>
          <t>Artificial Intelligence for Robotics</t>
        </is>
      </c>
      <c r="FD3" s="609" t="n"/>
      <c r="FE3" s="609" t="n"/>
      <c r="FF3" s="609" t="n"/>
      <c r="FG3" s="611" t="n"/>
      <c r="FH3" s="634" t="inlineStr">
        <is>
          <t>Sociology</t>
        </is>
      </c>
      <c r="FI3" s="623" t="n"/>
      <c r="FJ3" s="624" t="n"/>
      <c r="FK3" s="642" t="inlineStr">
        <is>
          <t>Ethics and Social Responsibility</t>
        </is>
      </c>
      <c r="FL3" s="609" t="n"/>
      <c r="FM3" s="611" t="n"/>
      <c r="FN3" s="639" t="inlineStr">
        <is>
          <t>Philosophy and Critical Thinking</t>
        </is>
      </c>
      <c r="FO3" s="623" t="n"/>
      <c r="FP3" s="623" t="n"/>
      <c r="FQ3" s="624" t="n"/>
      <c r="FR3" s="643" t="inlineStr">
        <is>
          <t>Final Year Project - II</t>
        </is>
      </c>
      <c r="FS3" s="609" t="n"/>
      <c r="FT3" s="609" t="n"/>
      <c r="FU3" s="609" t="n"/>
      <c r="FV3" s="609" t="n"/>
      <c r="FW3" s="609" t="n"/>
      <c r="FX3" s="609" t="n"/>
      <c r="FY3" s="609" t="n"/>
      <c r="FZ3" s="609" t="n"/>
      <c r="GA3" s="609" t="n"/>
      <c r="GB3" s="609" t="n"/>
      <c r="GC3" s="611" t="n"/>
      <c r="GD3" s="606" t="n"/>
      <c r="GE3" s="109" t="n"/>
      <c r="GF3" s="109" t="n"/>
      <c r="GG3" s="109" t="n"/>
      <c r="GH3" s="109" t="n"/>
      <c r="GI3" s="109" t="n"/>
      <c r="GJ3" s="109" t="n"/>
      <c r="GK3" s="109" t="n"/>
      <c r="GL3" s="109" t="n"/>
      <c r="GM3" s="109" t="n"/>
      <c r="GN3" s="109" t="n"/>
    </row>
    <row r="4" ht="24" customHeight="1" s="590">
      <c r="B4" s="606" t="n"/>
      <c r="C4" s="342" t="n"/>
      <c r="D4" s="608" t="n"/>
      <c r="E4" s="110" t="inlineStr">
        <is>
          <t>CLO 1</t>
        </is>
      </c>
      <c r="F4" s="111" t="inlineStr">
        <is>
          <t>CLO 2</t>
        </is>
      </c>
      <c r="G4" s="112" t="inlineStr">
        <is>
          <t>CLO 1</t>
        </is>
      </c>
      <c r="H4" s="113" t="inlineStr">
        <is>
          <t>CLO 2</t>
        </is>
      </c>
      <c r="I4" s="110" t="inlineStr">
        <is>
          <t>CLO 1</t>
        </is>
      </c>
      <c r="J4" s="112" t="inlineStr">
        <is>
          <t>CLO 2</t>
        </is>
      </c>
      <c r="K4" s="110" t="inlineStr">
        <is>
          <t>CLO 1</t>
        </is>
      </c>
      <c r="L4" s="113" t="inlineStr">
        <is>
          <t>CLO 2</t>
        </is>
      </c>
      <c r="M4" s="110" t="inlineStr">
        <is>
          <t>CLO 1</t>
        </is>
      </c>
      <c r="N4" s="111" t="inlineStr">
        <is>
          <t>CLO 2</t>
        </is>
      </c>
      <c r="O4" s="111" t="inlineStr">
        <is>
          <t>CLO 3</t>
        </is>
      </c>
      <c r="P4" s="111" t="inlineStr">
        <is>
          <t>CLO1</t>
        </is>
      </c>
      <c r="Q4" s="113" t="inlineStr">
        <is>
          <t>CLO2</t>
        </is>
      </c>
      <c r="R4" s="110" t="inlineStr">
        <is>
          <t>CLO 1</t>
        </is>
      </c>
      <c r="S4" s="111" t="inlineStr">
        <is>
          <t>CLO 2</t>
        </is>
      </c>
      <c r="T4" s="113" t="inlineStr">
        <is>
          <t>CLO 3</t>
        </is>
      </c>
      <c r="U4" s="110" t="inlineStr">
        <is>
          <t>CLO 1</t>
        </is>
      </c>
      <c r="V4" s="111" t="inlineStr">
        <is>
          <t>CLO 2</t>
        </is>
      </c>
      <c r="W4" s="113" t="inlineStr">
        <is>
          <t>CLO 4</t>
        </is>
      </c>
      <c r="X4" s="122" t="inlineStr">
        <is>
          <t>CLO 1</t>
        </is>
      </c>
      <c r="Y4" s="122" t="inlineStr">
        <is>
          <t>CLO 3</t>
        </is>
      </c>
      <c r="Z4" s="110" t="inlineStr">
        <is>
          <t>CLO 1</t>
        </is>
      </c>
      <c r="AA4" s="112" t="inlineStr">
        <is>
          <t>CLO 2</t>
        </is>
      </c>
      <c r="AB4" s="113" t="inlineStr">
        <is>
          <t>CLO 2</t>
        </is>
      </c>
      <c r="AC4" s="111" t="inlineStr">
        <is>
          <t>CLO 1</t>
        </is>
      </c>
      <c r="AD4" s="111" t="inlineStr">
        <is>
          <t>CLO 2</t>
        </is>
      </c>
      <c r="AE4" s="111" t="inlineStr">
        <is>
          <t>CLO 3</t>
        </is>
      </c>
      <c r="AF4" s="111" t="inlineStr">
        <is>
          <t>CLO 4</t>
        </is>
      </c>
      <c r="AG4" s="112" t="inlineStr">
        <is>
          <t>CLO 1</t>
        </is>
      </c>
      <c r="AH4" s="112" t="inlineStr">
        <is>
          <t>CLO 2</t>
        </is>
      </c>
      <c r="AI4" s="110" t="inlineStr">
        <is>
          <t>CLO 1</t>
        </is>
      </c>
      <c r="AJ4" s="111" t="inlineStr">
        <is>
          <t>CLO 2</t>
        </is>
      </c>
      <c r="AK4" s="113" t="inlineStr">
        <is>
          <t>CLO 3</t>
        </is>
      </c>
      <c r="AL4" s="111" t="inlineStr">
        <is>
          <t>CLO 1</t>
        </is>
      </c>
      <c r="AM4" s="111" t="inlineStr">
        <is>
          <t>CLO 2</t>
        </is>
      </c>
      <c r="AN4" s="112" t="inlineStr">
        <is>
          <t>CLO 3</t>
        </is>
      </c>
      <c r="AO4" s="112" t="inlineStr">
        <is>
          <t>CLO5</t>
        </is>
      </c>
      <c r="AP4" s="110" t="inlineStr">
        <is>
          <t>CLO 1</t>
        </is>
      </c>
      <c r="AQ4" s="111" t="inlineStr">
        <is>
          <t>CLO 2</t>
        </is>
      </c>
      <c r="AR4" s="111" t="inlineStr">
        <is>
          <t>CLO 3</t>
        </is>
      </c>
      <c r="AS4" s="111" t="inlineStr">
        <is>
          <t>CLO 5</t>
        </is>
      </c>
      <c r="AT4" s="113" t="inlineStr">
        <is>
          <t>CLO 4</t>
        </is>
      </c>
      <c r="AU4" s="110" t="inlineStr">
        <is>
          <t>CLO 1</t>
        </is>
      </c>
      <c r="AV4" s="111" t="inlineStr">
        <is>
          <t>CLO 2</t>
        </is>
      </c>
      <c r="AW4" s="113" t="inlineStr">
        <is>
          <t>CLO 4</t>
        </is>
      </c>
      <c r="AX4" s="110" t="inlineStr">
        <is>
          <t>CLO 1</t>
        </is>
      </c>
      <c r="AY4" s="111" t="inlineStr">
        <is>
          <t>CLO 2</t>
        </is>
      </c>
      <c r="AZ4" s="113" t="inlineStr">
        <is>
          <t>CLO 3</t>
        </is>
      </c>
      <c r="BA4" s="110" t="inlineStr">
        <is>
          <t>CLO 1</t>
        </is>
      </c>
      <c r="BB4" s="111" t="inlineStr">
        <is>
          <t>CLO 2</t>
        </is>
      </c>
      <c r="BC4" s="113" t="inlineStr">
        <is>
          <t>CLO 3</t>
        </is>
      </c>
      <c r="BD4" s="110" t="inlineStr">
        <is>
          <t>CLO 1</t>
        </is>
      </c>
      <c r="BE4" s="111" t="inlineStr">
        <is>
          <t>CLO 2</t>
        </is>
      </c>
      <c r="BF4" s="113" t="inlineStr">
        <is>
          <t>CLO 3</t>
        </is>
      </c>
      <c r="BG4" s="110" t="inlineStr">
        <is>
          <t>CLO 1</t>
        </is>
      </c>
      <c r="BH4" s="111" t="inlineStr">
        <is>
          <t>CLO 2</t>
        </is>
      </c>
      <c r="BI4" s="111" t="inlineStr">
        <is>
          <t>CLO 3</t>
        </is>
      </c>
      <c r="BJ4" s="111" t="inlineStr">
        <is>
          <t>CLO 4</t>
        </is>
      </c>
      <c r="BK4" s="113" t="inlineStr">
        <is>
          <t>CLO 7</t>
        </is>
      </c>
      <c r="BL4" s="110" t="inlineStr">
        <is>
          <t>CLO 1</t>
        </is>
      </c>
      <c r="BM4" s="111" t="inlineStr">
        <is>
          <t>CLO 2</t>
        </is>
      </c>
      <c r="BN4" s="110" t="inlineStr">
        <is>
          <t>CLO 3</t>
        </is>
      </c>
      <c r="BO4" s="111" t="inlineStr">
        <is>
          <t>CLO 4</t>
        </is>
      </c>
      <c r="BP4" s="111" t="inlineStr">
        <is>
          <t>CLO 5</t>
        </is>
      </c>
      <c r="BQ4" s="111" t="inlineStr">
        <is>
          <t>CLO 1</t>
        </is>
      </c>
      <c r="BR4" s="7" t="inlineStr">
        <is>
          <t>CLO 2</t>
        </is>
      </c>
      <c r="BS4" s="132" t="inlineStr">
        <is>
          <t>CLO 1</t>
        </is>
      </c>
      <c r="BT4" s="110" t="inlineStr">
        <is>
          <t>CLO 2</t>
        </is>
      </c>
      <c r="BU4" s="110" t="inlineStr">
        <is>
          <t>CLO 3</t>
        </is>
      </c>
      <c r="BV4" s="110" t="inlineStr">
        <is>
          <t>CLO 4</t>
        </is>
      </c>
      <c r="BW4" s="110" t="inlineStr">
        <is>
          <t>CLO 5</t>
        </is>
      </c>
      <c r="BX4" s="6" t="inlineStr">
        <is>
          <t>CLO 6</t>
        </is>
      </c>
      <c r="BY4" s="5" t="inlineStr">
        <is>
          <t>CLO 1</t>
        </is>
      </c>
      <c r="BZ4" s="6" t="inlineStr">
        <is>
          <t>CLO 2</t>
        </is>
      </c>
      <c r="CA4" s="6" t="inlineStr">
        <is>
          <t>CLO 3</t>
        </is>
      </c>
      <c r="CB4" s="6" t="inlineStr">
        <is>
          <t>CLO 4</t>
        </is>
      </c>
      <c r="CC4" s="5" t="inlineStr">
        <is>
          <t>CLO 1</t>
        </is>
      </c>
      <c r="CD4" s="6" t="inlineStr">
        <is>
          <t>CLO 2</t>
        </is>
      </c>
      <c r="CE4" s="6" t="inlineStr">
        <is>
          <t>CLO 3</t>
        </is>
      </c>
      <c r="CF4" s="6" t="inlineStr">
        <is>
          <t>CLO 1</t>
        </is>
      </c>
      <c r="CG4" s="7" t="inlineStr">
        <is>
          <t>CLO 2</t>
        </is>
      </c>
      <c r="CH4" s="5" t="inlineStr">
        <is>
          <t>CLO 1</t>
        </is>
      </c>
      <c r="CI4" s="6" t="inlineStr">
        <is>
          <t>CLO 2</t>
        </is>
      </c>
      <c r="CJ4" s="6" t="inlineStr">
        <is>
          <t>CLO 3</t>
        </is>
      </c>
      <c r="CK4" s="5" t="inlineStr">
        <is>
          <t>CLO 1</t>
        </is>
      </c>
      <c r="CL4" s="6" t="inlineStr">
        <is>
          <t>CLO 2</t>
        </is>
      </c>
      <c r="CM4" s="6" t="inlineStr">
        <is>
          <t>CLO 3</t>
        </is>
      </c>
      <c r="CN4" s="138" t="inlineStr">
        <is>
          <t>CLO1</t>
        </is>
      </c>
      <c r="CO4" s="138" t="inlineStr">
        <is>
          <t>CLO2</t>
        </is>
      </c>
      <c r="CP4" s="138" t="inlineStr">
        <is>
          <t>CLO 3</t>
        </is>
      </c>
      <c r="CQ4" s="138" t="inlineStr">
        <is>
          <t>CLO 4</t>
        </is>
      </c>
      <c r="CR4" s="138" t="inlineStr">
        <is>
          <t>CLO1</t>
        </is>
      </c>
      <c r="CS4" s="138" t="inlineStr">
        <is>
          <t>CLO2</t>
        </is>
      </c>
      <c r="CT4" s="132" t="inlineStr">
        <is>
          <t>CLO1</t>
        </is>
      </c>
      <c r="CU4" s="132" t="inlineStr">
        <is>
          <t>CLO2</t>
        </is>
      </c>
      <c r="CV4" s="132" t="inlineStr">
        <is>
          <t>CLO3</t>
        </is>
      </c>
      <c r="CW4" s="132" t="inlineStr">
        <is>
          <t>CLO4</t>
        </is>
      </c>
      <c r="CX4" s="132" t="inlineStr">
        <is>
          <t>CLO5</t>
        </is>
      </c>
      <c r="CY4" s="132" t="inlineStr">
        <is>
          <t>CLO6</t>
        </is>
      </c>
      <c r="CZ4" s="40" t="inlineStr">
        <is>
          <t>CLO1</t>
        </is>
      </c>
      <c r="DA4" s="40" t="inlineStr">
        <is>
          <t>CLO 2</t>
        </is>
      </c>
      <c r="DB4" s="235" t="inlineStr">
        <is>
          <t>CLO 3</t>
        </is>
      </c>
      <c r="DC4" s="236" t="inlineStr">
        <is>
          <t>CLO 4</t>
        </is>
      </c>
      <c r="DD4" s="37" t="inlineStr">
        <is>
          <t>CLO1</t>
        </is>
      </c>
      <c r="DE4" s="37" t="inlineStr">
        <is>
          <t>CLO2</t>
        </is>
      </c>
      <c r="DF4" s="37" t="inlineStr">
        <is>
          <t>CLO3</t>
        </is>
      </c>
      <c r="DG4" s="132" t="inlineStr">
        <is>
          <t>CLO1</t>
        </is>
      </c>
      <c r="DH4" s="132" t="inlineStr">
        <is>
          <t>CLO2</t>
        </is>
      </c>
      <c r="DI4" s="132" t="inlineStr">
        <is>
          <t>CLO 4</t>
        </is>
      </c>
      <c r="DJ4" s="132" t="inlineStr">
        <is>
          <t>CLO 5</t>
        </is>
      </c>
      <c r="DK4" s="5" t="n"/>
      <c r="DL4" s="668" t="n"/>
      <c r="DM4" s="132" t="inlineStr">
        <is>
          <t>CLO1</t>
        </is>
      </c>
      <c r="DN4" s="132" t="inlineStr">
        <is>
          <t>CLO2</t>
        </is>
      </c>
      <c r="DO4" s="706" t="inlineStr">
        <is>
          <t>CLO3</t>
        </is>
      </c>
      <c r="DP4" s="600" t="n"/>
      <c r="DQ4" s="707" t="n"/>
      <c r="DR4" s="69" t="n"/>
      <c r="DS4" s="70" t="n"/>
      <c r="DT4" s="71" t="n"/>
      <c r="DU4" s="71" t="n"/>
      <c r="DV4" s="80" t="n"/>
      <c r="DW4" s="81" t="n"/>
      <c r="DX4" s="83" t="n"/>
      <c r="DY4" s="84" t="n"/>
      <c r="DZ4" s="85" t="n"/>
      <c r="EA4" s="86" t="n"/>
      <c r="EB4" s="86" t="n"/>
      <c r="EC4" s="86" t="n"/>
      <c r="ED4" s="95" t="inlineStr">
        <is>
          <t>R1</t>
        </is>
      </c>
      <c r="EE4" s="96" t="inlineStr">
        <is>
          <t>R2</t>
        </is>
      </c>
      <c r="EF4" s="96" t="inlineStr">
        <is>
          <t>R3</t>
        </is>
      </c>
      <c r="EG4" s="96" t="inlineStr">
        <is>
          <t>R4</t>
        </is>
      </c>
      <c r="EH4" s="96" t="inlineStr">
        <is>
          <t>R5</t>
        </is>
      </c>
      <c r="EI4" s="96" t="inlineStr">
        <is>
          <t>R6</t>
        </is>
      </c>
      <c r="EJ4" s="96" t="inlineStr">
        <is>
          <t>R7</t>
        </is>
      </c>
      <c r="EK4" s="96" t="inlineStr">
        <is>
          <t>R8</t>
        </is>
      </c>
      <c r="EL4" s="96" t="inlineStr">
        <is>
          <t>R9</t>
        </is>
      </c>
      <c r="EM4" s="96" t="inlineStr">
        <is>
          <t>R10</t>
        </is>
      </c>
      <c r="EN4" s="96" t="inlineStr">
        <is>
          <t>R11</t>
        </is>
      </c>
      <c r="EO4" s="101" t="inlineStr">
        <is>
          <t>R12</t>
        </is>
      </c>
      <c r="EP4" s="5" t="n"/>
      <c r="EQ4" s="6" t="n"/>
      <c r="ER4" s="6" t="n"/>
      <c r="ES4" s="6" t="n"/>
      <c r="ET4" s="7" t="n"/>
      <c r="EU4" s="7" t="n"/>
      <c r="EV4" s="7" t="n"/>
      <c r="EW4" s="7" t="n"/>
      <c r="EX4" s="19" t="inlineStr">
        <is>
          <t>CLO1</t>
        </is>
      </c>
      <c r="EY4" s="20" t="inlineStr">
        <is>
          <t>CLO 2</t>
        </is>
      </c>
      <c r="EZ4" s="20" t="inlineStr">
        <is>
          <t>CLO 3</t>
        </is>
      </c>
      <c r="FA4" s="21" t="inlineStr">
        <is>
          <t>CLO 1</t>
        </is>
      </c>
      <c r="FB4" s="22" t="inlineStr">
        <is>
          <t>CLO 2</t>
        </is>
      </c>
      <c r="FC4" s="23" t="inlineStr">
        <is>
          <t>CLO1</t>
        </is>
      </c>
      <c r="FD4" s="36" t="inlineStr">
        <is>
          <t>CLO2</t>
        </is>
      </c>
      <c r="FE4" s="37" t="inlineStr">
        <is>
          <t>CLO3</t>
        </is>
      </c>
      <c r="FF4" s="38" t="inlineStr">
        <is>
          <t>CLO 1</t>
        </is>
      </c>
      <c r="FG4" s="22" t="inlineStr">
        <is>
          <t>CLO 2</t>
        </is>
      </c>
      <c r="FH4" s="40" t="inlineStr">
        <is>
          <t>CLO1</t>
        </is>
      </c>
      <c r="FI4" s="40" t="inlineStr">
        <is>
          <t>CLO2</t>
        </is>
      </c>
      <c r="FJ4" s="40" t="inlineStr">
        <is>
          <t>CLO3</t>
        </is>
      </c>
      <c r="FK4" s="51" t="inlineStr">
        <is>
          <t>CLO1</t>
        </is>
      </c>
      <c r="FL4" s="21" t="inlineStr">
        <is>
          <t>CLO2</t>
        </is>
      </c>
      <c r="FM4" s="52" t="inlineStr">
        <is>
          <t>CLO3</t>
        </is>
      </c>
      <c r="FN4" s="7" t="n"/>
      <c r="FO4" s="7" t="n"/>
      <c r="FP4" s="7" t="n"/>
      <c r="FQ4" s="7" t="n"/>
      <c r="FR4" s="23" t="inlineStr">
        <is>
          <t>R1</t>
        </is>
      </c>
      <c r="FS4" s="36" t="inlineStr">
        <is>
          <t>R2</t>
        </is>
      </c>
      <c r="FT4" s="37" t="inlineStr">
        <is>
          <t>R3</t>
        </is>
      </c>
      <c r="FU4" s="37" t="inlineStr">
        <is>
          <t>R4</t>
        </is>
      </c>
      <c r="FV4" s="37" t="inlineStr">
        <is>
          <t>R5</t>
        </is>
      </c>
      <c r="FW4" s="37" t="inlineStr">
        <is>
          <t>R6</t>
        </is>
      </c>
      <c r="FX4" s="37" t="inlineStr">
        <is>
          <t>R7</t>
        </is>
      </c>
      <c r="FY4" s="37" t="inlineStr">
        <is>
          <t>R8</t>
        </is>
      </c>
      <c r="FZ4" s="37" t="inlineStr">
        <is>
          <t>R9</t>
        </is>
      </c>
      <c r="GA4" s="60" t="inlineStr">
        <is>
          <t>R10</t>
        </is>
      </c>
      <c r="GB4" s="62" t="inlineStr">
        <is>
          <t>R11</t>
        </is>
      </c>
      <c r="GC4" s="63" t="inlineStr">
        <is>
          <t>R12</t>
        </is>
      </c>
      <c r="GD4" s="606" t="n"/>
      <c r="GE4" s="646" t="inlineStr">
        <is>
          <t>GA1</t>
        </is>
      </c>
      <c r="GF4" s="646" t="inlineStr">
        <is>
          <t>GA2</t>
        </is>
      </c>
      <c r="GG4" s="646" t="inlineStr">
        <is>
          <t>GA3</t>
        </is>
      </c>
      <c r="GH4" s="646" t="inlineStr">
        <is>
          <t>GA4</t>
        </is>
      </c>
      <c r="GI4" s="646" t="inlineStr">
        <is>
          <t>GA5</t>
        </is>
      </c>
      <c r="GJ4" s="646" t="inlineStr">
        <is>
          <t>GA6</t>
        </is>
      </c>
      <c r="GK4" s="646" t="inlineStr">
        <is>
          <t>GA7</t>
        </is>
      </c>
      <c r="GL4" s="646" t="inlineStr">
        <is>
          <t>GA8</t>
        </is>
      </c>
      <c r="GM4" s="646" t="inlineStr">
        <is>
          <t>GA9</t>
        </is>
      </c>
      <c r="GN4" s="646" t="inlineStr">
        <is>
          <t>GA10</t>
        </is>
      </c>
    </row>
    <row r="5" ht="26.1" customHeight="1" s="590">
      <c r="B5" s="606" t="n"/>
      <c r="C5" s="342" t="n"/>
      <c r="D5" s="608" t="n"/>
      <c r="E5" s="383" t="inlineStr">
        <is>
          <t>Theory</t>
        </is>
      </c>
      <c r="G5" s="384" t="inlineStr">
        <is>
          <t>Lab</t>
        </is>
      </c>
      <c r="H5" s="591" t="n"/>
      <c r="I5" s="383" t="inlineStr">
        <is>
          <t>Theory</t>
        </is>
      </c>
      <c r="K5" s="384" t="inlineStr">
        <is>
          <t>Lab</t>
        </is>
      </c>
      <c r="L5" s="591" t="n"/>
      <c r="M5" s="383" t="inlineStr">
        <is>
          <t>Theory</t>
        </is>
      </c>
      <c r="P5" s="384" t="inlineStr">
        <is>
          <t>Lab</t>
        </is>
      </c>
      <c r="Q5" s="591" t="n"/>
      <c r="R5" s="383" t="n"/>
      <c r="S5" s="363" t="n"/>
      <c r="T5" s="384" t="n"/>
      <c r="U5" s="383" t="n"/>
      <c r="V5" s="363" t="n"/>
      <c r="W5" s="363" t="n"/>
      <c r="X5" s="363" t="n"/>
      <c r="Y5" s="384" t="n"/>
      <c r="Z5" s="383" t="n"/>
      <c r="AA5" s="363" t="n"/>
      <c r="AB5" s="384" t="n"/>
      <c r="AC5" s="363" t="n"/>
      <c r="AD5" s="363" t="n"/>
      <c r="AE5" s="363" t="n"/>
      <c r="AF5" s="363" t="n"/>
      <c r="AG5" s="363" t="inlineStr">
        <is>
          <t>Lab</t>
        </is>
      </c>
      <c r="AI5" s="383" t="n"/>
      <c r="AJ5" s="363" t="n"/>
      <c r="AK5" s="384" t="n"/>
      <c r="AL5" s="363" t="n"/>
      <c r="AM5" s="363" t="n"/>
      <c r="AN5" s="363" t="n"/>
      <c r="AO5" s="363" t="n"/>
      <c r="AP5" s="383" t="inlineStr">
        <is>
          <t>Theory</t>
        </is>
      </c>
      <c r="AS5" s="384" t="inlineStr">
        <is>
          <t>Lab</t>
        </is>
      </c>
      <c r="AT5" s="591" t="n"/>
      <c r="AU5" s="383" t="n"/>
      <c r="AV5" s="363" t="n"/>
      <c r="AW5" s="384" t="n"/>
      <c r="AX5" s="383" t="n"/>
      <c r="AY5" s="363" t="n"/>
      <c r="AZ5" s="384" t="n"/>
      <c r="BA5" s="383" t="n"/>
      <c r="BB5" s="363" t="n"/>
      <c r="BC5" s="384" t="n"/>
      <c r="BD5" s="383" t="n"/>
      <c r="BE5" s="363" t="n"/>
      <c r="BF5" s="384" t="n"/>
      <c r="BG5" s="383" t="inlineStr">
        <is>
          <t>Theory</t>
        </is>
      </c>
      <c r="BK5" s="384" t="n"/>
      <c r="BL5" s="383" t="n"/>
      <c r="BM5" s="383" t="inlineStr">
        <is>
          <t>Theory</t>
        </is>
      </c>
      <c r="BQ5" s="363" t="inlineStr">
        <is>
          <t>Lab</t>
        </is>
      </c>
      <c r="BS5" s="362" t="n"/>
      <c r="BT5" s="362" t="n"/>
      <c r="BU5" s="362" t="n"/>
      <c r="BV5" s="362" t="n"/>
      <c r="BW5" s="362" t="n"/>
      <c r="BX5" s="133" t="n"/>
      <c r="BY5" s="362" t="n"/>
      <c r="BZ5" s="363" t="n"/>
      <c r="CA5" s="364" t="inlineStr">
        <is>
          <t>Lab</t>
        </is>
      </c>
      <c r="CB5" s="649" t="n"/>
      <c r="CC5" s="133" t="inlineStr">
        <is>
          <t>Theory</t>
        </is>
      </c>
      <c r="CE5" s="649" t="n"/>
      <c r="CF5" s="362" t="inlineStr">
        <is>
          <t>Lab</t>
        </is>
      </c>
      <c r="CH5" s="133" t="inlineStr">
        <is>
          <t>GA 2</t>
        </is>
      </c>
      <c r="CI5" s="133" t="inlineStr">
        <is>
          <t>GA 3</t>
        </is>
      </c>
      <c r="CJ5" s="133" t="inlineStr">
        <is>
          <t>GA 5</t>
        </is>
      </c>
      <c r="CK5" s="362" t="n"/>
      <c r="CL5" s="364" t="n"/>
      <c r="CM5" s="133" t="n"/>
      <c r="CN5" s="356" t="inlineStr">
        <is>
          <t>Theory</t>
        </is>
      </c>
      <c r="CR5" s="53" t="inlineStr">
        <is>
          <t>Lab</t>
        </is>
      </c>
      <c r="CS5" s="591" t="n"/>
      <c r="CT5" s="362" t="n"/>
      <c r="CU5" s="363" t="n"/>
      <c r="CV5" s="363" t="n"/>
      <c r="CW5" s="363" t="n"/>
      <c r="CX5" s="362" t="n"/>
      <c r="CY5" s="362" t="n"/>
      <c r="CZ5" s="517" t="inlineStr">
        <is>
          <t>Theory</t>
        </is>
      </c>
      <c r="DA5" s="603" t="n"/>
      <c r="DB5" s="603" t="n"/>
      <c r="DC5" s="603" t="n"/>
      <c r="DD5" s="581" t="inlineStr">
        <is>
          <t>Theory</t>
        </is>
      </c>
      <c r="DE5" s="603" t="n"/>
      <c r="DF5" s="688" t="n"/>
      <c r="DG5" s="362" t="inlineStr">
        <is>
          <t>Theory</t>
        </is>
      </c>
      <c r="DM5" s="362" t="inlineStr">
        <is>
          <t>Theory</t>
        </is>
      </c>
      <c r="DP5" s="362" t="n"/>
      <c r="DR5" s="580" t="n"/>
      <c r="EC5" s="591" t="n"/>
      <c r="ED5" s="54" t="n"/>
      <c r="EE5" s="55" t="n"/>
      <c r="EF5" s="55" t="n"/>
      <c r="EG5" s="55" t="n"/>
      <c r="EH5" s="55" t="n"/>
      <c r="EI5" s="55" t="n"/>
      <c r="EJ5" s="55" t="n"/>
      <c r="EK5" s="55" t="n"/>
      <c r="EL5" s="55" t="n"/>
      <c r="EM5" s="55" t="n"/>
      <c r="EN5" s="55" t="n"/>
      <c r="EO5" s="53" t="n"/>
      <c r="EP5" s="362" t="n"/>
      <c r="EQ5" s="363" t="n"/>
      <c r="ER5" s="363" t="n"/>
      <c r="ES5" s="364" t="n"/>
      <c r="ET5" s="363" t="n"/>
      <c r="EU5" s="363" t="n"/>
      <c r="EV5" s="363" t="n"/>
      <c r="EW5" s="363" t="n"/>
      <c r="EX5" s="356" t="inlineStr">
        <is>
          <t>Theory</t>
        </is>
      </c>
      <c r="FA5" s="53" t="inlineStr">
        <is>
          <t>Lab</t>
        </is>
      </c>
      <c r="FB5" s="591" t="n"/>
      <c r="FC5" s="356" t="inlineStr">
        <is>
          <t>Theory</t>
        </is>
      </c>
      <c r="FF5" s="53" t="inlineStr">
        <is>
          <t>Lab</t>
        </is>
      </c>
      <c r="FG5" s="591" t="n"/>
      <c r="FH5" s="362" t="n"/>
      <c r="FI5" s="363" t="n"/>
      <c r="FJ5" s="363" t="n"/>
      <c r="FK5" s="356" t="n"/>
      <c r="FL5" s="358" t="n"/>
      <c r="FM5" s="53" t="n"/>
      <c r="FN5" s="363" t="n"/>
      <c r="FO5" s="363" t="n"/>
      <c r="FP5" s="363" t="n"/>
      <c r="FQ5" s="363" t="n"/>
      <c r="FR5" s="54" t="n"/>
      <c r="FS5" s="55" t="n"/>
      <c r="FT5" s="55" t="n"/>
      <c r="FU5" s="55" t="n"/>
      <c r="FV5" s="55" t="n"/>
      <c r="FW5" s="55" t="n"/>
      <c r="FX5" s="55" t="n"/>
      <c r="FY5" s="55" t="n"/>
      <c r="FZ5" s="55" t="n"/>
      <c r="GA5" s="55" t="n"/>
      <c r="GB5" s="358" t="n"/>
      <c r="GC5" s="359" t="n"/>
      <c r="GD5" s="606" t="n"/>
      <c r="GE5" s="606" t="n"/>
      <c r="GF5" s="606" t="n"/>
      <c r="GG5" s="606" t="n"/>
      <c r="GH5" s="606" t="n"/>
      <c r="GI5" s="606" t="n"/>
      <c r="GJ5" s="606" t="n"/>
      <c r="GK5" s="606" t="n"/>
      <c r="GL5" s="606" t="n"/>
      <c r="GM5" s="606" t="n"/>
      <c r="GN5" s="606" t="n"/>
    </row>
    <row r="6" ht="24" customHeight="1" s="590">
      <c r="B6" s="652" t="n"/>
      <c r="C6" s="343" t="n"/>
      <c r="D6" s="650" t="n"/>
      <c r="E6" s="490" t="inlineStr">
        <is>
          <t>GA2</t>
        </is>
      </c>
      <c r="F6" s="360" t="inlineStr">
        <is>
          <t>GA5</t>
        </is>
      </c>
      <c r="G6" s="360" t="inlineStr">
        <is>
          <t>GA2</t>
        </is>
      </c>
      <c r="H6" s="361" t="inlineStr">
        <is>
          <t>GA5</t>
        </is>
      </c>
      <c r="I6" s="490" t="inlineStr">
        <is>
          <t>GA1</t>
        </is>
      </c>
      <c r="J6" s="598" t="n"/>
      <c r="K6" s="490" t="inlineStr">
        <is>
          <t>GA1</t>
        </is>
      </c>
      <c r="L6" s="598" t="n"/>
      <c r="M6" s="490" t="inlineStr">
        <is>
          <t>GA 1</t>
        </is>
      </c>
      <c r="N6" s="360" t="inlineStr">
        <is>
          <t>GA 2</t>
        </is>
      </c>
      <c r="O6" s="360" t="inlineStr">
        <is>
          <t>GA 4</t>
        </is>
      </c>
      <c r="P6" s="360" t="inlineStr">
        <is>
          <t>GA 1</t>
        </is>
      </c>
      <c r="Q6" s="360" t="inlineStr">
        <is>
          <t>GA 5</t>
        </is>
      </c>
      <c r="R6" s="130" t="inlineStr">
        <is>
          <t>GA1</t>
        </is>
      </c>
      <c r="S6" s="598" t="n"/>
      <c r="T6" s="629" t="n"/>
      <c r="U6" s="123" t="inlineStr">
        <is>
          <t>GA1</t>
        </is>
      </c>
      <c r="V6" s="124" t="inlineStr">
        <is>
          <t>GA6</t>
        </is>
      </c>
      <c r="W6" s="124" t="n"/>
      <c r="X6" s="124" t="inlineStr">
        <is>
          <t>GA10</t>
        </is>
      </c>
      <c r="Y6" s="125" t="inlineStr">
        <is>
          <t>GA2</t>
        </is>
      </c>
      <c r="Z6" s="130" t="inlineStr">
        <is>
          <t>GA10</t>
        </is>
      </c>
      <c r="AA6" s="598" t="n"/>
      <c r="AB6" s="629" t="n"/>
      <c r="AC6" s="490" t="inlineStr">
        <is>
          <t>GA 2</t>
        </is>
      </c>
      <c r="AD6" s="598" t="n"/>
      <c r="AE6" s="360" t="inlineStr">
        <is>
          <t>GA 4</t>
        </is>
      </c>
      <c r="AF6" s="598" t="n"/>
      <c r="AG6" s="360" t="inlineStr">
        <is>
          <t>GA 4</t>
        </is>
      </c>
      <c r="AH6" s="372" t="inlineStr">
        <is>
          <t xml:space="preserve">GA 5 </t>
        </is>
      </c>
      <c r="AI6" s="130" t="inlineStr">
        <is>
          <t>GA1</t>
        </is>
      </c>
      <c r="AJ6" s="598" t="n"/>
      <c r="AK6" s="629" t="n"/>
      <c r="AL6" s="124" t="inlineStr">
        <is>
          <t>GA1</t>
        </is>
      </c>
      <c r="AM6" s="124" t="inlineStr">
        <is>
          <t>GA 2</t>
        </is>
      </c>
      <c r="AN6" s="124" t="inlineStr">
        <is>
          <t>GA4</t>
        </is>
      </c>
      <c r="AO6" s="124" t="inlineStr">
        <is>
          <t>GA5</t>
        </is>
      </c>
      <c r="AP6" s="123" t="inlineStr">
        <is>
          <t>GA 3</t>
        </is>
      </c>
      <c r="AQ6" s="124" t="inlineStr">
        <is>
          <t>GA 4</t>
        </is>
      </c>
      <c r="AR6" s="124" t="inlineStr">
        <is>
          <t>GA 5</t>
        </is>
      </c>
      <c r="AS6" s="129" t="n"/>
      <c r="AT6" s="89" t="inlineStr">
        <is>
          <t>GA4</t>
        </is>
      </c>
      <c r="AU6" s="130" t="inlineStr">
        <is>
          <t>GA 2</t>
        </is>
      </c>
      <c r="AV6" s="89" t="inlineStr">
        <is>
          <t>GA 3</t>
        </is>
      </c>
      <c r="AW6" s="89" t="inlineStr">
        <is>
          <t>GA2</t>
        </is>
      </c>
      <c r="AX6" s="73" t="inlineStr">
        <is>
          <t>GA5</t>
        </is>
      </c>
      <c r="AY6" s="599" t="n"/>
      <c r="AZ6" s="89" t="inlineStr">
        <is>
          <t>GA1</t>
        </is>
      </c>
      <c r="BA6" s="73" t="inlineStr">
        <is>
          <t>GA2</t>
        </is>
      </c>
      <c r="BB6" s="599" t="n"/>
      <c r="BC6" s="89" t="inlineStr">
        <is>
          <t>GA4</t>
        </is>
      </c>
      <c r="BD6" s="130" t="inlineStr">
        <is>
          <t>GA6</t>
        </is>
      </c>
      <c r="BE6" s="89" t="inlineStr">
        <is>
          <t>GA7</t>
        </is>
      </c>
      <c r="BF6" s="89" t="inlineStr">
        <is>
          <t>GA8</t>
        </is>
      </c>
      <c r="BG6" s="123" t="inlineStr">
        <is>
          <t>GA1</t>
        </is>
      </c>
      <c r="BH6" s="124" t="inlineStr">
        <is>
          <t>GA3</t>
        </is>
      </c>
      <c r="BI6" s="124" t="inlineStr">
        <is>
          <t>GA4</t>
        </is>
      </c>
      <c r="BJ6" s="124" t="inlineStr">
        <is>
          <t>GA5</t>
        </is>
      </c>
      <c r="BK6" s="89" t="inlineStr">
        <is>
          <t>GA 3</t>
        </is>
      </c>
      <c r="BL6" s="130" t="inlineStr">
        <is>
          <t>GA1</t>
        </is>
      </c>
      <c r="BM6" s="130" t="inlineStr">
        <is>
          <t>GA2</t>
        </is>
      </c>
      <c r="BN6" s="629" t="n"/>
      <c r="BO6" s="361" t="inlineStr">
        <is>
          <t>GA 5</t>
        </is>
      </c>
      <c r="BP6" s="629" t="n"/>
      <c r="BQ6" s="89" t="inlineStr">
        <is>
          <t>GA 2</t>
        </is>
      </c>
      <c r="BR6" s="372" t="inlineStr">
        <is>
          <t>GA5</t>
        </is>
      </c>
      <c r="BS6" s="89" t="inlineStr">
        <is>
          <t>GA2</t>
        </is>
      </c>
      <c r="BT6" s="89" t="inlineStr">
        <is>
          <t>GA3</t>
        </is>
      </c>
      <c r="BU6" s="89" t="inlineStr">
        <is>
          <t>GA2</t>
        </is>
      </c>
      <c r="BV6" s="89" t="inlineStr">
        <is>
          <t>GA4</t>
        </is>
      </c>
      <c r="BW6" s="89" t="inlineStr">
        <is>
          <t>GA8</t>
        </is>
      </c>
      <c r="BX6" s="134" t="inlineStr">
        <is>
          <t>GA10</t>
        </is>
      </c>
      <c r="BY6" s="135" t="inlineStr">
        <is>
          <t>GA 2</t>
        </is>
      </c>
      <c r="BZ6" s="136" t="inlineStr">
        <is>
          <t>GA 5</t>
        </is>
      </c>
      <c r="CA6" s="136" t="inlineStr">
        <is>
          <t>GA 2</t>
        </is>
      </c>
      <c r="CB6" s="104" t="inlineStr">
        <is>
          <t>GA 3</t>
        </is>
      </c>
      <c r="CC6" s="89" t="inlineStr">
        <is>
          <t>GA2</t>
        </is>
      </c>
      <c r="CD6" s="89" t="inlineStr">
        <is>
          <t>GA3</t>
        </is>
      </c>
      <c r="CE6" s="89" t="inlineStr">
        <is>
          <t>GA5</t>
        </is>
      </c>
      <c r="CF6" s="89" t="inlineStr">
        <is>
          <t>GA8</t>
        </is>
      </c>
      <c r="CG6" s="372" t="inlineStr">
        <is>
          <t>GA10</t>
        </is>
      </c>
      <c r="CH6" s="134" t="inlineStr">
        <is>
          <t>PLO10</t>
        </is>
      </c>
      <c r="CI6" s="134" t="inlineStr">
        <is>
          <t>PLO9</t>
        </is>
      </c>
      <c r="CJ6" s="134" t="inlineStr">
        <is>
          <t>PLO5</t>
        </is>
      </c>
      <c r="CK6" s="133" t="inlineStr">
        <is>
          <t>PLO1</t>
        </is>
      </c>
      <c r="CL6" s="649" t="n"/>
      <c r="CM6" s="134" t="inlineStr">
        <is>
          <t>PLO3</t>
        </is>
      </c>
      <c r="CN6" s="27" t="inlineStr">
        <is>
          <t>GA 1</t>
        </is>
      </c>
      <c r="CO6" s="365" t="inlineStr">
        <is>
          <t>GA 2</t>
        </is>
      </c>
      <c r="CP6" s="41" t="inlineStr">
        <is>
          <t>GA 2</t>
        </is>
      </c>
      <c r="CQ6" s="366" t="inlineStr">
        <is>
          <t>GA 4</t>
        </is>
      </c>
      <c r="CR6" s="27" t="inlineStr">
        <is>
          <t>GA 3</t>
        </is>
      </c>
      <c r="CS6" s="27" t="inlineStr">
        <is>
          <t>GA 4</t>
        </is>
      </c>
      <c r="CT6" s="134" t="inlineStr">
        <is>
          <t>PLO1</t>
        </is>
      </c>
      <c r="CU6" s="373" t="inlineStr">
        <is>
          <t>PLO3</t>
        </is>
      </c>
      <c r="CV6" s="373" t="inlineStr">
        <is>
          <t>PLO2</t>
        </is>
      </c>
      <c r="CW6" s="373" t="inlineStr">
        <is>
          <t>PLO5</t>
        </is>
      </c>
      <c r="CX6" s="73" t="inlineStr">
        <is>
          <t>PLO8</t>
        </is>
      </c>
      <c r="CY6" s="73" t="inlineStr">
        <is>
          <t>PLO10</t>
        </is>
      </c>
      <c r="CZ6" s="372" t="inlineStr">
        <is>
          <t>GA 1</t>
        </is>
      </c>
      <c r="DA6" s="360" t="inlineStr">
        <is>
          <t>GA 2</t>
        </is>
      </c>
      <c r="DB6" s="360" t="inlineStr">
        <is>
          <t>GA 2</t>
        </is>
      </c>
      <c r="DC6" s="373" t="inlineStr">
        <is>
          <t>GA 2</t>
        </is>
      </c>
      <c r="DD6" s="134" t="inlineStr">
        <is>
          <t>GA 2</t>
        </is>
      </c>
      <c r="DE6" s="73" t="inlineStr">
        <is>
          <t>GA 3</t>
        </is>
      </c>
      <c r="DF6" s="73" t="inlineStr">
        <is>
          <t>GA 4</t>
        </is>
      </c>
      <c r="DG6" s="134" t="inlineStr">
        <is>
          <t>GA 1</t>
        </is>
      </c>
      <c r="DH6" s="373" t="inlineStr">
        <is>
          <t>GA 2</t>
        </is>
      </c>
      <c r="DI6" s="373" t="inlineStr">
        <is>
          <t>GA 2</t>
        </is>
      </c>
      <c r="DJ6" s="373" t="inlineStr">
        <is>
          <t>GA 4</t>
        </is>
      </c>
      <c r="DK6" s="134" t="n"/>
      <c r="DL6" s="599" t="n"/>
      <c r="DM6" s="134" t="inlineStr">
        <is>
          <t>GA1</t>
        </is>
      </c>
      <c r="DN6" s="373" t="inlineStr">
        <is>
          <t>GA 3</t>
        </is>
      </c>
      <c r="DO6" s="73" t="inlineStr">
        <is>
          <t>GA 3</t>
        </is>
      </c>
      <c r="DP6" s="73" t="n"/>
      <c r="DQ6" s="73" t="n"/>
      <c r="DR6" s="677" t="n"/>
      <c r="DS6" s="677" t="n"/>
      <c r="DT6" s="677" t="n"/>
      <c r="DU6" s="677" t="n"/>
      <c r="DV6" s="677" t="n"/>
      <c r="DW6" s="677" t="n"/>
      <c r="DX6" s="677" t="n"/>
      <c r="DY6" s="677" t="n"/>
      <c r="DZ6" s="677" t="n"/>
      <c r="EA6" s="677" t="n"/>
      <c r="EB6" s="677" t="n"/>
      <c r="EC6" s="708" t="n"/>
      <c r="ED6" s="57" t="inlineStr">
        <is>
          <t>GA1</t>
        </is>
      </c>
      <c r="EE6" s="58" t="inlineStr">
        <is>
          <t>GA2</t>
        </is>
      </c>
      <c r="EF6" s="58" t="inlineStr">
        <is>
          <t>GA3</t>
        </is>
      </c>
      <c r="EG6" s="58" t="inlineStr">
        <is>
          <t>GA4</t>
        </is>
      </c>
      <c r="EH6" s="58" t="inlineStr">
        <is>
          <t>GA5</t>
        </is>
      </c>
      <c r="EI6" s="58" t="inlineStr">
        <is>
          <t>GA6</t>
        </is>
      </c>
      <c r="EJ6" s="58" t="inlineStr">
        <is>
          <t>GA7</t>
        </is>
      </c>
      <c r="EK6" s="58" t="inlineStr">
        <is>
          <t>GA8</t>
        </is>
      </c>
      <c r="EL6" s="58" t="inlineStr">
        <is>
          <t>GA9</t>
        </is>
      </c>
      <c r="EM6" s="58" t="inlineStr">
        <is>
          <t>GA10</t>
        </is>
      </c>
      <c r="EN6" s="58" t="inlineStr">
        <is>
          <t>GA11</t>
        </is>
      </c>
      <c r="EO6" s="27" t="inlineStr">
        <is>
          <t>GA12</t>
        </is>
      </c>
      <c r="EP6" s="133" t="n"/>
      <c r="ES6" s="649" t="n"/>
      <c r="ET6" s="364" t="n"/>
      <c r="EU6" s="364" t="n"/>
      <c r="EV6" s="364" t="n"/>
      <c r="EW6" s="364" t="n"/>
      <c r="EX6" s="27" t="inlineStr">
        <is>
          <t>GA 1</t>
        </is>
      </c>
      <c r="EY6" s="56" t="inlineStr">
        <is>
          <t>GA 3</t>
        </is>
      </c>
      <c r="EZ6" s="651" t="n"/>
      <c r="FA6" s="27" t="inlineStr">
        <is>
          <t>GA 1</t>
        </is>
      </c>
      <c r="FB6" s="27" t="inlineStr">
        <is>
          <t>GA 3</t>
        </is>
      </c>
      <c r="FC6" s="516" t="inlineStr">
        <is>
          <t>GA 1</t>
        </is>
      </c>
      <c r="FD6" s="366" t="inlineStr">
        <is>
          <t>GA 2</t>
        </is>
      </c>
      <c r="FE6" s="27" t="inlineStr">
        <is>
          <t>GA 5</t>
        </is>
      </c>
      <c r="FF6" s="27" t="inlineStr">
        <is>
          <t>GA 5</t>
        </is>
      </c>
      <c r="FG6" s="651" t="n"/>
      <c r="FH6" s="134" t="inlineStr">
        <is>
          <t>PLO1</t>
        </is>
      </c>
      <c r="FI6" s="598" t="n"/>
      <c r="FJ6" s="599" t="n"/>
      <c r="FK6" s="56" t="inlineStr">
        <is>
          <t>PLO1</t>
        </is>
      </c>
      <c r="FL6" s="27" t="inlineStr">
        <is>
          <t>PLO2</t>
        </is>
      </c>
      <c r="FM6" s="27" t="inlineStr">
        <is>
          <t>PLO5</t>
        </is>
      </c>
      <c r="FN6" s="364" t="n"/>
      <c r="FO6" s="364" t="n"/>
      <c r="FP6" s="364" t="n"/>
      <c r="FQ6" s="364" t="n"/>
      <c r="FR6" s="57" t="inlineStr">
        <is>
          <t>GA1</t>
        </is>
      </c>
      <c r="FS6" s="58" t="inlineStr">
        <is>
          <t>GA2</t>
        </is>
      </c>
      <c r="FT6" s="58" t="inlineStr">
        <is>
          <t>GA3</t>
        </is>
      </c>
      <c r="FU6" s="58" t="inlineStr">
        <is>
          <t>GA4</t>
        </is>
      </c>
      <c r="FV6" s="58" t="inlineStr">
        <is>
          <t>GA5</t>
        </is>
      </c>
      <c r="FW6" s="58" t="inlineStr">
        <is>
          <t>GA6</t>
        </is>
      </c>
      <c r="FX6" s="58" t="inlineStr">
        <is>
          <t>GA7</t>
        </is>
      </c>
      <c r="FY6" s="58" t="inlineStr">
        <is>
          <t>GA8</t>
        </is>
      </c>
      <c r="FZ6" s="58" t="inlineStr">
        <is>
          <t>GA9</t>
        </is>
      </c>
      <c r="GA6" s="58" t="inlineStr">
        <is>
          <t>GA10</t>
        </is>
      </c>
      <c r="GB6" s="365" t="inlineStr">
        <is>
          <t>GA11</t>
        </is>
      </c>
      <c r="GC6" s="56" t="inlineStr">
        <is>
          <t>GA12</t>
        </is>
      </c>
      <c r="GD6" s="606" t="n"/>
      <c r="GE6" s="652" t="n"/>
      <c r="GF6" s="652" t="n"/>
      <c r="GG6" s="652" t="n"/>
      <c r="GH6" s="652" t="n"/>
      <c r="GI6" s="652" t="n"/>
      <c r="GJ6" s="652" t="n"/>
      <c r="GK6" s="652" t="n"/>
      <c r="GL6" s="652" t="n"/>
      <c r="GM6" s="652" t="n"/>
      <c r="GN6" s="652" t="n"/>
    </row>
    <row r="7" ht="18" customHeight="1" s="590">
      <c r="B7" s="12" t="n">
        <v>1</v>
      </c>
      <c r="C7" s="13" t="inlineStr">
        <is>
          <t>CK-FA22-21274</t>
        </is>
      </c>
      <c r="D7" s="14" t="inlineStr">
        <is>
          <t xml:space="preserve">Muhammad Hamza </t>
        </is>
      </c>
      <c r="E7" s="114" t="n"/>
      <c r="F7" s="115" t="n"/>
      <c r="G7" s="510" t="n"/>
      <c r="H7" s="117" t="n"/>
      <c r="I7" s="114" t="n"/>
      <c r="J7" s="665" t="n"/>
      <c r="K7" s="117" t="n"/>
      <c r="L7" s="663" t="n"/>
      <c r="M7" s="561" t="n"/>
      <c r="N7" s="583" t="n"/>
      <c r="O7" s="546" t="n"/>
      <c r="P7" s="115" t="n"/>
      <c r="Q7" s="117" t="n"/>
      <c r="R7" s="701" t="n"/>
      <c r="S7" s="607" t="n"/>
      <c r="T7" s="614" t="n"/>
      <c r="U7" s="114" t="n"/>
      <c r="V7" s="115" t="n"/>
      <c r="W7" s="117" t="n"/>
      <c r="X7" s="117" t="n"/>
      <c r="Y7" s="117" t="n"/>
      <c r="Z7" s="114" t="n"/>
      <c r="AA7" s="583" t="n"/>
      <c r="AB7" s="117" t="n"/>
      <c r="AC7" s="128" t="n"/>
      <c r="AD7" s="665" t="n"/>
      <c r="AE7" s="128" t="n"/>
      <c r="AF7" s="665" t="n"/>
      <c r="AG7" s="543" t="n"/>
      <c r="AH7" s="543" t="n"/>
      <c r="AI7" s="691" t="n"/>
      <c r="AJ7" s="683" t="n"/>
      <c r="AK7" s="663" t="n"/>
      <c r="AL7" s="127" t="n"/>
      <c r="AM7" s="128" t="n"/>
      <c r="AN7" s="128" t="n"/>
      <c r="AO7" s="131" t="n"/>
      <c r="AP7" s="127" t="n"/>
      <c r="AQ7" s="128" t="n"/>
      <c r="AR7" s="128" t="n"/>
      <c r="AS7" s="128" t="n"/>
      <c r="AT7" s="131" t="n"/>
      <c r="AU7" s="127" t="n"/>
      <c r="AV7" s="131" t="n"/>
      <c r="AW7" s="663" t="n"/>
      <c r="AX7" s="131" t="n"/>
      <c r="AY7" s="131" t="n"/>
      <c r="AZ7" s="131" t="n"/>
      <c r="BA7" s="114" t="n"/>
      <c r="BB7" s="546" t="n"/>
      <c r="BC7" s="511" t="n"/>
      <c r="BD7" s="114" t="n"/>
      <c r="BE7" s="546" t="n"/>
      <c r="BF7" s="511" t="n"/>
      <c r="BG7" s="114" t="n"/>
      <c r="BH7" s="546" t="n"/>
      <c r="BI7" s="546" t="n"/>
      <c r="BJ7" s="546" t="n"/>
      <c r="BK7" s="511" t="n"/>
      <c r="BL7" s="546" t="n"/>
      <c r="BM7" s="546" t="n"/>
      <c r="BN7" s="546" t="n"/>
      <c r="BO7" s="546" t="n"/>
      <c r="BP7" s="546" t="n"/>
      <c r="BQ7" s="546" t="n"/>
      <c r="BR7" s="546" t="n"/>
      <c r="BS7" s="15" t="n"/>
      <c r="BT7" s="546" t="n"/>
      <c r="BU7" s="546" t="n"/>
      <c r="BV7" s="546" t="n"/>
      <c r="BW7" s="546" t="n"/>
      <c r="BX7" s="546" t="n"/>
      <c r="BY7" s="15" t="n"/>
      <c r="BZ7" s="546" t="n"/>
      <c r="CA7" s="546" t="n"/>
      <c r="CB7" s="17" t="n"/>
      <c r="CC7" s="546" t="n"/>
      <c r="CD7" s="546" t="n"/>
      <c r="CE7" s="546" t="n"/>
      <c r="CF7" s="546" t="n"/>
      <c r="CG7" s="583" t="n"/>
      <c r="CH7" s="15" t="n"/>
      <c r="CI7" s="15" t="n"/>
      <c r="CJ7" s="15" t="n"/>
      <c r="CK7" s="15" t="n"/>
      <c r="CL7" s="546" t="n"/>
      <c r="CM7" s="17" t="n"/>
      <c r="CN7" s="31" t="n">
        <v>71.33</v>
      </c>
      <c r="CO7" s="349" t="n">
        <v>81.25</v>
      </c>
      <c r="CP7" s="349" t="n">
        <v>80</v>
      </c>
      <c r="CQ7" s="349" t="n">
        <v>93.75</v>
      </c>
      <c r="CR7" s="237" t="n">
        <v>93.03</v>
      </c>
      <c r="CS7" s="238" t="n">
        <v>91.52</v>
      </c>
      <c r="CT7" s="107" t="n"/>
      <c r="CU7" s="139" t="n"/>
      <c r="CV7" s="139" t="n"/>
      <c r="CW7" s="139" t="n"/>
      <c r="CX7" s="140" t="n"/>
      <c r="CY7" s="108" t="n"/>
      <c r="CZ7" s="232" t="n">
        <v>75</v>
      </c>
      <c r="DA7" s="234" t="n">
        <v>82</v>
      </c>
      <c r="DB7" s="234" t="n">
        <v>92.5</v>
      </c>
      <c r="DC7" s="234" t="n">
        <v>85</v>
      </c>
      <c r="DD7" s="232" t="n">
        <v>78.33</v>
      </c>
      <c r="DE7" s="234" t="n">
        <v>77.92</v>
      </c>
      <c r="DF7" s="234" t="n">
        <v>74.44</v>
      </c>
      <c r="DG7" s="237" t="n">
        <v>82</v>
      </c>
      <c r="DH7" s="238" t="n">
        <v>68</v>
      </c>
      <c r="DI7" s="238" t="n">
        <v>90</v>
      </c>
      <c r="DJ7" s="238" t="n">
        <v>95</v>
      </c>
      <c r="DK7" s="587" t="n"/>
      <c r="DL7" s="587" t="n"/>
      <c r="DM7" s="141" t="n">
        <v>90</v>
      </c>
      <c r="DN7" s="140" t="n">
        <v>91.25</v>
      </c>
      <c r="DO7" s="140" t="n">
        <v>87.73999999999999</v>
      </c>
      <c r="DP7" s="140" t="n"/>
      <c r="DQ7" s="147" t="n"/>
      <c r="DR7" s="74" t="n"/>
      <c r="DS7" s="75" t="n"/>
      <c r="DT7" s="76" t="n"/>
      <c r="DU7" s="76" t="n"/>
      <c r="DV7" s="91" t="n"/>
      <c r="DW7" s="92" t="n"/>
      <c r="DX7" s="91" t="n"/>
      <c r="DY7" s="74" t="n"/>
      <c r="DZ7" s="92" t="n"/>
      <c r="EA7" s="148" t="n"/>
      <c r="EB7" s="149" t="n"/>
      <c r="EC7" s="150" t="n"/>
      <c r="ED7" s="99" t="n"/>
      <c r="EE7" s="100" t="n"/>
      <c r="EF7" s="100" t="n"/>
      <c r="EG7" s="100" t="n"/>
      <c r="EH7" s="100" t="n"/>
      <c r="EI7" s="100" t="n"/>
      <c r="EJ7" s="100" t="n"/>
      <c r="EK7" s="100" t="n"/>
      <c r="EL7" s="100" t="n"/>
      <c r="EM7" s="100" t="n"/>
      <c r="EN7" s="100" t="n"/>
      <c r="EO7" s="102" t="n"/>
      <c r="EP7" s="15" t="n"/>
      <c r="EQ7" s="546" t="n"/>
      <c r="ER7" s="546" t="n"/>
      <c r="ES7" s="17" t="n"/>
      <c r="ET7" s="15" t="n"/>
      <c r="EU7" s="546" t="n"/>
      <c r="EV7" s="546" t="n"/>
      <c r="EW7" s="17" t="n"/>
      <c r="EX7" s="31" t="n"/>
      <c r="EY7" s="349" t="n"/>
      <c r="EZ7" s="665" t="n"/>
      <c r="FA7" s="45" t="n"/>
      <c r="FB7" s="351" t="n"/>
      <c r="FC7" s="31" t="n"/>
      <c r="FD7" s="45" t="n"/>
      <c r="FE7" s="45" t="n"/>
      <c r="FF7" s="351" t="n"/>
      <c r="FG7" s="663" t="n"/>
      <c r="FH7" s="107" t="n"/>
      <c r="FI7" s="587" t="n"/>
      <c r="FJ7" s="108" t="n"/>
      <c r="FK7" s="15" t="n"/>
      <c r="FL7" s="546" t="n"/>
      <c r="FM7" s="17" t="n"/>
      <c r="FN7" s="15" t="n"/>
      <c r="FO7" s="546" t="n"/>
      <c r="FP7" s="546" t="n"/>
      <c r="FQ7" s="17" t="n"/>
      <c r="FR7" s="31" t="n"/>
      <c r="FS7" s="45" t="n"/>
      <c r="FT7" s="45" t="n"/>
      <c r="FU7" s="45" t="n"/>
      <c r="FV7" s="45" t="n"/>
      <c r="FW7" s="45" t="n"/>
      <c r="FX7" s="45" t="n"/>
      <c r="FY7" s="45" t="n"/>
      <c r="FZ7" s="45" t="n"/>
      <c r="GA7" s="45" t="n"/>
      <c r="GB7" s="45" t="n"/>
      <c r="GC7" s="351" t="n"/>
      <c r="GD7" s="606" t="n"/>
      <c r="GE7" s="65">
        <f>AVERAGE(CN7,CZ7,DM7,DF22:DG22)</f>
        <v/>
      </c>
      <c r="GF7" s="66">
        <f>AVERAGE(CO7,CP7,DA7,DB7,DC7,DD7,DH7,DI7)</f>
        <v/>
      </c>
      <c r="GG7" s="66">
        <f>AVERAGE(CR7,DE7,DN7,DO7)</f>
        <v/>
      </c>
      <c r="GH7" s="66">
        <f>AVERAGE(CQ7,CS7,DF7,DJ7)</f>
        <v/>
      </c>
      <c r="GI7" s="66">
        <f>AVERAGE(#REF!,#REF!,#REF!,#REF!,#REF!)</f>
        <v/>
      </c>
      <c r="GJ7" s="66" t="n"/>
      <c r="GK7" s="66">
        <f>AVERAGE(DE7)</f>
        <v/>
      </c>
      <c r="GL7" s="66">
        <f>AVERAGE(DF7,#REF!)</f>
        <v/>
      </c>
      <c r="GM7" s="66" t="n"/>
      <c r="GN7" s="66">
        <f>AVERAGE(#REF!)</f>
        <v/>
      </c>
    </row>
    <row r="8" ht="18" customHeight="1" s="590">
      <c r="B8" s="12" t="n">
        <v>2</v>
      </c>
      <c r="C8" s="13" t="inlineStr">
        <is>
          <t>Ck-FA22-21320</t>
        </is>
      </c>
      <c r="D8" s="14" t="inlineStr">
        <is>
          <t>Muhammad Abrar Ali</t>
        </is>
      </c>
      <c r="E8" s="114" t="n"/>
      <c r="F8" s="115" t="n"/>
      <c r="G8" s="510" t="n"/>
      <c r="H8" s="117" t="n"/>
      <c r="I8" s="114" t="n"/>
      <c r="J8" s="665" t="n"/>
      <c r="K8" s="117" t="n"/>
      <c r="L8" s="663" t="n"/>
      <c r="M8" s="561" t="n"/>
      <c r="N8" s="583" t="n"/>
      <c r="O8" s="546" t="n"/>
      <c r="P8" s="115" t="n"/>
      <c r="Q8" s="117" t="n"/>
      <c r="R8" s="701" t="n"/>
      <c r="S8" s="607" t="n"/>
      <c r="T8" s="614" t="n"/>
      <c r="U8" s="114" t="n"/>
      <c r="V8" s="115" t="n"/>
      <c r="W8" s="117" t="n"/>
      <c r="X8" s="117" t="n"/>
      <c r="Y8" s="117" t="n"/>
      <c r="Z8" s="114" t="n"/>
      <c r="AA8" s="583" t="n"/>
      <c r="AB8" s="117" t="n"/>
      <c r="AC8" s="128" t="n"/>
      <c r="AD8" s="665" t="n"/>
      <c r="AE8" s="128" t="n"/>
      <c r="AF8" s="665" t="n"/>
      <c r="AG8" s="543" t="n"/>
      <c r="AH8" s="543" t="n"/>
      <c r="AI8" s="691" t="n"/>
      <c r="AJ8" s="683" t="n"/>
      <c r="AK8" s="663" t="n"/>
      <c r="AL8" s="127" t="n"/>
      <c r="AM8" s="128" t="n"/>
      <c r="AN8" s="128" t="n"/>
      <c r="AO8" s="131" t="n"/>
      <c r="AP8" s="127" t="n"/>
      <c r="AQ8" s="128" t="n"/>
      <c r="AR8" s="128" t="n"/>
      <c r="AS8" s="128" t="n"/>
      <c r="AT8" s="131" t="n"/>
      <c r="AU8" s="127" t="n"/>
      <c r="AV8" s="131" t="n"/>
      <c r="AW8" s="663" t="n"/>
      <c r="AX8" s="131" t="n"/>
      <c r="AY8" s="131" t="n"/>
      <c r="AZ8" s="131" t="n"/>
      <c r="BA8" s="114" t="n"/>
      <c r="BB8" s="546" t="n"/>
      <c r="BC8" s="511" t="n"/>
      <c r="BD8" s="114" t="n"/>
      <c r="BE8" s="546" t="n"/>
      <c r="BF8" s="511" t="n"/>
      <c r="BG8" s="114" t="n"/>
      <c r="BH8" s="546" t="n"/>
      <c r="BI8" s="546" t="n"/>
      <c r="BJ8" s="546" t="n"/>
      <c r="BK8" s="511" t="n"/>
      <c r="BL8" s="546" t="n"/>
      <c r="BM8" s="546" t="n"/>
      <c r="BN8" s="546" t="n"/>
      <c r="BO8" s="546" t="n"/>
      <c r="BP8" s="546" t="n"/>
      <c r="BQ8" s="546" t="n"/>
      <c r="BR8" s="546" t="n"/>
      <c r="BS8" s="15" t="n"/>
      <c r="BT8" s="546" t="n"/>
      <c r="BU8" s="546" t="n"/>
      <c r="BV8" s="546" t="n"/>
      <c r="BW8" s="546" t="n"/>
      <c r="BX8" s="546" t="n"/>
      <c r="BY8" s="15" t="n"/>
      <c r="BZ8" s="546" t="n"/>
      <c r="CA8" s="546" t="n"/>
      <c r="CB8" s="17" t="n"/>
      <c r="CC8" s="546" t="n"/>
      <c r="CD8" s="546" t="n"/>
      <c r="CE8" s="546" t="n"/>
      <c r="CF8" s="546" t="n"/>
      <c r="CG8" s="583" t="n"/>
      <c r="CH8" s="15" t="n"/>
      <c r="CI8" s="15" t="n"/>
      <c r="CJ8" s="15" t="n"/>
      <c r="CK8" s="15" t="n"/>
      <c r="CL8" s="546" t="n"/>
      <c r="CM8" s="17" t="n"/>
      <c r="CN8" s="31" t="n">
        <v>86</v>
      </c>
      <c r="CO8" s="349" t="n">
        <v>84.38</v>
      </c>
      <c r="CP8" s="349" t="n">
        <v>93.89</v>
      </c>
      <c r="CQ8" s="349" t="n">
        <v>97.92</v>
      </c>
      <c r="CR8" s="237" t="n">
        <v>90.61</v>
      </c>
      <c r="CS8" s="238" t="n">
        <v>92.12</v>
      </c>
      <c r="CT8" s="107" t="n"/>
      <c r="CU8" s="139" t="n"/>
      <c r="CV8" s="139" t="n"/>
      <c r="CW8" s="139" t="n"/>
      <c r="CX8" s="140" t="n"/>
      <c r="CY8" s="108" t="n"/>
      <c r="CZ8" s="232" t="n">
        <v>80.83</v>
      </c>
      <c r="DA8" s="234" t="n">
        <v>98</v>
      </c>
      <c r="DB8" s="234" t="n">
        <v>95</v>
      </c>
      <c r="DC8" s="234" t="n">
        <v>90</v>
      </c>
      <c r="DD8" s="232" t="n">
        <v>88</v>
      </c>
      <c r="DE8" s="234" t="n">
        <v>87.84999999999999</v>
      </c>
      <c r="DF8" s="234" t="n">
        <v>91.94</v>
      </c>
      <c r="DG8" s="237" t="n">
        <v>78</v>
      </c>
      <c r="DH8" s="238" t="n">
        <v>86</v>
      </c>
      <c r="DI8" s="238" t="n">
        <v>95</v>
      </c>
      <c r="DJ8" s="238" t="n">
        <v>70</v>
      </c>
      <c r="DK8" s="239" t="n"/>
      <c r="DL8" s="240" t="n"/>
      <c r="DM8" s="141" t="n">
        <v>87.5</v>
      </c>
      <c r="DN8" s="140" t="n">
        <v>89.81999999999999</v>
      </c>
      <c r="DO8" s="140" t="n">
        <v>89.52</v>
      </c>
      <c r="DP8" s="140" t="n"/>
      <c r="DQ8" s="147" t="n"/>
      <c r="DR8" s="74" t="n"/>
      <c r="DS8" s="75" t="n"/>
      <c r="DT8" s="76" t="n"/>
      <c r="DU8" s="76" t="n"/>
      <c r="DV8" s="91" t="n"/>
      <c r="DW8" s="92" t="n"/>
      <c r="DX8" s="91" t="n"/>
      <c r="DY8" s="74" t="n"/>
      <c r="DZ8" s="92" t="n"/>
      <c r="EA8" s="148" t="n"/>
      <c r="EB8" s="149" t="n"/>
      <c r="EC8" s="150" t="n"/>
      <c r="ED8" s="99" t="n"/>
      <c r="EE8" s="100" t="n"/>
      <c r="EF8" s="100" t="n"/>
      <c r="EG8" s="100" t="n"/>
      <c r="EH8" s="100" t="n"/>
      <c r="EI8" s="100" t="n"/>
      <c r="EJ8" s="100" t="n"/>
      <c r="EK8" s="100" t="n"/>
      <c r="EL8" s="100" t="n"/>
      <c r="EM8" s="100" t="n"/>
      <c r="EN8" s="100" t="n"/>
      <c r="EO8" s="102" t="n"/>
      <c r="EP8" s="15" t="n"/>
      <c r="EQ8" s="546" t="n"/>
      <c r="ER8" s="546" t="n"/>
      <c r="ES8" s="17" t="n"/>
      <c r="ET8" s="15" t="n"/>
      <c r="EU8" s="546" t="n"/>
      <c r="EV8" s="546" t="n"/>
      <c r="EW8" s="17" t="n"/>
      <c r="EX8" s="31" t="n"/>
      <c r="EY8" s="349" t="n"/>
      <c r="EZ8" s="349" t="n"/>
      <c r="FA8" s="45" t="n"/>
      <c r="FB8" s="351" t="n"/>
      <c r="FC8" s="31" t="n"/>
      <c r="FD8" s="45" t="n"/>
      <c r="FE8" s="45" t="n"/>
      <c r="FF8" s="350" t="n"/>
      <c r="FG8" s="351" t="n"/>
      <c r="FH8" s="107" t="n"/>
      <c r="FI8" s="587" t="n"/>
      <c r="FJ8" s="108" t="n"/>
      <c r="FK8" s="15" t="n"/>
      <c r="FL8" s="546" t="n"/>
      <c r="FM8" s="17" t="n"/>
      <c r="FN8" s="15" t="n"/>
      <c r="FO8" s="546" t="n"/>
      <c r="FP8" s="546" t="n"/>
      <c r="FQ8" s="17" t="n"/>
      <c r="FR8" s="31" t="n"/>
      <c r="FS8" s="45" t="n"/>
      <c r="FT8" s="45" t="n"/>
      <c r="FU8" s="45" t="n"/>
      <c r="FV8" s="45" t="n"/>
      <c r="FW8" s="45" t="n"/>
      <c r="FX8" s="45" t="n"/>
      <c r="FY8" s="45" t="n"/>
      <c r="FZ8" s="45" t="n"/>
      <c r="GA8" s="45" t="n"/>
      <c r="GB8" s="45" t="n"/>
      <c r="GC8" s="351" t="n"/>
      <c r="GD8" s="606" t="n"/>
      <c r="GE8" s="65">
        <f>AVERAGE(CN8,CZ8,DM8,DF23:DG23)</f>
        <v/>
      </c>
      <c r="GF8" s="66">
        <f>AVERAGE(CO8,CP8,DA8,DB8,DC8,DD8,DH8,DI8)</f>
        <v/>
      </c>
      <c r="GG8" s="66">
        <f>AVERAGE(CR8,DE8,DN8,DO8)</f>
        <v/>
      </c>
      <c r="GH8" s="66">
        <f>AVERAGE(CQ8,CS8,DF8,DJ8)</f>
        <v/>
      </c>
      <c r="GI8" s="66">
        <f>AVERAGE(#REF!,#REF!,#REF!,#REF!,#REF!)</f>
        <v/>
      </c>
      <c r="GJ8" s="66" t="n"/>
      <c r="GK8" s="66">
        <f>AVERAGE(DE8)</f>
        <v/>
      </c>
      <c r="GL8" s="66">
        <f>AVERAGE(DF8,#REF!)</f>
        <v/>
      </c>
      <c r="GM8" s="66" t="n"/>
      <c r="GN8" s="66">
        <f>AVERAGE(#REF!)</f>
        <v/>
      </c>
    </row>
    <row r="9" ht="18" customHeight="1" s="590">
      <c r="B9" s="12" t="n">
        <v>3</v>
      </c>
      <c r="C9" s="13" t="inlineStr">
        <is>
          <t>CK-FA22-21138</t>
        </is>
      </c>
      <c r="D9" s="14" t="inlineStr">
        <is>
          <t xml:space="preserve">Anwar Ali </t>
        </is>
      </c>
      <c r="E9" s="114" t="n"/>
      <c r="F9" s="115" t="n"/>
      <c r="G9" s="510" t="n"/>
      <c r="H9" s="117" t="n"/>
      <c r="I9" s="114" t="n"/>
      <c r="J9" s="665" t="n"/>
      <c r="K9" s="117" t="n"/>
      <c r="L9" s="663" t="n"/>
      <c r="M9" s="561" t="n"/>
      <c r="N9" s="583" t="n"/>
      <c r="O9" s="546" t="n"/>
      <c r="P9" s="115" t="n"/>
      <c r="Q9" s="117" t="n"/>
      <c r="R9" s="701" t="n"/>
      <c r="S9" s="607" t="n"/>
      <c r="T9" s="614" t="n"/>
      <c r="U9" s="114" t="n"/>
      <c r="V9" s="115" t="n"/>
      <c r="W9" s="117" t="n"/>
      <c r="X9" s="117" t="n"/>
      <c r="Y9" s="117" t="n"/>
      <c r="Z9" s="114" t="n"/>
      <c r="AA9" s="583" t="n"/>
      <c r="AB9" s="117" t="n"/>
      <c r="AC9" s="128" t="n"/>
      <c r="AD9" s="665" t="n"/>
      <c r="AE9" s="128" t="n"/>
      <c r="AF9" s="665" t="n"/>
      <c r="AG9" s="543" t="n"/>
      <c r="AH9" s="543" t="n"/>
      <c r="AI9" s="691" t="n"/>
      <c r="AJ9" s="683" t="n"/>
      <c r="AK9" s="663" t="n"/>
      <c r="AL9" s="127" t="n"/>
      <c r="AM9" s="128" t="n"/>
      <c r="AN9" s="128" t="n"/>
      <c r="AO9" s="131" t="n"/>
      <c r="AP9" s="127" t="n"/>
      <c r="AQ9" s="128" t="n"/>
      <c r="AR9" s="128" t="n"/>
      <c r="AS9" s="128" t="n"/>
      <c r="AT9" s="131" t="n"/>
      <c r="AU9" s="127" t="n"/>
      <c r="AV9" s="131" t="n"/>
      <c r="AW9" s="663" t="n"/>
      <c r="AX9" s="131" t="n"/>
      <c r="AY9" s="131" t="n"/>
      <c r="AZ9" s="131" t="n"/>
      <c r="BA9" s="114" t="n"/>
      <c r="BB9" s="546" t="n"/>
      <c r="BC9" s="511" t="n"/>
      <c r="BD9" s="114" t="n"/>
      <c r="BE9" s="546" t="n"/>
      <c r="BF9" s="511" t="n"/>
      <c r="BG9" s="114" t="n"/>
      <c r="BH9" s="546" t="n"/>
      <c r="BI9" s="546" t="n"/>
      <c r="BJ9" s="546" t="n"/>
      <c r="BK9" s="511" t="n"/>
      <c r="BL9" s="546" t="n"/>
      <c r="BM9" s="546" t="n"/>
      <c r="BN9" s="546" t="n"/>
      <c r="BO9" s="546" t="n"/>
      <c r="BP9" s="546" t="n"/>
      <c r="BQ9" s="546" t="n"/>
      <c r="BR9" s="546" t="n"/>
      <c r="BS9" s="15" t="n"/>
      <c r="BT9" s="546" t="n"/>
      <c r="BU9" s="546" t="n"/>
      <c r="BV9" s="546" t="n"/>
      <c r="BW9" s="546" t="n"/>
      <c r="BX9" s="546" t="n"/>
      <c r="BY9" s="15" t="n"/>
      <c r="BZ9" s="546" t="n"/>
      <c r="CA9" s="546" t="n"/>
      <c r="CB9" s="17" t="n"/>
      <c r="CC9" s="546" t="n"/>
      <c r="CD9" s="546" t="n"/>
      <c r="CE9" s="546" t="n"/>
      <c r="CF9" s="546" t="n"/>
      <c r="CG9" s="583" t="n"/>
      <c r="CH9" s="15" t="n"/>
      <c r="CI9" s="15" t="n"/>
      <c r="CJ9" s="15" t="n"/>
      <c r="CK9" s="15" t="n"/>
      <c r="CL9" s="546" t="n"/>
      <c r="CM9" s="17" t="n"/>
      <c r="CN9" s="31" t="n">
        <v>55.83</v>
      </c>
      <c r="CO9" s="349" t="n">
        <v>58.44</v>
      </c>
      <c r="CP9" s="349" t="n">
        <v>68.06</v>
      </c>
      <c r="CQ9" s="349" t="n">
        <v>85</v>
      </c>
      <c r="CR9" s="237" t="n">
        <v>71.52</v>
      </c>
      <c r="CS9" s="238" t="n">
        <v>66.67</v>
      </c>
      <c r="CT9" s="107" t="n"/>
      <c r="CU9" s="139" t="n"/>
      <c r="CV9" s="139" t="n"/>
      <c r="CW9" s="139" t="n"/>
      <c r="CX9" s="140" t="n"/>
      <c r="CY9" s="108" t="n"/>
      <c r="CZ9" s="232" t="n">
        <v>64.17</v>
      </c>
      <c r="DA9" s="234" t="n">
        <v>64</v>
      </c>
      <c r="DB9" s="234" t="n">
        <v>67.5</v>
      </c>
      <c r="DC9" s="234" t="n">
        <v>70</v>
      </c>
      <c r="DD9" s="232" t="n">
        <v>60.17</v>
      </c>
      <c r="DE9" s="234" t="n">
        <v>58.82</v>
      </c>
      <c r="DF9" s="234" t="n">
        <v>64.17</v>
      </c>
      <c r="DG9" s="237" t="n">
        <v>66</v>
      </c>
      <c r="DH9" s="238" t="n">
        <v>56</v>
      </c>
      <c r="DI9" s="238" t="n">
        <v>50</v>
      </c>
      <c r="DJ9" s="238" t="n">
        <v>55</v>
      </c>
      <c r="DK9" s="587" t="n"/>
      <c r="DL9" s="587" t="n"/>
      <c r="DM9" s="141" t="n">
        <v>68.29000000000001</v>
      </c>
      <c r="DN9" s="140" t="n">
        <v>60.36</v>
      </c>
      <c r="DO9" s="140" t="n">
        <v>71.90000000000001</v>
      </c>
      <c r="DP9" s="140" t="n"/>
      <c r="DQ9" s="147" t="n"/>
      <c r="DR9" s="74" t="n"/>
      <c r="DS9" s="75" t="n"/>
      <c r="DT9" s="76" t="n"/>
      <c r="DU9" s="76" t="n"/>
      <c r="DV9" s="91" t="n"/>
      <c r="DW9" s="92" t="n"/>
      <c r="DX9" s="91" t="n"/>
      <c r="DY9" s="74" t="n"/>
      <c r="DZ9" s="92" t="n"/>
      <c r="EA9" s="148" t="n"/>
      <c r="EB9" s="149" t="n"/>
      <c r="EC9" s="150" t="n"/>
      <c r="ED9" s="99" t="n"/>
      <c r="EE9" s="100" t="n"/>
      <c r="EF9" s="100" t="n"/>
      <c r="EG9" s="100" t="n"/>
      <c r="EH9" s="100" t="n"/>
      <c r="EI9" s="100" t="n"/>
      <c r="EJ9" s="100" t="n"/>
      <c r="EK9" s="100" t="n"/>
      <c r="EL9" s="100" t="n"/>
      <c r="EM9" s="100" t="n"/>
      <c r="EN9" s="100" t="n"/>
      <c r="EO9" s="102" t="n"/>
      <c r="EP9" s="15" t="n"/>
      <c r="EQ9" s="546" t="n"/>
      <c r="ER9" s="546" t="n"/>
      <c r="ES9" s="17" t="n"/>
      <c r="ET9" s="15" t="n"/>
      <c r="EU9" s="546" t="n"/>
      <c r="EV9" s="546" t="n"/>
      <c r="EW9" s="17" t="n"/>
      <c r="EX9" s="31" t="n"/>
      <c r="EY9" s="349" t="n"/>
      <c r="EZ9" s="665" t="n"/>
      <c r="FA9" s="45" t="n"/>
      <c r="FB9" s="351" t="n"/>
      <c r="FC9" s="31" t="n"/>
      <c r="FD9" s="45" t="n"/>
      <c r="FE9" s="45" t="n"/>
      <c r="FF9" s="351" t="n"/>
      <c r="FG9" s="663" t="n"/>
      <c r="FH9" s="107" t="n"/>
      <c r="FI9" s="587" t="n"/>
      <c r="FJ9" s="108" t="n"/>
      <c r="FK9" s="15" t="n"/>
      <c r="FL9" s="546" t="n"/>
      <c r="FM9" s="17" t="n"/>
      <c r="FN9" s="15" t="n"/>
      <c r="FO9" s="546" t="n"/>
      <c r="FP9" s="546" t="n"/>
      <c r="FQ9" s="17" t="n"/>
      <c r="FR9" s="31" t="n"/>
      <c r="FS9" s="45" t="n"/>
      <c r="FT9" s="45" t="n"/>
      <c r="FU9" s="45" t="n"/>
      <c r="FV9" s="45" t="n"/>
      <c r="FW9" s="45" t="n"/>
      <c r="FX9" s="45" t="n"/>
      <c r="FY9" s="45" t="n"/>
      <c r="FZ9" s="45" t="n"/>
      <c r="GA9" s="45" t="n"/>
      <c r="GB9" s="45" t="n"/>
      <c r="GC9" s="351" t="n"/>
      <c r="GD9" s="606" t="n"/>
      <c r="GE9" s="65">
        <f>AVERAGE(CN9,CZ9,DM9,DF24:DG24)</f>
        <v/>
      </c>
      <c r="GF9" s="66">
        <f>AVERAGE(CO9,CP9,DA9,DB9,DC9,DD9,DH9,DI9)</f>
        <v/>
      </c>
      <c r="GG9" s="66">
        <f>AVERAGE(CR9,DE9,DN9,DO9)</f>
        <v/>
      </c>
      <c r="GH9" s="66">
        <f>AVERAGE(CQ9,CS9,DF9,DJ9)</f>
        <v/>
      </c>
      <c r="GI9" s="66">
        <f>AVERAGE(#REF!,#REF!,#REF!,#REF!,#REF!)</f>
        <v/>
      </c>
      <c r="GJ9" s="66" t="n"/>
      <c r="GK9" s="66" t="n"/>
      <c r="GL9" s="66">
        <f>AVERAGE(DF9,#REF!)</f>
        <v/>
      </c>
      <c r="GM9" s="66" t="n"/>
      <c r="GN9" s="66">
        <f>AVERAGE(#REF!)</f>
        <v/>
      </c>
    </row>
    <row r="10" ht="18" customHeight="1" s="590">
      <c r="B10" s="12" t="n">
        <v>4</v>
      </c>
      <c r="C10" s="13" t="inlineStr">
        <is>
          <t>CK-FA22-21165</t>
        </is>
      </c>
      <c r="D10" s="14" t="inlineStr">
        <is>
          <t>Ashar Ali</t>
        </is>
      </c>
      <c r="E10" s="114" t="n"/>
      <c r="F10" s="115" t="n"/>
      <c r="G10" s="510" t="n"/>
      <c r="H10" s="117" t="n"/>
      <c r="I10" s="114" t="n"/>
      <c r="J10" s="665" t="n"/>
      <c r="K10" s="117" t="n"/>
      <c r="L10" s="663" t="n"/>
      <c r="M10" s="561" t="n"/>
      <c r="N10" s="583" t="n"/>
      <c r="O10" s="546" t="n"/>
      <c r="P10" s="115" t="n"/>
      <c r="Q10" s="117" t="n"/>
      <c r="R10" s="701" t="n"/>
      <c r="S10" s="607" t="n"/>
      <c r="T10" s="614" t="n"/>
      <c r="U10" s="114" t="n"/>
      <c r="V10" s="115" t="n"/>
      <c r="W10" s="117" t="n"/>
      <c r="X10" s="117" t="n"/>
      <c r="Y10" s="117" t="n"/>
      <c r="Z10" s="114" t="n"/>
      <c r="AA10" s="583" t="n"/>
      <c r="AB10" s="117" t="n"/>
      <c r="AC10" s="128" t="n"/>
      <c r="AD10" s="665" t="n"/>
      <c r="AE10" s="128" t="n"/>
      <c r="AF10" s="665" t="n"/>
      <c r="AG10" s="543" t="n"/>
      <c r="AH10" s="543" t="n"/>
      <c r="AI10" s="691" t="n"/>
      <c r="AJ10" s="683" t="n"/>
      <c r="AK10" s="663" t="n"/>
      <c r="AL10" s="127" t="n"/>
      <c r="AM10" s="128" t="n"/>
      <c r="AN10" s="128" t="n"/>
      <c r="AO10" s="131" t="n"/>
      <c r="AP10" s="127" t="n"/>
      <c r="AQ10" s="128" t="n"/>
      <c r="AR10" s="128" t="n"/>
      <c r="AS10" s="128" t="n"/>
      <c r="AT10" s="131" t="n"/>
      <c r="AU10" s="127" t="n"/>
      <c r="AV10" s="131" t="n"/>
      <c r="AW10" s="663" t="n"/>
      <c r="AX10" s="131" t="n"/>
      <c r="AY10" s="131" t="n"/>
      <c r="AZ10" s="131" t="n"/>
      <c r="BA10" s="114" t="n"/>
      <c r="BB10" s="546" t="n"/>
      <c r="BC10" s="511" t="n"/>
      <c r="BD10" s="114" t="n"/>
      <c r="BE10" s="546" t="n"/>
      <c r="BF10" s="511" t="n"/>
      <c r="BG10" s="114" t="n"/>
      <c r="BH10" s="546" t="n"/>
      <c r="BI10" s="546" t="n"/>
      <c r="BJ10" s="546" t="n"/>
      <c r="BK10" s="511" t="n"/>
      <c r="BL10" s="546" t="n"/>
      <c r="BM10" s="546" t="n"/>
      <c r="BN10" s="546" t="n"/>
      <c r="BO10" s="546" t="n"/>
      <c r="BP10" s="546" t="n"/>
      <c r="BQ10" s="546" t="n"/>
      <c r="BR10" s="546" t="n"/>
      <c r="BS10" s="15" t="n"/>
      <c r="BT10" s="546" t="n"/>
      <c r="BU10" s="546" t="n"/>
      <c r="BV10" s="546" t="n"/>
      <c r="BW10" s="546" t="n"/>
      <c r="BX10" s="546" t="n"/>
      <c r="BY10" s="15" t="n"/>
      <c r="BZ10" s="546" t="n"/>
      <c r="CA10" s="546" t="n"/>
      <c r="CB10" s="17" t="n"/>
      <c r="CC10" s="546" t="n"/>
      <c r="CD10" s="546" t="n"/>
      <c r="CE10" s="546" t="n"/>
      <c r="CF10" s="546" t="n"/>
      <c r="CG10" s="583" t="n"/>
      <c r="CH10" s="15" t="n"/>
      <c r="CI10" s="15" t="n"/>
      <c r="CJ10" s="15" t="n"/>
      <c r="CK10" s="15" t="n"/>
      <c r="CL10" s="546" t="n"/>
      <c r="CM10" s="17" t="n"/>
      <c r="CN10" s="31" t="n">
        <v>74.08</v>
      </c>
      <c r="CO10" s="349" t="n">
        <v>73.44</v>
      </c>
      <c r="CP10" s="349" t="n">
        <v>90.56</v>
      </c>
      <c r="CQ10" s="349" t="n">
        <v>93.33</v>
      </c>
      <c r="CR10" s="237" t="n">
        <v>90.3</v>
      </c>
      <c r="CS10" s="238" t="n">
        <v>89.09</v>
      </c>
      <c r="CT10" s="107" t="n"/>
      <c r="CU10" s="139" t="n"/>
      <c r="CV10" s="139" t="n"/>
      <c r="CW10" s="139" t="n"/>
      <c r="CX10" s="140" t="n"/>
      <c r="CY10" s="108" t="n"/>
      <c r="CZ10" s="232" t="n">
        <v>69.17</v>
      </c>
      <c r="DA10" s="234" t="n">
        <v>86</v>
      </c>
      <c r="DB10" s="234" t="n">
        <v>85.83</v>
      </c>
      <c r="DC10" s="234" t="n">
        <v>80</v>
      </c>
      <c r="DD10" s="232" t="n">
        <v>74.17</v>
      </c>
      <c r="DE10" s="234" t="n">
        <v>74.65000000000001</v>
      </c>
      <c r="DF10" s="234" t="n">
        <v>76.67</v>
      </c>
      <c r="DG10" s="237" t="n">
        <v>86</v>
      </c>
      <c r="DH10" s="238" t="n">
        <v>74</v>
      </c>
      <c r="DI10" s="238" t="n">
        <v>65</v>
      </c>
      <c r="DJ10" s="238" t="n">
        <v>80</v>
      </c>
      <c r="DK10" s="587" t="n"/>
      <c r="DL10" s="587" t="n"/>
      <c r="DM10" s="141" t="n">
        <v>82.5</v>
      </c>
      <c r="DN10" s="140" t="n">
        <v>87.5</v>
      </c>
      <c r="DO10" s="140" t="n">
        <v>82.14</v>
      </c>
      <c r="DP10" s="140" t="n"/>
      <c r="DQ10" s="147" t="n"/>
      <c r="DR10" s="74" t="n"/>
      <c r="DS10" s="75" t="n"/>
      <c r="DT10" s="76" t="n"/>
      <c r="DU10" s="76" t="n"/>
      <c r="DV10" s="91" t="n"/>
      <c r="DW10" s="92" t="n"/>
      <c r="DX10" s="91" t="n"/>
      <c r="DY10" s="74" t="n"/>
      <c r="DZ10" s="92" t="n"/>
      <c r="EA10" s="148" t="n"/>
      <c r="EB10" s="149" t="n"/>
      <c r="EC10" s="150" t="n"/>
      <c r="ED10" s="99" t="n"/>
      <c r="EE10" s="100" t="n"/>
      <c r="EF10" s="100" t="n"/>
      <c r="EG10" s="100" t="n"/>
      <c r="EH10" s="100" t="n"/>
      <c r="EI10" s="100" t="n"/>
      <c r="EJ10" s="100" t="n"/>
      <c r="EK10" s="100" t="n"/>
      <c r="EL10" s="100" t="n"/>
      <c r="EM10" s="100" t="n"/>
      <c r="EN10" s="100" t="n"/>
      <c r="EO10" s="102" t="n"/>
      <c r="EP10" s="15" t="n"/>
      <c r="EQ10" s="546" t="n"/>
      <c r="ER10" s="546" t="n"/>
      <c r="ES10" s="17" t="n"/>
      <c r="ET10" s="15" t="n"/>
      <c r="EU10" s="546" t="n"/>
      <c r="EV10" s="546" t="n"/>
      <c r="EW10" s="17" t="n"/>
      <c r="EX10" s="31" t="n"/>
      <c r="EY10" s="349" t="n"/>
      <c r="EZ10" s="349" t="n"/>
      <c r="FA10" s="45" t="n"/>
      <c r="FB10" s="351" t="n"/>
      <c r="FC10" s="31" t="n"/>
      <c r="FD10" s="45" t="n"/>
      <c r="FE10" s="45" t="n"/>
      <c r="FF10" s="350" t="n"/>
      <c r="FG10" s="351" t="n"/>
      <c r="FH10" s="107" t="n"/>
      <c r="FI10" s="587" t="n"/>
      <c r="FJ10" s="108" t="n"/>
      <c r="FK10" s="15" t="n"/>
      <c r="FL10" s="546" t="n"/>
      <c r="FM10" s="17" t="n"/>
      <c r="FN10" s="15" t="n"/>
      <c r="FO10" s="546" t="n"/>
      <c r="FP10" s="546" t="n"/>
      <c r="FQ10" s="17" t="n"/>
      <c r="FR10" s="31" t="n"/>
      <c r="FS10" s="45" t="n"/>
      <c r="FT10" s="45" t="n"/>
      <c r="FU10" s="45" t="n"/>
      <c r="FV10" s="45" t="n"/>
      <c r="FW10" s="45" t="n"/>
      <c r="FX10" s="45" t="n"/>
      <c r="FY10" s="45" t="n"/>
      <c r="FZ10" s="45" t="n"/>
      <c r="GA10" s="45" t="n"/>
      <c r="GB10" s="45" t="n"/>
      <c r="GC10" s="351" t="n"/>
      <c r="GD10" s="606" t="n"/>
      <c r="GE10" s="65">
        <f>AVERAGE(CN10,CZ10,DM10,DF25:DG25)</f>
        <v/>
      </c>
      <c r="GF10" s="66">
        <f>AVERAGE(CO10,CP10,DA10,DB10,DC10,DD10,DH10,DI10)</f>
        <v/>
      </c>
      <c r="GG10" s="66">
        <f>AVERAGE(CR10,DE10,DN10,DO10)</f>
        <v/>
      </c>
      <c r="GH10" s="66">
        <f>AVERAGE(CQ10,CS10,DF10,DJ10)</f>
        <v/>
      </c>
      <c r="GI10" s="66">
        <f>AVERAGE(#REF!,#REF!,#REF!,#REF!,#REF!)</f>
        <v/>
      </c>
      <c r="GJ10" s="66" t="n"/>
      <c r="GK10" s="66">
        <f>AVERAGE(DE10)</f>
        <v/>
      </c>
      <c r="GL10" s="66">
        <f>AVERAGE(DF10,#REF!)</f>
        <v/>
      </c>
      <c r="GM10" s="66" t="n"/>
      <c r="GN10" s="66">
        <f>AVERAGE(#REF!)</f>
        <v/>
      </c>
    </row>
    <row r="11" ht="18" customHeight="1" s="590">
      <c r="B11" s="12" t="n">
        <v>5</v>
      </c>
      <c r="C11" s="13" t="inlineStr">
        <is>
          <t>CK-FA22-21364</t>
        </is>
      </c>
      <c r="D11" s="14" t="inlineStr">
        <is>
          <t>Hammad Najeeb</t>
        </is>
      </c>
      <c r="E11" s="114" t="n"/>
      <c r="F11" s="115" t="n"/>
      <c r="G11" s="510" t="n"/>
      <c r="H11" s="117" t="n"/>
      <c r="I11" s="114" t="n"/>
      <c r="J11" s="665" t="n"/>
      <c r="K11" s="117" t="n"/>
      <c r="L11" s="663" t="n"/>
      <c r="M11" s="561" t="n"/>
      <c r="N11" s="583" t="n"/>
      <c r="O11" s="546" t="n"/>
      <c r="P11" s="115" t="n"/>
      <c r="Q11" s="117" t="n"/>
      <c r="R11" s="701" t="n"/>
      <c r="S11" s="607" t="n"/>
      <c r="T11" s="614" t="n"/>
      <c r="U11" s="114" t="n"/>
      <c r="V11" s="115" t="n"/>
      <c r="W11" s="117" t="n"/>
      <c r="X11" s="117" t="n"/>
      <c r="Y11" s="117" t="n"/>
      <c r="Z11" s="114" t="n"/>
      <c r="AA11" s="583" t="n"/>
      <c r="AB11" s="117" t="n"/>
      <c r="AC11" s="128" t="n"/>
      <c r="AD11" s="665" t="n"/>
      <c r="AE11" s="128" t="n"/>
      <c r="AF11" s="665" t="n"/>
      <c r="AG11" s="543" t="n"/>
      <c r="AH11" s="543" t="n"/>
      <c r="AI11" s="691" t="n"/>
      <c r="AJ11" s="683" t="n"/>
      <c r="AK11" s="663" t="n"/>
      <c r="AL11" s="127" t="n"/>
      <c r="AM11" s="128" t="n"/>
      <c r="AN11" s="128" t="n"/>
      <c r="AO11" s="131" t="n"/>
      <c r="AP11" s="127" t="n"/>
      <c r="AQ11" s="128" t="n"/>
      <c r="AR11" s="128" t="n"/>
      <c r="AS11" s="128" t="n"/>
      <c r="AT11" s="131" t="n"/>
      <c r="AU11" s="127" t="n"/>
      <c r="AV11" s="131" t="n"/>
      <c r="AW11" s="663" t="n"/>
      <c r="AX11" s="131" t="n"/>
      <c r="AY11" s="131" t="n"/>
      <c r="AZ11" s="131" t="n"/>
      <c r="BA11" s="114" t="n"/>
      <c r="BB11" s="546" t="n"/>
      <c r="BC11" s="511" t="n"/>
      <c r="BD11" s="114" t="n"/>
      <c r="BE11" s="546" t="n"/>
      <c r="BF11" s="511" t="n"/>
      <c r="BG11" s="114" t="n"/>
      <c r="BH11" s="546" t="n"/>
      <c r="BI11" s="546" t="n"/>
      <c r="BJ11" s="546" t="n"/>
      <c r="BK11" s="511" t="n"/>
      <c r="BL11" s="546" t="n"/>
      <c r="BM11" s="546" t="n"/>
      <c r="BN11" s="546" t="n"/>
      <c r="BO11" s="546" t="n"/>
      <c r="BP11" s="546" t="n"/>
      <c r="BQ11" s="546" t="n"/>
      <c r="BR11" s="546" t="n"/>
      <c r="BS11" s="15" t="n"/>
      <c r="BT11" s="546" t="n"/>
      <c r="BU11" s="546" t="n"/>
      <c r="BV11" s="546" t="n"/>
      <c r="BW11" s="546" t="n"/>
      <c r="BX11" s="546" t="n"/>
      <c r="BY11" s="15" t="n"/>
      <c r="BZ11" s="546" t="n"/>
      <c r="CA11" s="546" t="n"/>
      <c r="CB11" s="17" t="n"/>
      <c r="CC11" s="546" t="n"/>
      <c r="CD11" s="546" t="n"/>
      <c r="CE11" s="546" t="n"/>
      <c r="CF11" s="546" t="n"/>
      <c r="CG11" s="583" t="n"/>
      <c r="CH11" s="15" t="n"/>
      <c r="CI11" s="15" t="n"/>
      <c r="CJ11" s="15" t="n"/>
      <c r="CK11" s="15" t="n"/>
      <c r="CL11" s="546" t="n"/>
      <c r="CM11" s="17" t="n"/>
      <c r="CN11" s="31" t="n">
        <v>71</v>
      </c>
      <c r="CO11" s="349" t="n">
        <v>70.31</v>
      </c>
      <c r="CP11" s="349" t="n">
        <v>38.33</v>
      </c>
      <c r="CQ11" s="349" t="n">
        <v>55.83</v>
      </c>
      <c r="CR11" s="237" t="n">
        <v>79.39</v>
      </c>
      <c r="CS11" s="238" t="n">
        <v>74.23999999999999</v>
      </c>
      <c r="CT11" s="107" t="n"/>
      <c r="CU11" s="139" t="n"/>
      <c r="CV11" s="139" t="n"/>
      <c r="CW11" s="139" t="n"/>
      <c r="CX11" s="140" t="n"/>
      <c r="CY11" s="108" t="n"/>
      <c r="CZ11" s="232" t="n">
        <v>61.67</v>
      </c>
      <c r="DA11" s="234" t="n">
        <v>76.67</v>
      </c>
      <c r="DB11" s="234" t="n">
        <v>57.5</v>
      </c>
      <c r="DC11" s="234" t="n">
        <v>55</v>
      </c>
      <c r="DD11" s="232" t="n">
        <v>62.17</v>
      </c>
      <c r="DE11" s="234" t="n">
        <v>64.93000000000001</v>
      </c>
      <c r="DF11" s="234" t="n">
        <v>64.17</v>
      </c>
      <c r="DG11" s="237" t="n">
        <v>84</v>
      </c>
      <c r="DH11" s="238" t="n">
        <v>68</v>
      </c>
      <c r="DI11" s="238" t="n">
        <v>70</v>
      </c>
      <c r="DJ11" s="238" t="n">
        <v>80</v>
      </c>
      <c r="DK11" s="587" t="n"/>
      <c r="DL11" s="587" t="n"/>
      <c r="DM11" s="141" t="n">
        <v>73.75</v>
      </c>
      <c r="DN11" s="140" t="n">
        <v>62.14</v>
      </c>
      <c r="DO11" s="140" t="n">
        <v>77.73999999999999</v>
      </c>
      <c r="DP11" s="140" t="n"/>
      <c r="DQ11" s="147" t="n"/>
      <c r="DR11" s="74" t="n"/>
      <c r="DS11" s="75" t="n"/>
      <c r="DT11" s="76" t="n"/>
      <c r="DU11" s="76" t="n"/>
      <c r="DV11" s="91" t="n"/>
      <c r="DW11" s="92" t="n"/>
      <c r="DX11" s="91" t="n"/>
      <c r="DY11" s="74" t="n"/>
      <c r="DZ11" s="92" t="n"/>
      <c r="EA11" s="148" t="n"/>
      <c r="EB11" s="149" t="n"/>
      <c r="EC11" s="150" t="n"/>
      <c r="ED11" s="99" t="n"/>
      <c r="EE11" s="100" t="n"/>
      <c r="EF11" s="100" t="n"/>
      <c r="EG11" s="100" t="n"/>
      <c r="EH11" s="100" t="n"/>
      <c r="EI11" s="100" t="n"/>
      <c r="EJ11" s="100" t="n"/>
      <c r="EK11" s="100" t="n"/>
      <c r="EL11" s="100" t="n"/>
      <c r="EM11" s="100" t="n"/>
      <c r="EN11" s="100" t="n"/>
      <c r="EO11" s="102" t="n"/>
      <c r="EP11" s="15" t="n"/>
      <c r="EQ11" s="546" t="n"/>
      <c r="ER11" s="546" t="n"/>
      <c r="ES11" s="17" t="n"/>
      <c r="ET11" s="15" t="n"/>
      <c r="EU11" s="546" t="n"/>
      <c r="EV11" s="546" t="n"/>
      <c r="EW11" s="17" t="n"/>
      <c r="EX11" s="31" t="n"/>
      <c r="EY11" s="349" t="n"/>
      <c r="EZ11" s="349" t="n"/>
      <c r="FA11" s="45" t="n"/>
      <c r="FB11" s="351" t="n"/>
      <c r="FC11" s="31" t="n"/>
      <c r="FD11" s="45" t="n"/>
      <c r="FE11" s="45" t="n"/>
      <c r="FF11" s="350" t="n"/>
      <c r="FG11" s="351" t="n"/>
      <c r="FH11" s="107" t="n"/>
      <c r="FI11" s="587" t="n"/>
      <c r="FJ11" s="108" t="n"/>
      <c r="FK11" s="15" t="n"/>
      <c r="FL11" s="546" t="n"/>
      <c r="FM11" s="17" t="n"/>
      <c r="FN11" s="15" t="n"/>
      <c r="FO11" s="546" t="n"/>
      <c r="FP11" s="546" t="n"/>
      <c r="FQ11" s="17" t="n"/>
      <c r="FR11" s="31" t="n"/>
      <c r="FS11" s="45" t="n"/>
      <c r="FT11" s="45" t="n"/>
      <c r="FU11" s="45" t="n"/>
      <c r="FV11" s="45" t="n"/>
      <c r="FW11" s="45" t="n"/>
      <c r="FX11" s="45" t="n"/>
      <c r="FY11" s="45" t="n"/>
      <c r="FZ11" s="45" t="n"/>
      <c r="GA11" s="45" t="n"/>
      <c r="GB11" s="45" t="n"/>
      <c r="GC11" s="351" t="n"/>
      <c r="GD11" s="606" t="n"/>
      <c r="GE11" s="65">
        <f>AVERAGE(CN11,CZ11,DM11,DF26:DG26)</f>
        <v/>
      </c>
      <c r="GF11" s="66">
        <f>AVERAGE(CO11,CP11,DA11,DB11,DC11,DD11,DH11,DI11)</f>
        <v/>
      </c>
      <c r="GG11" s="66">
        <f>AVERAGE(CR11,DE11,DN11,DO11)</f>
        <v/>
      </c>
      <c r="GH11" s="66">
        <f>AVERAGE(CQ11,CS11,DF11,DJ11)</f>
        <v/>
      </c>
      <c r="GI11" s="66">
        <f>AVERAGE(#REF!,#REF!,#REF!,#REF!,#REF!)</f>
        <v/>
      </c>
      <c r="GJ11" s="66" t="n"/>
      <c r="GK11" s="66" t="n"/>
      <c r="GL11" s="66">
        <f>AVERAGE(DF11,#REF!)</f>
        <v/>
      </c>
      <c r="GM11" s="66" t="n"/>
      <c r="GN11" s="66">
        <f>AVERAGE(#REF!)</f>
        <v/>
      </c>
    </row>
    <row r="12" ht="18" customHeight="1" s="590">
      <c r="B12" s="12" t="n">
        <v>6</v>
      </c>
      <c r="C12" s="13" t="inlineStr">
        <is>
          <t>ck-fa22-21319</t>
        </is>
      </c>
      <c r="D12" s="14" t="inlineStr">
        <is>
          <t>Noman Shahid</t>
        </is>
      </c>
      <c r="E12" s="114" t="n"/>
      <c r="F12" s="115" t="n"/>
      <c r="G12" s="510" t="n"/>
      <c r="H12" s="117" t="n"/>
      <c r="I12" s="114" t="n"/>
      <c r="J12" s="665" t="n"/>
      <c r="K12" s="117" t="n"/>
      <c r="L12" s="663" t="n"/>
      <c r="M12" s="561" t="n"/>
      <c r="N12" s="583" t="n"/>
      <c r="O12" s="546" t="n"/>
      <c r="P12" s="115" t="n"/>
      <c r="Q12" s="117" t="n"/>
      <c r="R12" s="701" t="n"/>
      <c r="S12" s="607" t="n"/>
      <c r="T12" s="614" t="n"/>
      <c r="U12" s="114" t="n"/>
      <c r="V12" s="115" t="n"/>
      <c r="W12" s="117" t="n"/>
      <c r="X12" s="117" t="n"/>
      <c r="Y12" s="117" t="n"/>
      <c r="Z12" s="114" t="n"/>
      <c r="AA12" s="583" t="n"/>
      <c r="AB12" s="117" t="n"/>
      <c r="AC12" s="128" t="n"/>
      <c r="AD12" s="665" t="n"/>
      <c r="AE12" s="128" t="n"/>
      <c r="AF12" s="665" t="n"/>
      <c r="AG12" s="543" t="n"/>
      <c r="AH12" s="543" t="n"/>
      <c r="AI12" s="691" t="n"/>
      <c r="AJ12" s="683" t="n"/>
      <c r="AK12" s="663" t="n"/>
      <c r="AL12" s="127" t="n"/>
      <c r="AM12" s="128" t="n"/>
      <c r="AN12" s="128" t="n"/>
      <c r="AO12" s="131" t="n"/>
      <c r="AP12" s="127" t="n"/>
      <c r="AQ12" s="128" t="n"/>
      <c r="AR12" s="128" t="n"/>
      <c r="AS12" s="128" t="n"/>
      <c r="AT12" s="131" t="n"/>
      <c r="AU12" s="127" t="n"/>
      <c r="AV12" s="131" t="n"/>
      <c r="AW12" s="663" t="n"/>
      <c r="AX12" s="131" t="n"/>
      <c r="AY12" s="131" t="n"/>
      <c r="AZ12" s="131" t="n"/>
      <c r="BA12" s="114" t="n"/>
      <c r="BB12" s="546" t="n"/>
      <c r="BC12" s="511" t="n"/>
      <c r="BD12" s="114" t="n"/>
      <c r="BE12" s="546" t="n"/>
      <c r="BF12" s="511" t="n"/>
      <c r="BG12" s="114" t="n"/>
      <c r="BH12" s="546" t="n"/>
      <c r="BI12" s="546" t="n"/>
      <c r="BJ12" s="546" t="n"/>
      <c r="BK12" s="511" t="n"/>
      <c r="BL12" s="546" t="n"/>
      <c r="BM12" s="546" t="n"/>
      <c r="BN12" s="546" t="n"/>
      <c r="BO12" s="546" t="n"/>
      <c r="BP12" s="546" t="n"/>
      <c r="BQ12" s="546" t="n"/>
      <c r="BR12" s="546" t="n"/>
      <c r="BS12" s="15" t="n"/>
      <c r="BT12" s="546" t="n"/>
      <c r="BU12" s="546" t="n"/>
      <c r="BV12" s="546" t="n"/>
      <c r="BW12" s="546" t="n"/>
      <c r="BX12" s="546" t="n"/>
      <c r="BY12" s="15" t="n"/>
      <c r="BZ12" s="546" t="n"/>
      <c r="CA12" s="546" t="n"/>
      <c r="CB12" s="17" t="n"/>
      <c r="CC12" s="546" t="n"/>
      <c r="CD12" s="546" t="n"/>
      <c r="CE12" s="546" t="n"/>
      <c r="CF12" s="546" t="n"/>
      <c r="CG12" s="583" t="n"/>
      <c r="CH12" s="15" t="n"/>
      <c r="CI12" s="15" t="n"/>
      <c r="CJ12" s="15" t="n"/>
      <c r="CK12" s="15" t="n"/>
      <c r="CL12" s="546" t="n"/>
      <c r="CM12" s="17" t="n"/>
      <c r="CN12" s="31" t="n">
        <v>84.83</v>
      </c>
      <c r="CO12" s="349" t="n">
        <v>85.63</v>
      </c>
      <c r="CP12" s="349" t="n">
        <v>89.44</v>
      </c>
      <c r="CQ12" s="349" t="n">
        <v>100</v>
      </c>
      <c r="CR12" s="237" t="n">
        <v>91.20999999999999</v>
      </c>
      <c r="CS12" s="238" t="n">
        <v>92.12</v>
      </c>
      <c r="CT12" s="107" t="n"/>
      <c r="CU12" s="139" t="n"/>
      <c r="CV12" s="139" t="n"/>
      <c r="CW12" s="139" t="n"/>
      <c r="CX12" s="140" t="n"/>
      <c r="CY12" s="108" t="n"/>
      <c r="CZ12" s="232" t="n">
        <v>72.5</v>
      </c>
      <c r="DA12" s="234" t="n">
        <v>84.67</v>
      </c>
      <c r="DB12" s="234" t="n">
        <v>87.5</v>
      </c>
      <c r="DC12" s="234" t="n">
        <v>67.5</v>
      </c>
      <c r="DD12" s="232" t="n">
        <v>76.67</v>
      </c>
      <c r="DE12" s="234" t="n">
        <v>82.36</v>
      </c>
      <c r="DF12" s="234" t="n">
        <v>84.72</v>
      </c>
      <c r="DG12" s="237" t="n">
        <v>88</v>
      </c>
      <c r="DH12" s="238" t="n">
        <v>75</v>
      </c>
      <c r="DI12" s="238" t="n">
        <v>65</v>
      </c>
      <c r="DJ12" s="238" t="n">
        <v>95</v>
      </c>
      <c r="DK12" s="587" t="n"/>
      <c r="DL12" s="587" t="n"/>
      <c r="DM12" s="141" t="n">
        <v>83.75</v>
      </c>
      <c r="DN12" s="140" t="n">
        <v>90.36</v>
      </c>
      <c r="DO12" s="140" t="n">
        <v>94.64</v>
      </c>
      <c r="DP12" s="140" t="n"/>
      <c r="DQ12" s="147" t="n"/>
      <c r="DR12" s="74" t="n"/>
      <c r="DS12" s="75" t="n"/>
      <c r="DT12" s="76" t="n"/>
      <c r="DU12" s="76" t="n"/>
      <c r="DV12" s="91" t="n"/>
      <c r="DW12" s="92" t="n"/>
      <c r="DX12" s="91" t="n"/>
      <c r="DY12" s="74" t="n"/>
      <c r="DZ12" s="92" t="n"/>
      <c r="EA12" s="148" t="n"/>
      <c r="EB12" s="149" t="n"/>
      <c r="EC12" s="150" t="n"/>
      <c r="ED12" s="99" t="n"/>
      <c r="EE12" s="100" t="n"/>
      <c r="EF12" s="100" t="n"/>
      <c r="EG12" s="100" t="n"/>
      <c r="EH12" s="100" t="n"/>
      <c r="EI12" s="100" t="n"/>
      <c r="EJ12" s="100" t="n"/>
      <c r="EK12" s="100" t="n"/>
      <c r="EL12" s="100" t="n"/>
      <c r="EM12" s="100" t="n"/>
      <c r="EN12" s="100" t="n"/>
      <c r="EO12" s="102" t="n"/>
      <c r="EP12" s="15" t="n"/>
      <c r="EQ12" s="546" t="n"/>
      <c r="ER12" s="546" t="n"/>
      <c r="ES12" s="17" t="n"/>
      <c r="ET12" s="15" t="n"/>
      <c r="EU12" s="546" t="n"/>
      <c r="EV12" s="546" t="n"/>
      <c r="EW12" s="17" t="n"/>
      <c r="EX12" s="31" t="n"/>
      <c r="EY12" s="349" t="n"/>
      <c r="EZ12" s="349" t="n"/>
      <c r="FA12" s="45" t="n"/>
      <c r="FB12" s="351" t="n"/>
      <c r="FC12" s="31" t="n"/>
      <c r="FD12" s="45" t="n"/>
      <c r="FE12" s="45" t="n"/>
      <c r="FF12" s="350" t="n"/>
      <c r="FG12" s="351" t="n"/>
      <c r="FH12" s="107" t="n"/>
      <c r="FI12" s="587" t="n"/>
      <c r="FJ12" s="108" t="n"/>
      <c r="FK12" s="15" t="n"/>
      <c r="FL12" s="546" t="n"/>
      <c r="FM12" s="17" t="n"/>
      <c r="FN12" s="15" t="n"/>
      <c r="FO12" s="546" t="n"/>
      <c r="FP12" s="546" t="n"/>
      <c r="FQ12" s="17" t="n"/>
      <c r="FR12" s="31" t="n"/>
      <c r="FS12" s="45" t="n"/>
      <c r="FT12" s="45" t="n"/>
      <c r="FU12" s="45" t="n"/>
      <c r="FV12" s="45" t="n"/>
      <c r="FW12" s="45" t="n"/>
      <c r="FX12" s="45" t="n"/>
      <c r="FY12" s="45" t="n"/>
      <c r="FZ12" s="45" t="n"/>
      <c r="GA12" s="45" t="n"/>
      <c r="GB12" s="45" t="n"/>
      <c r="GC12" s="351" t="n"/>
      <c r="GD12" s="606" t="n"/>
      <c r="GE12" s="65">
        <f>AVERAGE(CN12,CZ12,DM12,DF27:DG27)</f>
        <v/>
      </c>
      <c r="GF12" s="66">
        <f>AVERAGE(CO12,CP12,DA12,DB12,DC12,DD12,DH12,DI12)</f>
        <v/>
      </c>
      <c r="GG12" s="66">
        <f>AVERAGE(CR12,DE12,DN12,DO12)</f>
        <v/>
      </c>
      <c r="GH12" s="66">
        <f>AVERAGE(CQ12,CS12,DF12,DJ12)</f>
        <v/>
      </c>
      <c r="GI12" s="66">
        <f>AVERAGE(#REF!,#REF!,#REF!,#REF!,#REF!)</f>
        <v/>
      </c>
      <c r="GJ12" s="66" t="n"/>
      <c r="GK12" s="66">
        <f>AVERAGE(DE12)</f>
        <v/>
      </c>
      <c r="GL12" s="66">
        <f>AVERAGE(DF12,#REF!)</f>
        <v/>
      </c>
      <c r="GM12" s="66" t="n"/>
      <c r="GN12" s="66">
        <f>AVERAGE(#REF!)</f>
        <v/>
      </c>
    </row>
    <row r="13" ht="18" customHeight="1" s="590">
      <c r="B13" s="12" t="n">
        <v>7</v>
      </c>
      <c r="C13" s="13" t="inlineStr">
        <is>
          <t>ck-fa22-21209</t>
        </is>
      </c>
      <c r="D13" s="14" t="inlineStr">
        <is>
          <t xml:space="preserve">Rehmat Ullah </t>
        </is>
      </c>
      <c r="E13" s="114" t="n"/>
      <c r="F13" s="115" t="n"/>
      <c r="G13" s="510" t="n"/>
      <c r="H13" s="117" t="n"/>
      <c r="I13" s="114" t="n"/>
      <c r="J13" s="665" t="n"/>
      <c r="K13" s="117" t="n"/>
      <c r="L13" s="663" t="n"/>
      <c r="M13" s="561" t="n"/>
      <c r="N13" s="583" t="n"/>
      <c r="O13" s="546" t="n"/>
      <c r="P13" s="115" t="n"/>
      <c r="Q13" s="117" t="n"/>
      <c r="R13" s="701" t="n"/>
      <c r="S13" s="607" t="n"/>
      <c r="T13" s="614" t="n"/>
      <c r="U13" s="114" t="n"/>
      <c r="V13" s="115" t="n"/>
      <c r="W13" s="117" t="n"/>
      <c r="X13" s="117" t="n"/>
      <c r="Y13" s="117" t="n"/>
      <c r="Z13" s="114" t="n"/>
      <c r="AA13" s="583" t="n"/>
      <c r="AB13" s="117" t="n"/>
      <c r="AC13" s="115" t="n"/>
      <c r="AD13" s="665" t="n"/>
      <c r="AE13" s="115" t="n"/>
      <c r="AF13" s="665" t="n"/>
      <c r="AG13" s="510" t="n"/>
      <c r="AH13" s="510" t="n"/>
      <c r="AI13" s="691" t="n"/>
      <c r="AJ13" s="683" t="n"/>
      <c r="AK13" s="663" t="n"/>
      <c r="AL13" s="127" t="n"/>
      <c r="AM13" s="128" t="n"/>
      <c r="AN13" s="128" t="n"/>
      <c r="AO13" s="131" t="n"/>
      <c r="AP13" s="127" t="n"/>
      <c r="AQ13" s="128" t="n"/>
      <c r="AR13" s="128" t="n"/>
      <c r="AS13" s="128" t="n"/>
      <c r="AT13" s="131" t="n"/>
      <c r="AU13" s="127" t="n"/>
      <c r="AV13" s="131" t="n"/>
      <c r="AW13" s="663" t="n"/>
      <c r="AX13" s="131" t="n"/>
      <c r="AY13" s="131" t="n"/>
      <c r="AZ13" s="131" t="n"/>
      <c r="BA13" s="114" t="n"/>
      <c r="BB13" s="546" t="n"/>
      <c r="BC13" s="511" t="n"/>
      <c r="BD13" s="114" t="n"/>
      <c r="BE13" s="546" t="n"/>
      <c r="BF13" s="511" t="n"/>
      <c r="BG13" s="114" t="n"/>
      <c r="BH13" s="546" t="n"/>
      <c r="BI13" s="546" t="n"/>
      <c r="BJ13" s="546" t="n"/>
      <c r="BK13" s="511" t="n"/>
      <c r="BL13" s="546" t="n"/>
      <c r="BM13" s="546" t="n"/>
      <c r="BN13" s="546" t="n"/>
      <c r="BO13" s="546" t="n"/>
      <c r="BP13" s="546" t="n"/>
      <c r="BQ13" s="546" t="n"/>
      <c r="BR13" s="546" t="n"/>
      <c r="BS13" s="15" t="n"/>
      <c r="BT13" s="546" t="n"/>
      <c r="BU13" s="546" t="n"/>
      <c r="BV13" s="546" t="n"/>
      <c r="BW13" s="546" t="n"/>
      <c r="BX13" s="546" t="n"/>
      <c r="BY13" s="15" t="n"/>
      <c r="BZ13" s="546" t="n"/>
      <c r="CA13" s="546" t="n"/>
      <c r="CB13" s="17" t="n"/>
      <c r="CC13" s="546" t="n"/>
      <c r="CD13" s="546" t="n"/>
      <c r="CE13" s="546" t="n"/>
      <c r="CF13" s="546" t="n"/>
      <c r="CG13" s="583" t="n"/>
      <c r="CH13" s="15" t="n"/>
      <c r="CI13" s="15" t="n"/>
      <c r="CJ13" s="15" t="n"/>
      <c r="CK13" s="15" t="n"/>
      <c r="CL13" s="546" t="n"/>
      <c r="CM13" s="17" t="n"/>
      <c r="CN13" s="31" t="n">
        <v>68</v>
      </c>
      <c r="CO13" s="349" t="n">
        <v>62.5</v>
      </c>
      <c r="CP13" s="349" t="n">
        <v>69.44</v>
      </c>
      <c r="CQ13" s="349" t="n">
        <v>41.25</v>
      </c>
      <c r="CR13" s="237" t="n">
        <v>77.27</v>
      </c>
      <c r="CS13" s="238" t="n">
        <v>79.7</v>
      </c>
      <c r="CT13" s="107" t="n"/>
      <c r="CU13" s="139" t="n"/>
      <c r="CV13" s="139" t="n"/>
      <c r="CW13" s="139" t="n"/>
      <c r="CX13" s="140" t="n"/>
      <c r="CY13" s="108" t="n"/>
      <c r="CZ13" s="232" t="n">
        <v>55</v>
      </c>
      <c r="DA13" s="234" t="n">
        <v>61.33</v>
      </c>
      <c r="DB13" s="234" t="n">
        <v>83.33</v>
      </c>
      <c r="DC13" s="234" t="n">
        <v>72.5</v>
      </c>
      <c r="DD13" s="232" t="n">
        <v>78.83</v>
      </c>
      <c r="DE13" s="234" t="n">
        <v>71.25</v>
      </c>
      <c r="DF13" s="234" t="n">
        <v>56.67</v>
      </c>
      <c r="DG13" s="237" t="n">
        <v>78</v>
      </c>
      <c r="DH13" s="238" t="n">
        <v>60</v>
      </c>
      <c r="DI13" s="238" t="n">
        <v>90</v>
      </c>
      <c r="DJ13" s="238" t="n">
        <v>95</v>
      </c>
      <c r="DK13" s="587" t="n"/>
      <c r="DL13" s="587" t="n"/>
      <c r="DM13" s="141" t="n">
        <v>81.20999999999999</v>
      </c>
      <c r="DN13" s="140" t="n">
        <v>81.79000000000001</v>
      </c>
      <c r="DO13" s="140" t="n">
        <v>78.81</v>
      </c>
      <c r="DP13" s="140" t="n"/>
      <c r="DQ13" s="147" t="n"/>
      <c r="DR13" s="74" t="n"/>
      <c r="DS13" s="75" t="n"/>
      <c r="DT13" s="76" t="n"/>
      <c r="DU13" s="76" t="n"/>
      <c r="DV13" s="91" t="n"/>
      <c r="DW13" s="92" t="n"/>
      <c r="DX13" s="91" t="n"/>
      <c r="DY13" s="74" t="n"/>
      <c r="DZ13" s="92" t="n"/>
      <c r="EA13" s="148" t="n"/>
      <c r="EB13" s="149" t="n"/>
      <c r="EC13" s="150" t="n"/>
      <c r="ED13" s="99" t="n"/>
      <c r="EE13" s="100" t="n"/>
      <c r="EF13" s="100" t="n"/>
      <c r="EG13" s="100" t="n"/>
      <c r="EH13" s="100" t="n"/>
      <c r="EI13" s="100" t="n"/>
      <c r="EJ13" s="100" t="n"/>
      <c r="EK13" s="100" t="n"/>
      <c r="EL13" s="100" t="n"/>
      <c r="EM13" s="100" t="n"/>
      <c r="EN13" s="100" t="n"/>
      <c r="EO13" s="102" t="n"/>
      <c r="EP13" s="15" t="n"/>
      <c r="EQ13" s="546" t="n"/>
      <c r="ER13" s="546" t="n"/>
      <c r="ES13" s="17" t="n"/>
      <c r="ET13" s="15" t="n"/>
      <c r="EU13" s="546" t="n"/>
      <c r="EV13" s="546" t="n"/>
      <c r="EW13" s="17" t="n"/>
      <c r="EX13" s="31" t="n"/>
      <c r="EY13" s="349" t="n"/>
      <c r="EZ13" s="665" t="n"/>
      <c r="FA13" s="45" t="n"/>
      <c r="FB13" s="351" t="n"/>
      <c r="FC13" s="31" t="n"/>
      <c r="FD13" s="45" t="n"/>
      <c r="FE13" s="45" t="n"/>
      <c r="FF13" s="351" t="n"/>
      <c r="FG13" s="663" t="n"/>
      <c r="FH13" s="107" t="n"/>
      <c r="FI13" s="587" t="n"/>
      <c r="FJ13" s="108" t="n"/>
      <c r="FK13" s="15" t="n"/>
      <c r="FL13" s="546" t="n"/>
      <c r="FM13" s="17" t="n"/>
      <c r="FN13" s="15" t="n"/>
      <c r="FO13" s="546" t="n"/>
      <c r="FP13" s="546" t="n"/>
      <c r="FQ13" s="17" t="n"/>
      <c r="FR13" s="31" t="n"/>
      <c r="FS13" s="45" t="n"/>
      <c r="FT13" s="45" t="n"/>
      <c r="FU13" s="45" t="n"/>
      <c r="FV13" s="45" t="n"/>
      <c r="FW13" s="45" t="n"/>
      <c r="FX13" s="45" t="n"/>
      <c r="FY13" s="45" t="n"/>
      <c r="FZ13" s="45" t="n"/>
      <c r="GA13" s="45" t="n"/>
      <c r="GB13" s="45" t="n"/>
      <c r="GC13" s="351" t="n"/>
      <c r="GD13" s="606" t="n"/>
      <c r="GE13" s="65">
        <f>AVERAGE(CN13,CZ13,DM13,DF28:DG28)</f>
        <v/>
      </c>
      <c r="GF13" s="66">
        <f>AVERAGE(CO13,CP13,DA13,DB13,DC13,DD13,DH13,DI13)</f>
        <v/>
      </c>
      <c r="GG13" s="66">
        <f>AVERAGE(CR13,DE13,DN13,DO13)</f>
        <v/>
      </c>
      <c r="GH13" s="66">
        <f>AVERAGE(CQ13,CS13,DF13,DJ13)</f>
        <v/>
      </c>
      <c r="GI13" s="66">
        <f>AVERAGE(#REF!,#REF!,#REF!,#REF!,#REF!)</f>
        <v/>
      </c>
      <c r="GJ13" s="66" t="n"/>
      <c r="GK13" s="66">
        <f>AVERAGE(DE13)</f>
        <v/>
      </c>
      <c r="GL13" s="66">
        <f>AVERAGE(DF13,#REF!)</f>
        <v/>
      </c>
      <c r="GM13" s="66" t="n"/>
      <c r="GN13" s="66">
        <f>AVERAGE(#REF!)</f>
        <v/>
      </c>
    </row>
    <row r="14" ht="18" customHeight="1" s="590">
      <c r="B14" s="12" t="n">
        <v>8</v>
      </c>
      <c r="C14" s="13" t="inlineStr">
        <is>
          <t>ck-fa22-21164</t>
        </is>
      </c>
      <c r="D14" s="14" t="inlineStr">
        <is>
          <t>Chaudhary Muhammad Ahsaan</t>
        </is>
      </c>
      <c r="E14" s="114" t="n"/>
      <c r="F14" s="115" t="n"/>
      <c r="G14" s="510" t="n"/>
      <c r="H14" s="117" t="n"/>
      <c r="I14" s="114" t="n"/>
      <c r="J14" s="665" t="n"/>
      <c r="K14" s="117" t="n"/>
      <c r="L14" s="663" t="n"/>
      <c r="M14" s="561" t="n"/>
      <c r="N14" s="583" t="n"/>
      <c r="O14" s="546" t="n"/>
      <c r="P14" s="115" t="n"/>
      <c r="Q14" s="117" t="n"/>
      <c r="R14" s="701" t="n"/>
      <c r="S14" s="607" t="n"/>
      <c r="T14" s="614" t="n"/>
      <c r="U14" s="114" t="n"/>
      <c r="V14" s="115" t="n"/>
      <c r="W14" s="117" t="n"/>
      <c r="X14" s="117" t="n"/>
      <c r="Y14" s="117" t="n"/>
      <c r="Z14" s="114" t="n"/>
      <c r="AA14" s="583" t="n"/>
      <c r="AB14" s="117" t="n"/>
      <c r="AC14" s="115" t="n"/>
      <c r="AD14" s="665" t="n"/>
      <c r="AE14" s="115" t="n"/>
      <c r="AF14" s="665" t="n"/>
      <c r="AG14" s="510" t="n"/>
      <c r="AH14" s="510" t="n"/>
      <c r="AI14" s="691" t="n"/>
      <c r="AJ14" s="683" t="n"/>
      <c r="AK14" s="663" t="n"/>
      <c r="AL14" s="127" t="n"/>
      <c r="AM14" s="128" t="n"/>
      <c r="AN14" s="128" t="n"/>
      <c r="AO14" s="131" t="n"/>
      <c r="AP14" s="127" t="n"/>
      <c r="AQ14" s="128" t="n"/>
      <c r="AR14" s="128" t="n"/>
      <c r="AS14" s="128" t="n"/>
      <c r="AT14" s="131" t="n"/>
      <c r="AU14" s="127" t="n"/>
      <c r="AV14" s="131" t="n"/>
      <c r="AW14" s="663" t="n"/>
      <c r="AX14" s="131" t="n"/>
      <c r="AY14" s="131" t="n"/>
      <c r="AZ14" s="131" t="n"/>
      <c r="BA14" s="114" t="n"/>
      <c r="BB14" s="546" t="n"/>
      <c r="BC14" s="511" t="n"/>
      <c r="BD14" s="114" t="n"/>
      <c r="BE14" s="546" t="n"/>
      <c r="BF14" s="511" t="n"/>
      <c r="BG14" s="114" t="n"/>
      <c r="BH14" s="546" t="n"/>
      <c r="BI14" s="546" t="n"/>
      <c r="BJ14" s="546" t="n"/>
      <c r="BK14" s="511" t="n"/>
      <c r="BL14" s="546" t="n"/>
      <c r="BM14" s="546" t="n"/>
      <c r="BN14" s="546" t="n"/>
      <c r="BO14" s="546" t="n"/>
      <c r="BP14" s="546" t="n"/>
      <c r="BQ14" s="546" t="n"/>
      <c r="BR14" s="546" t="n"/>
      <c r="BS14" s="15" t="n"/>
      <c r="BT14" s="546" t="n"/>
      <c r="BU14" s="546" t="n"/>
      <c r="BV14" s="546" t="n"/>
      <c r="BW14" s="546" t="n"/>
      <c r="BX14" s="546" t="n"/>
      <c r="BY14" s="15" t="n"/>
      <c r="BZ14" s="546" t="n"/>
      <c r="CA14" s="546" t="n"/>
      <c r="CB14" s="17" t="n"/>
      <c r="CC14" s="546" t="n"/>
      <c r="CD14" s="546" t="n"/>
      <c r="CE14" s="546" t="n"/>
      <c r="CF14" s="546" t="n"/>
      <c r="CG14" s="583" t="n"/>
      <c r="CH14" s="15" t="n"/>
      <c r="CI14" s="15" t="n"/>
      <c r="CJ14" s="15" t="n"/>
      <c r="CK14" s="15" t="n"/>
      <c r="CL14" s="546" t="n"/>
      <c r="CM14" s="17" t="n"/>
      <c r="CN14" s="31" t="n">
        <v>78.33</v>
      </c>
      <c r="CO14" s="349" t="n">
        <v>79.38</v>
      </c>
      <c r="CP14" s="349" t="n">
        <v>81.11</v>
      </c>
      <c r="CQ14" s="349" t="n">
        <v>93.33</v>
      </c>
      <c r="CR14" s="45" t="n">
        <v>0</v>
      </c>
      <c r="CS14" s="351" t="n">
        <v>0</v>
      </c>
      <c r="CT14" s="107" t="n"/>
      <c r="CU14" s="139" t="n"/>
      <c r="CV14" s="139" t="n"/>
      <c r="CW14" s="139" t="n"/>
      <c r="CX14" s="140" t="n"/>
      <c r="CY14" s="108" t="n"/>
      <c r="CZ14" s="232" t="n">
        <v>52.5</v>
      </c>
      <c r="DA14" s="234" t="n">
        <v>77.67</v>
      </c>
      <c r="DB14" s="234" t="n">
        <v>74.17</v>
      </c>
      <c r="DC14" s="234" t="n">
        <v>70</v>
      </c>
      <c r="DD14" s="232" t="n">
        <v>78.5</v>
      </c>
      <c r="DE14" s="234" t="n">
        <v>76.81</v>
      </c>
      <c r="DF14" s="234" t="n">
        <v>71.67</v>
      </c>
      <c r="DG14" s="237" t="n">
        <v>68</v>
      </c>
      <c r="DH14" s="238" t="n">
        <v>82</v>
      </c>
      <c r="DI14" s="238" t="n">
        <v>65</v>
      </c>
      <c r="DJ14" s="238" t="n">
        <v>100</v>
      </c>
      <c r="DK14" s="587" t="n"/>
      <c r="DL14" s="587" t="n"/>
      <c r="DM14" s="141" t="n">
        <v>81.25</v>
      </c>
      <c r="DN14" s="140" t="n">
        <v>73.93000000000001</v>
      </c>
      <c r="DO14" s="140" t="n">
        <v>82.62</v>
      </c>
      <c r="DP14" s="140" t="n"/>
      <c r="DQ14" s="147" t="n"/>
      <c r="DR14" s="74" t="n"/>
      <c r="DS14" s="75" t="n"/>
      <c r="DT14" s="76" t="n"/>
      <c r="DU14" s="76" t="n"/>
      <c r="DV14" s="91" t="n"/>
      <c r="DW14" s="92" t="n"/>
      <c r="DX14" s="91" t="n"/>
      <c r="DY14" s="74" t="n"/>
      <c r="DZ14" s="92" t="n"/>
      <c r="EA14" s="148" t="n"/>
      <c r="EB14" s="149" t="n"/>
      <c r="EC14" s="150" t="n"/>
      <c r="ED14" s="99" t="n"/>
      <c r="EE14" s="100" t="n"/>
      <c r="EF14" s="100" t="n"/>
      <c r="EG14" s="100" t="n"/>
      <c r="EH14" s="100" t="n"/>
      <c r="EI14" s="100" t="n"/>
      <c r="EJ14" s="100" t="n"/>
      <c r="EK14" s="100" t="n"/>
      <c r="EL14" s="100" t="n"/>
      <c r="EM14" s="100" t="n"/>
      <c r="EN14" s="100" t="n"/>
      <c r="EO14" s="102" t="n"/>
      <c r="EP14" s="15" t="n"/>
      <c r="EQ14" s="546" t="n"/>
      <c r="ER14" s="546" t="n"/>
      <c r="ES14" s="17" t="n"/>
      <c r="ET14" s="15" t="n"/>
      <c r="EU14" s="546" t="n"/>
      <c r="EV14" s="546" t="n"/>
      <c r="EW14" s="17" t="n"/>
      <c r="EX14" s="31" t="n"/>
      <c r="EY14" s="349" t="n"/>
      <c r="EZ14" s="349" t="n"/>
      <c r="FA14" s="45" t="n"/>
      <c r="FB14" s="351" t="n"/>
      <c r="FC14" s="31" t="n"/>
      <c r="FD14" s="45" t="n"/>
      <c r="FE14" s="45" t="n"/>
      <c r="FF14" s="350" t="n"/>
      <c r="FG14" s="351" t="n"/>
      <c r="FH14" s="107" t="n"/>
      <c r="FI14" s="587" t="n"/>
      <c r="FJ14" s="108" t="n"/>
      <c r="FK14" s="15" t="n"/>
      <c r="FL14" s="546" t="n"/>
      <c r="FM14" s="17" t="n"/>
      <c r="FN14" s="15" t="n"/>
      <c r="FO14" s="546" t="n"/>
      <c r="FP14" s="546" t="n"/>
      <c r="FQ14" s="17" t="n"/>
      <c r="FR14" s="31" t="n"/>
      <c r="FS14" s="45" t="n"/>
      <c r="FT14" s="45" t="n"/>
      <c r="FU14" s="45" t="n"/>
      <c r="FV14" s="45" t="n"/>
      <c r="FW14" s="45" t="n"/>
      <c r="FX14" s="45" t="n"/>
      <c r="FY14" s="45" t="n"/>
      <c r="FZ14" s="45" t="n"/>
      <c r="GA14" s="45" t="n"/>
      <c r="GB14" s="45" t="n"/>
      <c r="GC14" s="351" t="n"/>
      <c r="GD14" s="606" t="n"/>
      <c r="GE14" s="65">
        <f>AVERAGE(CN14,CZ14,DM14,DF29:DG29)</f>
        <v/>
      </c>
      <c r="GF14" s="66">
        <f>AVERAGE(CO14,CP14,DA14,DB14,DC14,DD14,DH14,DI14)</f>
        <v/>
      </c>
      <c r="GG14" s="66">
        <f>AVERAGE(CR14,DE14,DN14,DO14)</f>
        <v/>
      </c>
      <c r="GH14" s="66">
        <f>AVERAGE(CQ14,CS14,DF14,DJ14)</f>
        <v/>
      </c>
      <c r="GI14" s="66">
        <f>AVERAGE(#REF!,#REF!,#REF!,#REF!,#REF!)</f>
        <v/>
      </c>
      <c r="GJ14" s="66" t="n"/>
      <c r="GK14" s="66">
        <f>AVERAGE(DE14)</f>
        <v/>
      </c>
      <c r="GL14" s="66">
        <f>AVERAGE(DF14,#REF!)</f>
        <v/>
      </c>
      <c r="GM14" s="66" t="n"/>
      <c r="GN14" s="66">
        <f>AVERAGE(#REF!)</f>
        <v/>
      </c>
    </row>
    <row r="15" ht="18" customHeight="1" s="590">
      <c r="B15" s="12" t="n">
        <v>9</v>
      </c>
      <c r="C15" s="13" t="inlineStr">
        <is>
          <t>ck-fa22-21141</t>
        </is>
      </c>
      <c r="D15" s="14" t="inlineStr">
        <is>
          <t>Syed Moeen Ali Hamdani</t>
        </is>
      </c>
      <c r="E15" s="114" t="n"/>
      <c r="F15" s="115" t="n"/>
      <c r="G15" s="510" t="n"/>
      <c r="H15" s="117" t="n"/>
      <c r="I15" s="114" t="n"/>
      <c r="J15" s="665" t="n"/>
      <c r="K15" s="117" t="n"/>
      <c r="L15" s="663" t="n"/>
      <c r="M15" s="561" t="n"/>
      <c r="N15" s="583" t="n"/>
      <c r="O15" s="546" t="n"/>
      <c r="P15" s="115" t="n"/>
      <c r="Q15" s="117" t="n"/>
      <c r="R15" s="701" t="n"/>
      <c r="S15" s="607" t="n"/>
      <c r="T15" s="614" t="n"/>
      <c r="U15" s="114" t="n"/>
      <c r="V15" s="115" t="n"/>
      <c r="W15" s="117" t="n"/>
      <c r="X15" s="117" t="n"/>
      <c r="Y15" s="117" t="n"/>
      <c r="Z15" s="114" t="n"/>
      <c r="AA15" s="583" t="n"/>
      <c r="AB15" s="117" t="n"/>
      <c r="AC15" s="115" t="n"/>
      <c r="AD15" s="665" t="n"/>
      <c r="AE15" s="115" t="n"/>
      <c r="AF15" s="665" t="n"/>
      <c r="AG15" s="510" t="n"/>
      <c r="AH15" s="510" t="n"/>
      <c r="AI15" s="691" t="n"/>
      <c r="AJ15" s="683" t="n"/>
      <c r="AK15" s="663" t="n"/>
      <c r="AL15" s="127" t="n"/>
      <c r="AM15" s="128" t="n"/>
      <c r="AN15" s="128" t="n"/>
      <c r="AO15" s="131" t="n"/>
      <c r="AP15" s="127" t="n"/>
      <c r="AQ15" s="128" t="n"/>
      <c r="AR15" s="128" t="n"/>
      <c r="AS15" s="128" t="n"/>
      <c r="AT15" s="131" t="n"/>
      <c r="AU15" s="127" t="n"/>
      <c r="AV15" s="131" t="n"/>
      <c r="AW15" s="663" t="n"/>
      <c r="AX15" s="131" t="n"/>
      <c r="AY15" s="131" t="n"/>
      <c r="AZ15" s="131" t="n"/>
      <c r="BA15" s="114" t="n"/>
      <c r="BB15" s="546" t="n"/>
      <c r="BC15" s="511" t="n"/>
      <c r="BD15" s="114" t="n"/>
      <c r="BE15" s="546" t="n"/>
      <c r="BF15" s="511" t="n"/>
      <c r="BG15" s="114" t="n"/>
      <c r="BH15" s="546" t="n"/>
      <c r="BI15" s="546" t="n"/>
      <c r="BJ15" s="546" t="n"/>
      <c r="BK15" s="511" t="n"/>
      <c r="BL15" s="546" t="n"/>
      <c r="BM15" s="546" t="n"/>
      <c r="BN15" s="546" t="n"/>
      <c r="BO15" s="546" t="n"/>
      <c r="BP15" s="546" t="n"/>
      <c r="BQ15" s="546" t="n"/>
      <c r="BR15" s="546" t="n"/>
      <c r="BS15" s="15" t="n"/>
      <c r="BT15" s="546" t="n"/>
      <c r="BU15" s="546" t="n"/>
      <c r="BV15" s="546" t="n"/>
      <c r="BW15" s="546" t="n"/>
      <c r="BX15" s="546" t="n"/>
      <c r="BY15" s="15" t="n"/>
      <c r="BZ15" s="546" t="n"/>
      <c r="CA15" s="546" t="n"/>
      <c r="CB15" s="17" t="n"/>
      <c r="CC15" s="546" t="n"/>
      <c r="CD15" s="546" t="n"/>
      <c r="CE15" s="546" t="n"/>
      <c r="CF15" s="546" t="n"/>
      <c r="CG15" s="583" t="n"/>
      <c r="CH15" s="15" t="n"/>
      <c r="CI15" s="15" t="n"/>
      <c r="CJ15" s="15" t="n"/>
      <c r="CK15" s="15" t="n"/>
      <c r="CL15" s="546" t="n"/>
      <c r="CM15" s="17" t="n"/>
      <c r="CN15" s="31" t="n">
        <v>0</v>
      </c>
      <c r="CO15" s="349" t="n">
        <v>0</v>
      </c>
      <c r="CP15" s="349" t="n">
        <v>0</v>
      </c>
      <c r="CQ15" s="349" t="n">
        <v>0</v>
      </c>
      <c r="CR15" s="237" t="n">
        <v>63.64</v>
      </c>
      <c r="CS15" s="238" t="n">
        <v>58.48</v>
      </c>
      <c r="CT15" s="107" t="n"/>
      <c r="CU15" s="139" t="n"/>
      <c r="CV15" s="139" t="n"/>
      <c r="CW15" s="139" t="n"/>
      <c r="CX15" s="140" t="n"/>
      <c r="CY15" s="108" t="n"/>
      <c r="CZ15" s="141" t="n">
        <v>0</v>
      </c>
      <c r="DA15" s="347" t="n">
        <v>0</v>
      </c>
      <c r="DB15" s="143" t="n">
        <v>0</v>
      </c>
      <c r="DC15" s="144" t="n">
        <v>0</v>
      </c>
      <c r="DD15" s="232" t="n">
        <v>58.5</v>
      </c>
      <c r="DE15" s="234" t="n">
        <v>51.6</v>
      </c>
      <c r="DF15" s="234" t="n">
        <v>66.94</v>
      </c>
      <c r="DG15" s="237" t="n">
        <v>66</v>
      </c>
      <c r="DH15" s="238" t="n">
        <v>50</v>
      </c>
      <c r="DI15" s="238" t="n">
        <v>70</v>
      </c>
      <c r="DJ15" s="238" t="n">
        <v>70</v>
      </c>
      <c r="DK15" s="587" t="n"/>
      <c r="DL15" s="587" t="n"/>
      <c r="DM15" s="141" t="n">
        <v>75</v>
      </c>
      <c r="DN15" s="140" t="n">
        <v>28.57</v>
      </c>
      <c r="DO15" s="140" t="n">
        <v>82.38</v>
      </c>
      <c r="DP15" s="140" t="n"/>
      <c r="DQ15" s="147" t="n"/>
      <c r="DR15" s="74" t="n"/>
      <c r="DS15" s="75" t="n"/>
      <c r="DT15" s="76" t="n"/>
      <c r="DU15" s="76" t="n"/>
      <c r="DV15" s="91" t="n"/>
      <c r="DW15" s="92" t="n"/>
      <c r="DX15" s="91" t="n"/>
      <c r="DY15" s="74" t="n"/>
      <c r="DZ15" s="92" t="n"/>
      <c r="EA15" s="148" t="n"/>
      <c r="EB15" s="149" t="n"/>
      <c r="EC15" s="150" t="n"/>
      <c r="ED15" s="99" t="n"/>
      <c r="EE15" s="100" t="n"/>
      <c r="EF15" s="100" t="n"/>
      <c r="EG15" s="100" t="n"/>
      <c r="EH15" s="100" t="n"/>
      <c r="EI15" s="100" t="n"/>
      <c r="EJ15" s="100" t="n"/>
      <c r="EK15" s="100" t="n"/>
      <c r="EL15" s="100" t="n"/>
      <c r="EM15" s="100" t="n"/>
      <c r="EN15" s="100" t="n"/>
      <c r="EO15" s="102" t="n"/>
      <c r="EP15" s="15" t="n"/>
      <c r="EQ15" s="546" t="n"/>
      <c r="ER15" s="546" t="n"/>
      <c r="ES15" s="17" t="n"/>
      <c r="ET15" s="15" t="n"/>
      <c r="EU15" s="546" t="n"/>
      <c r="EV15" s="546" t="n"/>
      <c r="EW15" s="17" t="n"/>
      <c r="EX15" s="31" t="n"/>
      <c r="EY15" s="349" t="n"/>
      <c r="EZ15" s="349" t="n"/>
      <c r="FA15" s="45" t="n"/>
      <c r="FB15" s="351" t="n"/>
      <c r="FC15" s="31" t="n"/>
      <c r="FD15" s="45" t="n"/>
      <c r="FE15" s="45" t="n"/>
      <c r="FF15" s="350" t="n"/>
      <c r="FG15" s="351" t="n"/>
      <c r="FH15" s="107" t="n"/>
      <c r="FI15" s="587" t="n"/>
      <c r="FJ15" s="108" t="n"/>
      <c r="FK15" s="15" t="n"/>
      <c r="FL15" s="546" t="n"/>
      <c r="FM15" s="17" t="n"/>
      <c r="FN15" s="15" t="n"/>
      <c r="FO15" s="546" t="n"/>
      <c r="FP15" s="546" t="n"/>
      <c r="FQ15" s="17" t="n"/>
      <c r="FR15" s="31" t="n"/>
      <c r="FS15" s="45" t="n"/>
      <c r="FT15" s="45" t="n"/>
      <c r="FU15" s="45" t="n"/>
      <c r="FV15" s="45" t="n"/>
      <c r="FW15" s="45" t="n"/>
      <c r="FX15" s="45" t="n"/>
      <c r="FY15" s="45" t="n"/>
      <c r="FZ15" s="45" t="n"/>
      <c r="GA15" s="45" t="n"/>
      <c r="GB15" s="45" t="n"/>
      <c r="GC15" s="351" t="n"/>
      <c r="GD15" s="606" t="n"/>
      <c r="GE15" s="65">
        <f>AVERAGE(CN15,CZ15,DM15,DF30:DG30)</f>
        <v/>
      </c>
      <c r="GF15" s="66">
        <f>AVERAGE(CO15,CP15,DA15,DB15,DC15,DD15,DH15,DI15)</f>
        <v/>
      </c>
      <c r="GG15" s="66">
        <f>AVERAGE(CR15,DE15,DN15,DO15)</f>
        <v/>
      </c>
      <c r="GH15" s="66">
        <f>AVERAGE(CQ15,CS15,DF15,DJ15)</f>
        <v/>
      </c>
      <c r="GI15" s="66">
        <f>AVERAGE(#REF!,#REF!,#REF!,#REF!,#REF!)</f>
        <v/>
      </c>
      <c r="GJ15" s="66" t="n"/>
      <c r="GK15" s="66">
        <f>AVERAGE(DE15)</f>
        <v/>
      </c>
      <c r="GL15" s="66">
        <f>AVERAGE(DF15,#REF!)</f>
        <v/>
      </c>
      <c r="GM15" s="66" t="n"/>
      <c r="GN15" s="66">
        <f>AVERAGE(#REF!)</f>
        <v/>
      </c>
    </row>
    <row r="16" ht="18" customHeight="1" s="590">
      <c r="B16" s="12" t="n">
        <v>10</v>
      </c>
      <c r="C16" s="13" t="inlineStr">
        <is>
          <t>ck-fa22-21208</t>
        </is>
      </c>
      <c r="D16" s="14" t="inlineStr">
        <is>
          <t xml:space="preserve">Muhammad Nadeem Khan </t>
        </is>
      </c>
      <c r="E16" s="114" t="n"/>
      <c r="F16" s="115" t="n"/>
      <c r="G16" s="510" t="n"/>
      <c r="H16" s="117" t="n"/>
      <c r="I16" s="114" t="n"/>
      <c r="J16" s="665" t="n"/>
      <c r="K16" s="117" t="n"/>
      <c r="L16" s="663" t="n"/>
      <c r="M16" s="561" t="n"/>
      <c r="N16" s="583" t="n"/>
      <c r="O16" s="546" t="n"/>
      <c r="P16" s="115" t="n"/>
      <c r="Q16" s="117" t="n"/>
      <c r="R16" s="701" t="n"/>
      <c r="S16" s="607" t="n"/>
      <c r="T16" s="614" t="n"/>
      <c r="U16" s="114" t="n"/>
      <c r="V16" s="115" t="n"/>
      <c r="W16" s="117" t="n"/>
      <c r="X16" s="117" t="n"/>
      <c r="Y16" s="117" t="n"/>
      <c r="Z16" s="114" t="n"/>
      <c r="AA16" s="583" t="n"/>
      <c r="AB16" s="117" t="n"/>
      <c r="AC16" s="115" t="n"/>
      <c r="AD16" s="665" t="n"/>
      <c r="AE16" s="115" t="n"/>
      <c r="AF16" s="665" t="n"/>
      <c r="AG16" s="510" t="n"/>
      <c r="AH16" s="510" t="n"/>
      <c r="AI16" s="691" t="n"/>
      <c r="AJ16" s="683" t="n"/>
      <c r="AK16" s="663" t="n"/>
      <c r="AL16" s="127" t="n"/>
      <c r="AM16" s="128" t="n"/>
      <c r="AN16" s="128" t="n"/>
      <c r="AO16" s="131" t="n"/>
      <c r="AP16" s="127" t="n"/>
      <c r="AQ16" s="128" t="n"/>
      <c r="AR16" s="128" t="n"/>
      <c r="AS16" s="128" t="n"/>
      <c r="AT16" s="131" t="n"/>
      <c r="AU16" s="127" t="n"/>
      <c r="AV16" s="131" t="n"/>
      <c r="AW16" s="663" t="n"/>
      <c r="AX16" s="131" t="n"/>
      <c r="AY16" s="131" t="n"/>
      <c r="AZ16" s="131" t="n"/>
      <c r="BA16" s="114" t="n"/>
      <c r="BB16" s="546" t="n"/>
      <c r="BC16" s="511" t="n"/>
      <c r="BD16" s="114" t="n"/>
      <c r="BE16" s="546" t="n"/>
      <c r="BF16" s="511" t="n"/>
      <c r="BG16" s="114" t="n"/>
      <c r="BH16" s="546" t="n"/>
      <c r="BI16" s="546" t="n"/>
      <c r="BJ16" s="546" t="n"/>
      <c r="BK16" s="511" t="n"/>
      <c r="BL16" s="546" t="n"/>
      <c r="BM16" s="546" t="n"/>
      <c r="BN16" s="546" t="n"/>
      <c r="BO16" s="546" t="n"/>
      <c r="BP16" s="546" t="n"/>
      <c r="BQ16" s="546" t="n"/>
      <c r="BR16" s="546" t="n"/>
      <c r="BS16" s="15" t="n"/>
      <c r="BT16" s="546" t="n"/>
      <c r="BU16" s="546" t="n"/>
      <c r="BV16" s="546" t="n"/>
      <c r="BW16" s="546" t="n"/>
      <c r="BX16" s="546" t="n"/>
      <c r="BY16" s="15" t="n"/>
      <c r="BZ16" s="546" t="n"/>
      <c r="CA16" s="546" t="n"/>
      <c r="CB16" s="17" t="n"/>
      <c r="CC16" s="546" t="n"/>
      <c r="CD16" s="546" t="n"/>
      <c r="CE16" s="546" t="n"/>
      <c r="CF16" s="546" t="n"/>
      <c r="CG16" s="583" t="n"/>
      <c r="CH16" s="15" t="n"/>
      <c r="CI16" s="15" t="n"/>
      <c r="CJ16" s="15" t="n"/>
      <c r="CK16" s="15" t="n"/>
      <c r="CL16" s="546" t="n"/>
      <c r="CM16" s="17" t="n"/>
      <c r="CN16" s="31" t="n">
        <v>66.83</v>
      </c>
      <c r="CO16" s="349" t="n">
        <v>69.69</v>
      </c>
      <c r="CP16" s="349" t="n">
        <v>67.78</v>
      </c>
      <c r="CQ16" s="349" t="n">
        <v>71.88</v>
      </c>
      <c r="CR16" s="237" t="n">
        <v>73.03</v>
      </c>
      <c r="CS16" s="238" t="n">
        <v>70.91</v>
      </c>
      <c r="CT16" s="107" t="n"/>
      <c r="CU16" s="139" t="n"/>
      <c r="CV16" s="139" t="n"/>
      <c r="CW16" s="139" t="n"/>
      <c r="CX16" s="140" t="n"/>
      <c r="CY16" s="108" t="n"/>
      <c r="CZ16" s="232" t="n">
        <v>61.67</v>
      </c>
      <c r="DA16" s="234" t="n">
        <v>52</v>
      </c>
      <c r="DB16" s="234" t="n">
        <v>75</v>
      </c>
      <c r="DC16" s="234" t="n">
        <v>62.5</v>
      </c>
      <c r="DD16" s="232" t="n">
        <v>64.67</v>
      </c>
      <c r="DE16" s="234" t="n">
        <v>67.56999999999999</v>
      </c>
      <c r="DF16" s="234" t="n">
        <v>61.39</v>
      </c>
      <c r="DG16" s="237" t="n">
        <v>62</v>
      </c>
      <c r="DH16" s="238" t="n">
        <v>72</v>
      </c>
      <c r="DI16" s="238" t="n">
        <v>60</v>
      </c>
      <c r="DJ16" s="238" t="n">
        <v>75</v>
      </c>
      <c r="DK16" s="587" t="n"/>
      <c r="DL16" s="587" t="n"/>
      <c r="DM16" s="141" t="n">
        <v>84.58</v>
      </c>
      <c r="DN16" s="140" t="n">
        <v>87.5</v>
      </c>
      <c r="DO16" s="140" t="n">
        <v>82.14</v>
      </c>
      <c r="DP16" s="140" t="n"/>
      <c r="DQ16" s="147" t="n"/>
      <c r="DR16" s="74" t="n"/>
      <c r="DS16" s="75" t="n"/>
      <c r="DT16" s="76" t="n"/>
      <c r="DU16" s="76" t="n"/>
      <c r="DV16" s="91" t="n"/>
      <c r="DW16" s="92" t="n"/>
      <c r="DX16" s="91" t="n"/>
      <c r="DY16" s="74" t="n"/>
      <c r="DZ16" s="92" t="n"/>
      <c r="EA16" s="148" t="n"/>
      <c r="EB16" s="149" t="n"/>
      <c r="EC16" s="150" t="n"/>
      <c r="ED16" s="99" t="n"/>
      <c r="EE16" s="100" t="n"/>
      <c r="EF16" s="100" t="n"/>
      <c r="EG16" s="100" t="n"/>
      <c r="EH16" s="100" t="n"/>
      <c r="EI16" s="100" t="n"/>
      <c r="EJ16" s="100" t="n"/>
      <c r="EK16" s="100" t="n"/>
      <c r="EL16" s="100" t="n"/>
      <c r="EM16" s="100" t="n"/>
      <c r="EN16" s="100" t="n"/>
      <c r="EO16" s="102" t="n"/>
      <c r="EP16" s="15" t="n"/>
      <c r="EQ16" s="546" t="n"/>
      <c r="ER16" s="546" t="n"/>
      <c r="ES16" s="17" t="n"/>
      <c r="ET16" s="15" t="n"/>
      <c r="EU16" s="546" t="n"/>
      <c r="EV16" s="546" t="n"/>
      <c r="EW16" s="17" t="n"/>
      <c r="EX16" s="31" t="n"/>
      <c r="EY16" s="349" t="n"/>
      <c r="EZ16" s="349" t="n"/>
      <c r="FA16" s="45" t="n"/>
      <c r="FB16" s="351" t="n"/>
      <c r="FC16" s="31" t="n"/>
      <c r="FD16" s="45" t="n"/>
      <c r="FE16" s="45" t="n"/>
      <c r="FF16" s="350" t="n"/>
      <c r="FG16" s="351" t="n"/>
      <c r="FH16" s="107" t="n"/>
      <c r="FI16" s="587" t="n"/>
      <c r="FJ16" s="108" t="n"/>
      <c r="FK16" s="15" t="n"/>
      <c r="FL16" s="546" t="n"/>
      <c r="FM16" s="17" t="n"/>
      <c r="FN16" s="15" t="n"/>
      <c r="FO16" s="546" t="n"/>
      <c r="FP16" s="546" t="n"/>
      <c r="FQ16" s="17" t="n"/>
      <c r="FR16" s="31" t="n"/>
      <c r="FS16" s="45" t="n"/>
      <c r="FT16" s="45" t="n"/>
      <c r="FU16" s="45" t="n"/>
      <c r="FV16" s="45" t="n"/>
      <c r="FW16" s="45" t="n"/>
      <c r="FX16" s="45" t="n"/>
      <c r="FY16" s="45" t="n"/>
      <c r="FZ16" s="45" t="n"/>
      <c r="GA16" s="45" t="n"/>
      <c r="GB16" s="45" t="n"/>
      <c r="GC16" s="351" t="n"/>
      <c r="GD16" s="606" t="n"/>
      <c r="GE16" s="65">
        <f>AVERAGE(CN16,CZ16,DM16,DF31:DG31)</f>
        <v/>
      </c>
      <c r="GF16" s="66">
        <f>AVERAGE(CO16,CP16,DA16,DB16,DC16,DD16,DH16,DI16)</f>
        <v/>
      </c>
      <c r="GG16" s="66">
        <f>AVERAGE(CR16,DE16,DN16,DO16)</f>
        <v/>
      </c>
      <c r="GH16" s="66">
        <f>AVERAGE(CQ16,CS16,DF16,DJ16)</f>
        <v/>
      </c>
      <c r="GI16" s="66">
        <f>AVERAGE(#REF!,#REF!,#REF!,#REF!,#REF!)</f>
        <v/>
      </c>
      <c r="GJ16" s="66" t="n"/>
      <c r="GK16" s="66">
        <f>AVERAGE(DE16)</f>
        <v/>
      </c>
      <c r="GL16" s="66">
        <f>AVERAGE(DF16,#REF!)</f>
        <v/>
      </c>
      <c r="GM16" s="66" t="n"/>
      <c r="GN16" s="66">
        <f>AVERAGE(#REF!)</f>
        <v/>
      </c>
    </row>
    <row r="17" ht="18" customHeight="1" s="590">
      <c r="B17" s="12" t="n">
        <v>11</v>
      </c>
      <c r="C17" s="13" t="inlineStr">
        <is>
          <t>ck-fa22-21348</t>
        </is>
      </c>
      <c r="D17" s="14" t="inlineStr">
        <is>
          <t xml:space="preserve">Qurat Ul Ain </t>
        </is>
      </c>
      <c r="E17" s="114" t="n"/>
      <c r="F17" s="115" t="n"/>
      <c r="G17" s="510" t="n"/>
      <c r="H17" s="117" t="n"/>
      <c r="I17" s="114" t="n"/>
      <c r="J17" s="665" t="n"/>
      <c r="K17" s="117" t="n"/>
      <c r="L17" s="663" t="n"/>
      <c r="M17" s="561" t="n"/>
      <c r="N17" s="583" t="n"/>
      <c r="O17" s="546" t="n"/>
      <c r="P17" s="115" t="n"/>
      <c r="Q17" s="117" t="n"/>
      <c r="R17" s="701" t="n"/>
      <c r="S17" s="607" t="n"/>
      <c r="T17" s="614" t="n"/>
      <c r="U17" s="114" t="n"/>
      <c r="V17" s="115" t="n"/>
      <c r="W17" s="117" t="n"/>
      <c r="X17" s="117" t="n"/>
      <c r="Y17" s="117" t="n"/>
      <c r="Z17" s="114" t="n"/>
      <c r="AA17" s="583" t="n"/>
      <c r="AB17" s="117" t="n"/>
      <c r="AC17" s="115" t="n"/>
      <c r="AD17" s="665" t="n"/>
      <c r="AE17" s="115" t="n"/>
      <c r="AF17" s="665" t="n"/>
      <c r="AG17" s="510" t="n"/>
      <c r="AH17" s="510" t="n"/>
      <c r="AI17" s="691" t="n"/>
      <c r="AJ17" s="683" t="n"/>
      <c r="AK17" s="663" t="n"/>
      <c r="AL17" s="127" t="n"/>
      <c r="AM17" s="128" t="n"/>
      <c r="AN17" s="128" t="n"/>
      <c r="AO17" s="131" t="n"/>
      <c r="AP17" s="127" t="n"/>
      <c r="AQ17" s="128" t="n"/>
      <c r="AR17" s="128" t="n"/>
      <c r="AS17" s="128" t="n"/>
      <c r="AT17" s="131" t="n"/>
      <c r="AU17" s="127" t="n"/>
      <c r="AV17" s="131" t="n"/>
      <c r="AW17" s="663" t="n"/>
      <c r="AX17" s="131" t="n"/>
      <c r="AY17" s="131" t="n"/>
      <c r="AZ17" s="131" t="n"/>
      <c r="BA17" s="114" t="n"/>
      <c r="BB17" s="546" t="n"/>
      <c r="BC17" s="511" t="n"/>
      <c r="BD17" s="114" t="n"/>
      <c r="BE17" s="546" t="n"/>
      <c r="BF17" s="511" t="n"/>
      <c r="BG17" s="114" t="n">
        <v>76.67</v>
      </c>
      <c r="BH17" s="546" t="n">
        <v>75.31</v>
      </c>
      <c r="BI17" s="546" t="n">
        <v>58</v>
      </c>
      <c r="BJ17" s="546" t="n">
        <v>64.58</v>
      </c>
      <c r="BK17" s="511" t="n"/>
      <c r="BL17" s="546" t="n"/>
      <c r="BM17" s="546" t="n"/>
      <c r="BN17" s="546" t="n"/>
      <c r="BO17" s="546" t="n"/>
      <c r="BP17" s="546" t="n"/>
      <c r="BQ17" s="546" t="n"/>
      <c r="BR17" s="546" t="n"/>
      <c r="BS17" s="15" t="n"/>
      <c r="BT17" s="546" t="n"/>
      <c r="BU17" s="546" t="n"/>
      <c r="BV17" s="546" t="n"/>
      <c r="BW17" s="546" t="n"/>
      <c r="BX17" s="546" t="n"/>
      <c r="BY17" s="15" t="n"/>
      <c r="BZ17" s="546" t="n"/>
      <c r="CA17" s="546" t="n"/>
      <c r="CB17" s="17" t="n"/>
      <c r="CC17" s="546" t="n"/>
      <c r="CD17" s="546" t="n"/>
      <c r="CE17" s="546" t="n"/>
      <c r="CF17" s="546" t="n"/>
      <c r="CG17" s="583" t="n"/>
      <c r="CH17" s="15" t="n"/>
      <c r="CI17" s="15" t="n"/>
      <c r="CJ17" s="15" t="n"/>
      <c r="CK17" s="15" t="n"/>
      <c r="CL17" s="546" t="n"/>
      <c r="CM17" s="17" t="n"/>
      <c r="CN17" s="31" t="n">
        <v>71.67</v>
      </c>
      <c r="CO17" s="349" t="n">
        <v>76.88</v>
      </c>
      <c r="CP17" s="349" t="n">
        <v>86.67</v>
      </c>
      <c r="CQ17" s="349" t="n">
        <v>95.42</v>
      </c>
      <c r="CR17" s="237" t="n">
        <v>79.7</v>
      </c>
      <c r="CS17" s="238" t="n">
        <v>77.58</v>
      </c>
      <c r="CT17" s="107" t="n"/>
      <c r="CU17" s="139" t="n"/>
      <c r="CV17" s="139" t="n"/>
      <c r="CW17" s="139" t="n"/>
      <c r="CX17" s="140" t="n"/>
      <c r="CY17" s="108" t="n"/>
      <c r="CZ17" s="232" t="n">
        <v>65</v>
      </c>
      <c r="DA17" s="234" t="n">
        <v>70</v>
      </c>
      <c r="DB17" s="234" t="n">
        <v>63.33</v>
      </c>
      <c r="DC17" s="234" t="n">
        <v>70</v>
      </c>
      <c r="DD17" s="232" t="n">
        <v>81.67</v>
      </c>
      <c r="DE17" s="234" t="n">
        <v>85.76000000000001</v>
      </c>
      <c r="DF17" s="234" t="n">
        <v>76.67</v>
      </c>
      <c r="DG17" s="237" t="n">
        <v>54</v>
      </c>
      <c r="DH17" s="238" t="n">
        <v>60</v>
      </c>
      <c r="DI17" s="238" t="n">
        <v>85</v>
      </c>
      <c r="DJ17" s="238" t="n">
        <v>100</v>
      </c>
      <c r="DK17" s="587" t="n"/>
      <c r="DL17" s="587" t="n"/>
      <c r="DM17" s="141" t="n">
        <v>78.75</v>
      </c>
      <c r="DN17" s="140" t="n">
        <v>62.86</v>
      </c>
      <c r="DO17" s="140" t="n">
        <v>72.62</v>
      </c>
      <c r="DP17" s="140" t="n"/>
      <c r="DQ17" s="147" t="n"/>
      <c r="DR17" s="74" t="n"/>
      <c r="DS17" s="75" t="n"/>
      <c r="DT17" s="76" t="n"/>
      <c r="DU17" s="76" t="n"/>
      <c r="DV17" s="91" t="n"/>
      <c r="DW17" s="92" t="n"/>
      <c r="DX17" s="91" t="n"/>
      <c r="DY17" s="74" t="n"/>
      <c r="DZ17" s="92" t="n"/>
      <c r="EA17" s="148" t="n"/>
      <c r="EB17" s="149" t="n"/>
      <c r="EC17" s="150" t="n"/>
      <c r="ED17" s="99" t="n"/>
      <c r="EE17" s="100" t="n"/>
      <c r="EF17" s="100" t="n"/>
      <c r="EG17" s="100" t="n"/>
      <c r="EH17" s="100" t="n"/>
      <c r="EI17" s="100" t="n"/>
      <c r="EJ17" s="100" t="n"/>
      <c r="EK17" s="100" t="n"/>
      <c r="EL17" s="100" t="n"/>
      <c r="EM17" s="100" t="n"/>
      <c r="EN17" s="100" t="n"/>
      <c r="EO17" s="102" t="n"/>
      <c r="EP17" s="15" t="n"/>
      <c r="EQ17" s="546" t="n"/>
      <c r="ER17" s="546" t="n"/>
      <c r="ES17" s="17" t="n"/>
      <c r="ET17" s="15" t="n"/>
      <c r="EU17" s="546" t="n"/>
      <c r="EV17" s="546" t="n"/>
      <c r="EW17" s="17" t="n"/>
      <c r="EX17" s="31" t="n"/>
      <c r="EY17" s="349" t="n"/>
      <c r="EZ17" s="349" t="n"/>
      <c r="FA17" s="45" t="n"/>
      <c r="FB17" s="351" t="n"/>
      <c r="FC17" s="31" t="n"/>
      <c r="FD17" s="45" t="n"/>
      <c r="FE17" s="45" t="n"/>
      <c r="FF17" s="350" t="n"/>
      <c r="FG17" s="351" t="n"/>
      <c r="FH17" s="107" t="n"/>
      <c r="FI17" s="587" t="n"/>
      <c r="FJ17" s="108" t="n"/>
      <c r="FK17" s="15" t="n"/>
      <c r="FL17" s="546" t="n"/>
      <c r="FM17" s="17" t="n"/>
      <c r="FN17" s="15" t="n"/>
      <c r="FO17" s="546" t="n"/>
      <c r="FP17" s="546" t="n"/>
      <c r="FQ17" s="17" t="n"/>
      <c r="FR17" s="31" t="n"/>
      <c r="FS17" s="45" t="n"/>
      <c r="FT17" s="45" t="n"/>
      <c r="FU17" s="45" t="n"/>
      <c r="FV17" s="45" t="n"/>
      <c r="FW17" s="45" t="n"/>
      <c r="FX17" s="45" t="n"/>
      <c r="FY17" s="45" t="n"/>
      <c r="FZ17" s="45" t="n"/>
      <c r="GA17" s="45" t="n"/>
      <c r="GB17" s="45" t="n"/>
      <c r="GC17" s="351" t="n"/>
      <c r="GD17" s="606" t="n"/>
      <c r="GE17" s="65">
        <f>AVERAGE(CN17,CZ17,DM17,DF32:DG32)</f>
        <v/>
      </c>
      <c r="GF17" s="66">
        <f>AVERAGE(CO17,CP17,DA17,DB17,DC17,DD17,DH17,DI17)</f>
        <v/>
      </c>
      <c r="GG17" s="66">
        <f>AVERAGE(CR17,DE17,DN17,DO17)</f>
        <v/>
      </c>
      <c r="GH17" s="66">
        <f>AVERAGE(CQ17,CS17,DF17,DJ17)</f>
        <v/>
      </c>
      <c r="GI17" s="66">
        <f>AVERAGE(#REF!,#REF!,#REF!,#REF!,#REF!)</f>
        <v/>
      </c>
      <c r="GJ17" s="66" t="n"/>
      <c r="GK17" s="66" t="n"/>
      <c r="GL17" s="66" t="n"/>
      <c r="GM17" s="66" t="n"/>
      <c r="GN17" s="66" t="n"/>
    </row>
    <row r="18" ht="14.25" customHeight="1" s="590">
      <c r="B18" s="352" t="inlineStr">
        <is>
          <t>Class Average</t>
        </is>
      </c>
      <c r="C18" s="674" t="n"/>
      <c r="D18" s="674" t="n"/>
      <c r="E18" s="118">
        <f>AVERAGE(E7:E17)</f>
        <v/>
      </c>
      <c r="F18" s="118">
        <f>AVERAGE(F7:F17)</f>
        <v/>
      </c>
      <c r="G18" s="118">
        <f>AVERAGE(G7:G17)</f>
        <v/>
      </c>
      <c r="H18" s="118">
        <f>AVERAGE(H7:H17)</f>
        <v/>
      </c>
      <c r="I18" s="118">
        <f>AVERAGE(I7:I17)</f>
        <v/>
      </c>
      <c r="J18" s="118">
        <f>AVERAGE(J7:J17)</f>
        <v/>
      </c>
      <c r="K18" s="118">
        <f>AVERAGE(K7:K17)</f>
        <v/>
      </c>
      <c r="L18" s="675" t="n"/>
      <c r="M18" s="118">
        <f>AVERAGE(M7:M17)</f>
        <v/>
      </c>
      <c r="N18" s="118">
        <f>AVERAGE(N7:N17)</f>
        <v/>
      </c>
      <c r="O18" s="118">
        <f>AVERAGE(O7:O17)</f>
        <v/>
      </c>
      <c r="P18" s="118">
        <f>AVERAGE(P7:P17)</f>
        <v/>
      </c>
      <c r="Q18" s="118">
        <f>AVERAGE(Q7:Q17)</f>
        <v/>
      </c>
      <c r="R18" s="514">
        <f>AVERAGE(R7:R17)</f>
        <v/>
      </c>
      <c r="S18" s="118">
        <f>AVERAGE(S7:S17)</f>
        <v/>
      </c>
      <c r="T18" s="118">
        <f>AVERAGE(T7:T17)</f>
        <v/>
      </c>
      <c r="U18" s="118">
        <f>AVERAGE(U7:U17)</f>
        <v/>
      </c>
      <c r="V18" s="118">
        <f>AVERAGE(V7:V17)</f>
        <v/>
      </c>
      <c r="W18" s="118">
        <f>AVERAGE(W7:W17)</f>
        <v/>
      </c>
      <c r="X18" s="118">
        <f>AVERAGE(X7:X17)</f>
        <v/>
      </c>
      <c r="Y18" s="118">
        <f>AVERAGE(Y7:Y17)</f>
        <v/>
      </c>
      <c r="Z18" s="118">
        <f>AVERAGE(Z7:Z17)</f>
        <v/>
      </c>
      <c r="AA18" s="118" t="n"/>
      <c r="AB18" s="118">
        <f>AVERAGE(AB7:AB17)</f>
        <v/>
      </c>
      <c r="AC18" s="18">
        <f>AVERAGE(AC7:AC17)</f>
        <v/>
      </c>
      <c r="AD18" s="18">
        <f>AVERAGE(AD7:AD17)</f>
        <v/>
      </c>
      <c r="AE18" s="18">
        <f>AVERAGE(AE7:AE17)</f>
        <v/>
      </c>
      <c r="AF18" s="18">
        <f>AVERAGE(AF7:AF17)</f>
        <v/>
      </c>
      <c r="AG18" s="18">
        <f>AVERAGE(AG7:AG17)</f>
        <v/>
      </c>
      <c r="AH18" s="18">
        <f>AVERAGE(AH7:AH17)</f>
        <v/>
      </c>
      <c r="AI18" s="118">
        <f>AVERAGE(AI7:AI17)</f>
        <v/>
      </c>
      <c r="AJ18" s="118">
        <f>AVERAGE(AJ7:AJ17)</f>
        <v/>
      </c>
      <c r="AK18" s="118">
        <f>AVERAGE(AK7:AK17)</f>
        <v/>
      </c>
      <c r="AL18" s="18">
        <f>AVERAGE(AL7:AL17)</f>
        <v/>
      </c>
      <c r="AM18" s="18">
        <f>AVERAGE(AM7:AM17)</f>
        <v/>
      </c>
      <c r="AN18" s="598" t="n"/>
      <c r="AO18" s="599" t="n"/>
      <c r="AP18" s="18">
        <f>AVERAGE(AP7:AP17)</f>
        <v/>
      </c>
      <c r="AQ18" s="18">
        <f>AVERAGE(AQ7:AQ17)</f>
        <v/>
      </c>
      <c r="AR18" s="18">
        <f>AVERAGE(AR7:AR17)</f>
        <v/>
      </c>
      <c r="AS18" s="18">
        <f>AVERAGE(AS7:AS17)</f>
        <v/>
      </c>
      <c r="AT18" s="18">
        <f>AVERAGE(AT7:AT17)</f>
        <v/>
      </c>
      <c r="AU18" s="18">
        <f>AVERAGE(AU7:AU17)</f>
        <v/>
      </c>
      <c r="AV18" s="18">
        <f>AVERAGE(AV7:AV17)</f>
        <v/>
      </c>
      <c r="AW18" s="18">
        <f>AVERAGE(AW7:AW17)</f>
        <v/>
      </c>
      <c r="AX18" s="18">
        <f>AVERAGE(AX7:AX17)</f>
        <v/>
      </c>
      <c r="AY18" s="18">
        <f>AVERAGE(AY7:AY17)</f>
        <v/>
      </c>
      <c r="AZ18" s="18">
        <f>AVERAGE(AZ7:AZ17)</f>
        <v/>
      </c>
      <c r="BA18" s="18">
        <f>AVERAGE(BA7:BA17)</f>
        <v/>
      </c>
      <c r="BB18" s="18">
        <f>AVERAGE(BB7:BB17)</f>
        <v/>
      </c>
      <c r="BC18" s="18">
        <f>AVERAGE(BC7:BC17)</f>
        <v/>
      </c>
      <c r="BD18" s="18">
        <f>AVERAGE(BD7:BD17)</f>
        <v/>
      </c>
      <c r="BE18" s="18">
        <f>AVERAGE(BE7:BE17)</f>
        <v/>
      </c>
      <c r="BF18" s="18">
        <f>AVERAGE(BF7:BF17)</f>
        <v/>
      </c>
      <c r="BG18" s="18">
        <f>AVERAGE(BG7:BG17)</f>
        <v/>
      </c>
      <c r="BH18" s="18">
        <f>AVERAGE(BH7:BH17)</f>
        <v/>
      </c>
      <c r="BI18" s="18">
        <f>AVERAGE(BI7:BI17)</f>
        <v/>
      </c>
      <c r="BJ18" s="18">
        <f>AVERAGE(BJ7:BJ17)</f>
        <v/>
      </c>
      <c r="BK18" s="18">
        <f>AVERAGE(BK7:BK17)</f>
        <v/>
      </c>
      <c r="BL18" s="18">
        <f>AVERAGE(BL7:BL17)</f>
        <v/>
      </c>
      <c r="BM18" s="18">
        <f>AVERAGE(BM7:BM17)</f>
        <v/>
      </c>
      <c r="BN18" s="18">
        <f>AVERAGE(BN7:BN17)</f>
        <v/>
      </c>
      <c r="BO18" s="18">
        <f>AVERAGE(BO7:BO17)</f>
        <v/>
      </c>
      <c r="BP18" s="18">
        <f>AVERAGE(BP7:BP17)</f>
        <v/>
      </c>
      <c r="BQ18" s="18">
        <f>AVERAGE(BQ7:BQ17)</f>
        <v/>
      </c>
      <c r="BR18" s="18">
        <f>AVERAGE(BR7:BR17)</f>
        <v/>
      </c>
      <c r="BS18" s="18">
        <f>AVERAGE(BS7:BS17)</f>
        <v/>
      </c>
      <c r="BT18" s="18">
        <f>AVERAGE(BT7:BT17)</f>
        <v/>
      </c>
      <c r="BU18" s="18">
        <f>AVERAGE(BU7:BU17)</f>
        <v/>
      </c>
      <c r="BV18" s="18">
        <f>AVERAGE(BV7:BV17)</f>
        <v/>
      </c>
      <c r="BW18" s="18">
        <f>AVERAGE(BW7:BW17)</f>
        <v/>
      </c>
      <c r="BX18" s="18">
        <f>AVERAGE(BX7:BX17)</f>
        <v/>
      </c>
      <c r="BY18" s="18">
        <f>AVERAGE(BY7:BY17)</f>
        <v/>
      </c>
      <c r="BZ18" s="18">
        <f>AVERAGE(BZ7:BZ17)</f>
        <v/>
      </c>
      <c r="CA18" s="18">
        <f>AVERAGE(CA7:CA17)</f>
        <v/>
      </c>
      <c r="CB18" s="18">
        <f>AVERAGE(CB7:CB17)</f>
        <v/>
      </c>
      <c r="CC18" s="18">
        <f>AVERAGE(CC7:CC17)</f>
        <v/>
      </c>
      <c r="CD18" s="18">
        <f>AVERAGE(CD7:CD17)</f>
        <v/>
      </c>
      <c r="CE18" s="18">
        <f>AVERAGE(CE7:CE17)</f>
        <v/>
      </c>
      <c r="CF18" s="18">
        <f>AVERAGE(CF7:CF17)</f>
        <v/>
      </c>
      <c r="CG18" s="503">
        <f>AVERAGE(CG7:CG17)</f>
        <v/>
      </c>
      <c r="CH18" s="18">
        <f>AVERAGE(CH7:CH17)</f>
        <v/>
      </c>
      <c r="CI18" s="18">
        <f>AVERAGE(CI7:CI17)</f>
        <v/>
      </c>
      <c r="CJ18" s="18">
        <f>AVERAGE(CJ7:CJ17)</f>
        <v/>
      </c>
      <c r="CK18" s="18">
        <f>AVERAGE(CK7:CK17)</f>
        <v/>
      </c>
      <c r="CL18" s="18">
        <f>AVERAGE(CL7:CL17)</f>
        <v/>
      </c>
      <c r="CM18" s="18">
        <f>AVERAGE(CM7:CM17)</f>
        <v/>
      </c>
      <c r="CN18" s="35">
        <f>AVERAGE(CN7:CN17)</f>
        <v/>
      </c>
      <c r="CO18" s="35">
        <f>AVERAGE(CO7:CO17)</f>
        <v/>
      </c>
      <c r="CP18" s="35">
        <f>AVERAGE(CP7:CP17)</f>
        <v/>
      </c>
      <c r="CQ18" s="35">
        <f>AVERAGE(CQ7:CQ17)</f>
        <v/>
      </c>
      <c r="CR18" s="35">
        <f>AVERAGE(CR7:CR17)</f>
        <v/>
      </c>
      <c r="CS18" s="35">
        <f>AVERAGE(CS7:CS17)</f>
        <v/>
      </c>
      <c r="CT18" s="77">
        <f>AVERAGE(CT7:CT17)</f>
        <v/>
      </c>
      <c r="CU18" s="77">
        <f>AVERAGE(CU7:CU17)</f>
        <v/>
      </c>
      <c r="CV18" s="77">
        <f>AVERAGE(CV7:CV17)</f>
        <v/>
      </c>
      <c r="CW18" s="77">
        <f>AVERAGE(CW7:CW17)</f>
        <v/>
      </c>
      <c r="CX18" s="77">
        <f>AVERAGE(CX7:CX17)</f>
        <v/>
      </c>
      <c r="CY18" s="77">
        <f>AVERAGE(CY7:CY17)</f>
        <v/>
      </c>
      <c r="CZ18" s="77">
        <f>AVERAGE(CZ7:CZ17)</f>
        <v/>
      </c>
      <c r="DA18" s="354">
        <f>AVERAGE(DA7:DA17)</f>
        <v/>
      </c>
      <c r="DB18" s="145">
        <f>AVERAGE(DB7:DB17)</f>
        <v/>
      </c>
      <c r="DC18" s="145">
        <f>AVERAGE(DC7:DC17)</f>
        <v/>
      </c>
      <c r="DD18" s="77">
        <f>AVERAGE(DD7:DD17)</f>
        <v/>
      </c>
      <c r="DE18" s="77">
        <f>AVERAGE(DE7:DE17)</f>
        <v/>
      </c>
      <c r="DF18" s="77">
        <f>AVERAGE(DF7:DF17)</f>
        <v/>
      </c>
      <c r="DG18" s="77">
        <f>AVERAGE(DG7:DG17)</f>
        <v/>
      </c>
      <c r="DH18" s="77">
        <f>AVERAGE(DH7:DH17)</f>
        <v/>
      </c>
      <c r="DI18" s="77">
        <f>AVERAGE(DI7:DI17)</f>
        <v/>
      </c>
      <c r="DJ18" s="77">
        <f>AVERAGE(DJ7:DJ17)</f>
        <v/>
      </c>
      <c r="DK18" s="77">
        <f>AVERAGE(DK7:DK17)</f>
        <v/>
      </c>
      <c r="DL18" s="77">
        <f>AVERAGE(DL7:DL17)</f>
        <v/>
      </c>
      <c r="DM18" s="354">
        <f>AVERAGE(DM7:DM17)</f>
        <v/>
      </c>
      <c r="DN18" s="77">
        <f>AVERAGE(DN7:DN17)</f>
        <v/>
      </c>
      <c r="DO18" s="77">
        <f>AVERAGE(DO7:DO17)</f>
        <v/>
      </c>
      <c r="DP18" s="77">
        <f>AVERAGE(DP7:DP17)</f>
        <v/>
      </c>
      <c r="DQ18" s="77">
        <f>AVERAGE(DQ7:DQ17)</f>
        <v/>
      </c>
      <c r="DR18" s="77">
        <f>AVERAGE(DR7:DR17)</f>
        <v/>
      </c>
      <c r="DS18" s="78">
        <f>AVERAGE(DS7:DS17)</f>
        <v/>
      </c>
      <c r="DT18" s="79">
        <f>AVERAGE(DT7:DT17)</f>
        <v/>
      </c>
      <c r="DU18" s="79">
        <f>AVERAGE(DU7:DU17)</f>
        <v/>
      </c>
      <c r="DV18" s="79">
        <f>AVERAGE(DV7:DV17)</f>
        <v/>
      </c>
      <c r="DW18" s="94">
        <f>AVERAGE(DW7:DW17)</f>
        <v/>
      </c>
      <c r="DX18" s="35">
        <f>AVERAGE(DX7:DX17)</f>
        <v/>
      </c>
      <c r="DY18" s="35">
        <f>AVERAGE(DY7:DY17)</f>
        <v/>
      </c>
      <c r="DZ18" s="35">
        <f>AVERAGE(DZ7:DZ17)</f>
        <v/>
      </c>
      <c r="EA18" s="35">
        <f>AVERAGE(EA7:EA17)</f>
        <v/>
      </c>
      <c r="EB18" s="35">
        <f>AVERAGE(EB7:EB17)</f>
        <v/>
      </c>
      <c r="EC18" s="35">
        <f>AVERAGE(EC7:EC17)</f>
        <v/>
      </c>
      <c r="ED18" s="35">
        <f>AVERAGE(ED7:ED17)</f>
        <v/>
      </c>
      <c r="EE18" s="35">
        <f>AVERAGE(EE7:EE17)</f>
        <v/>
      </c>
      <c r="EF18" s="35">
        <f>AVERAGE(EF7:EF17)</f>
        <v/>
      </c>
      <c r="EG18" s="35">
        <f>AVERAGE(EG7:EG17)</f>
        <v/>
      </c>
      <c r="EH18" s="35">
        <f>AVERAGE(EH7:EH17)</f>
        <v/>
      </c>
      <c r="EI18" s="35">
        <f>AVERAGE(EI7:EI17)</f>
        <v/>
      </c>
      <c r="EJ18" s="35">
        <f>AVERAGE(EJ7:EJ17)</f>
        <v/>
      </c>
      <c r="EK18" s="35">
        <f>AVERAGE(EK7:EK17)</f>
        <v/>
      </c>
      <c r="EL18" s="35">
        <f>AVERAGE(EL7:EL17)</f>
        <v/>
      </c>
      <c r="EM18" s="35">
        <f>AVERAGE(EM7:EM17)</f>
        <v/>
      </c>
      <c r="EN18" s="35">
        <f>AVERAGE(EN7:EN17)</f>
        <v/>
      </c>
      <c r="EO18" s="35">
        <f>AVERAGE(EO7:EO17)</f>
        <v/>
      </c>
      <c r="EP18" s="18">
        <f>AVERAGE(EP7:EP17)</f>
        <v/>
      </c>
      <c r="EQ18" s="18">
        <f>AVERAGE(EQ7:EQ17)</f>
        <v/>
      </c>
      <c r="ER18" s="18">
        <f>AVERAGE(ER7:ER17)</f>
        <v/>
      </c>
      <c r="ES18" s="18">
        <f>AVERAGE(ES7:ES17)</f>
        <v/>
      </c>
      <c r="ET18" s="18">
        <f>AVERAGE(ET7:ET17)</f>
        <v/>
      </c>
      <c r="EU18" s="18">
        <f>AVERAGE(EU7:EU17)</f>
        <v/>
      </c>
      <c r="EV18" s="18">
        <f>AVERAGE(EV7:EV17)</f>
        <v/>
      </c>
      <c r="EW18" s="18">
        <f>AVERAGE(EW7:EW17)</f>
        <v/>
      </c>
      <c r="EX18" s="35">
        <f>AVERAGE(EX7:EX17)</f>
        <v/>
      </c>
      <c r="EY18" s="35">
        <f>AVERAGE(EY7:EY17)</f>
        <v/>
      </c>
      <c r="EZ18" s="35">
        <f>AVERAGE(EZ7:EZ17)</f>
        <v/>
      </c>
      <c r="FA18" s="35">
        <f>AVERAGE(FA7:FA17)</f>
        <v/>
      </c>
      <c r="FB18" s="35">
        <f>AVERAGE(FB7:FB17)</f>
        <v/>
      </c>
      <c r="FC18" s="35">
        <f>AVERAGE(FC7:FC17)</f>
        <v/>
      </c>
      <c r="FD18" s="35">
        <f>AVERAGE(FD7:FD17)</f>
        <v/>
      </c>
      <c r="FE18" s="35">
        <f>AVERAGE(FE7:FE17)</f>
        <v/>
      </c>
      <c r="FF18" s="35">
        <f>AVERAGE(FF7:FF17)</f>
        <v/>
      </c>
      <c r="FG18" s="35">
        <f>AVERAGE(FG7:FG17)</f>
        <v/>
      </c>
      <c r="FH18" s="77">
        <f>AVERAGE(FH7:FH17)</f>
        <v/>
      </c>
      <c r="FI18" s="77">
        <f>AVERAGE(FI7:FI17)</f>
        <v/>
      </c>
      <c r="FJ18" s="77">
        <f>AVERAGE(FJ7:FJ17)</f>
        <v/>
      </c>
      <c r="FK18" s="35">
        <f>AVERAGE(FK7:FK17)</f>
        <v/>
      </c>
      <c r="FL18" s="35">
        <f>AVERAGE(FL7:FL17)</f>
        <v/>
      </c>
      <c r="FM18" s="59">
        <f>AVERAGE(FM7:FM17)</f>
        <v/>
      </c>
      <c r="FN18" s="18">
        <f>AVERAGE(FN7:FN17)</f>
        <v/>
      </c>
      <c r="FO18" s="18">
        <f>AVERAGE(FO7:FO17)</f>
        <v/>
      </c>
      <c r="FP18" s="18">
        <f>AVERAGE(FP7:FP17)</f>
        <v/>
      </c>
      <c r="FQ18" s="18">
        <f>AVERAGE(FQ7:FQ17)</f>
        <v/>
      </c>
      <c r="FR18" s="59">
        <f>AVERAGE(FR7:FR17)</f>
        <v/>
      </c>
      <c r="FS18" s="59">
        <f>AVERAGE(FS7:FS17)</f>
        <v/>
      </c>
      <c r="FT18" s="59">
        <f>AVERAGE(FT7:FT17)</f>
        <v/>
      </c>
      <c r="FU18" s="59">
        <f>AVERAGE(FU7:FU17)</f>
        <v/>
      </c>
      <c r="FV18" s="59">
        <f>AVERAGE(FV7:FV17)</f>
        <v/>
      </c>
      <c r="FW18" s="59">
        <f>AVERAGE(FW7:FW17)</f>
        <v/>
      </c>
      <c r="FX18" s="59">
        <f>AVERAGE(FX7:FX17)</f>
        <v/>
      </c>
      <c r="FY18" s="59">
        <f>AVERAGE(FY7:FY17)</f>
        <v/>
      </c>
      <c r="FZ18" s="59">
        <f>AVERAGE(FZ7:FZ17)</f>
        <v/>
      </c>
      <c r="GA18" s="59">
        <f>AVERAGE(GA7:GA17)</f>
        <v/>
      </c>
      <c r="GB18" s="59">
        <f>AVERAGE(GB7:GB17)</f>
        <v/>
      </c>
      <c r="GC18" s="59">
        <f>AVERAGE(GC7:GC17)</f>
        <v/>
      </c>
      <c r="GD18" s="652" t="n"/>
      <c r="GE18" s="67">
        <f>AVERAGE(GE7:GE17)</f>
        <v/>
      </c>
      <c r="GF18" s="67">
        <f>AVERAGE(GF7:GF17)</f>
        <v/>
      </c>
      <c r="GG18" s="67">
        <f>AVERAGE(GG7:GG17)</f>
        <v/>
      </c>
      <c r="GH18" s="67">
        <f>AVERAGE(GH7:GH17)</f>
        <v/>
      </c>
      <c r="GI18" s="67">
        <f>AVERAGE(GI7:GI17)</f>
        <v/>
      </c>
      <c r="GJ18" s="67" t="n"/>
      <c r="GK18" s="67">
        <f>AVERAGE(GK7:GK17)</f>
        <v/>
      </c>
      <c r="GL18" s="67">
        <f>AVERAGE(GL7:GL17)</f>
        <v/>
      </c>
      <c r="GM18" s="67" t="n"/>
      <c r="GN18" s="67">
        <f>AVERAGE(GN7:GN17)</f>
        <v/>
      </c>
    </row>
  </sheetData>
  <mergeCells count="191">
    <mergeCell ref="AI15:AK15"/>
    <mergeCell ref="BG3:BK3"/>
    <mergeCell ref="AS5:AT5"/>
    <mergeCell ref="BO6:BP6"/>
    <mergeCell ref="AX2:BR2"/>
    <mergeCell ref="AC13:AD13"/>
    <mergeCell ref="Z3:AB3"/>
    <mergeCell ref="CF5:CG5"/>
    <mergeCell ref="CR5:CS5"/>
    <mergeCell ref="AI7:AK7"/>
    <mergeCell ref="AV17:AW17"/>
    <mergeCell ref="I16:J16"/>
    <mergeCell ref="AC15:AD15"/>
    <mergeCell ref="AV11:AW11"/>
    <mergeCell ref="FK3:FM3"/>
    <mergeCell ref="Z2:AW2"/>
    <mergeCell ref="DK4:DL4"/>
    <mergeCell ref="AX3:AZ3"/>
    <mergeCell ref="AC8:AD8"/>
    <mergeCell ref="AE8:AF8"/>
    <mergeCell ref="AE17:AF17"/>
    <mergeCell ref="DP5:DQ5"/>
    <mergeCell ref="GE4:GE6"/>
    <mergeCell ref="DO4:DQ4"/>
    <mergeCell ref="GG4:GG6"/>
    <mergeCell ref="AC10:AD10"/>
    <mergeCell ref="AE10:AF10"/>
    <mergeCell ref="R14:T14"/>
    <mergeCell ref="AI17:AK17"/>
    <mergeCell ref="Z6:AB6"/>
    <mergeCell ref="GI4:GI6"/>
    <mergeCell ref="GK4:GK6"/>
    <mergeCell ref="AC9:AD9"/>
    <mergeCell ref="AE9:AF9"/>
    <mergeCell ref="AV15:AW15"/>
    <mergeCell ref="M5:O5"/>
    <mergeCell ref="AC11:AD11"/>
    <mergeCell ref="AI9:AK9"/>
    <mergeCell ref="AE11:AF11"/>
    <mergeCell ref="AG5:AH5"/>
    <mergeCell ref="I13:J13"/>
    <mergeCell ref="K13:L13"/>
    <mergeCell ref="EX2:GC2"/>
    <mergeCell ref="EX5:EZ5"/>
    <mergeCell ref="I6:J6"/>
    <mergeCell ref="AV7:AW7"/>
    <mergeCell ref="AI11:AK11"/>
    <mergeCell ref="I15:J15"/>
    <mergeCell ref="FN3:FQ3"/>
    <mergeCell ref="EY9:EZ9"/>
    <mergeCell ref="AV16:AW16"/>
    <mergeCell ref="BM6:BN6"/>
    <mergeCell ref="K15:L15"/>
    <mergeCell ref="E5:F5"/>
    <mergeCell ref="GE1:GN2"/>
    <mergeCell ref="FH6:FJ6"/>
    <mergeCell ref="BA3:BC3"/>
    <mergeCell ref="BL3:BR3"/>
    <mergeCell ref="EX3:FB3"/>
    <mergeCell ref="U3:W3"/>
    <mergeCell ref="BQ5:BR5"/>
    <mergeCell ref="AC12:AD12"/>
    <mergeCell ref="AE12:AF12"/>
    <mergeCell ref="FF6:FG6"/>
    <mergeCell ref="FA5:FB5"/>
    <mergeCell ref="GH4:GH6"/>
    <mergeCell ref="R3:T3"/>
    <mergeCell ref="E3:H3"/>
    <mergeCell ref="GJ4:GJ6"/>
    <mergeCell ref="AV8:AW8"/>
    <mergeCell ref="I7:J7"/>
    <mergeCell ref="CT3:CY3"/>
    <mergeCell ref="R17:T17"/>
    <mergeCell ref="AC14:AD14"/>
    <mergeCell ref="GD1:GD18"/>
    <mergeCell ref="AE14:AF14"/>
    <mergeCell ref="EY6:EZ6"/>
    <mergeCell ref="X3:Y3"/>
    <mergeCell ref="DK6:DL6"/>
    <mergeCell ref="BG5:BJ5"/>
    <mergeCell ref="BA6:BB6"/>
    <mergeCell ref="DG3:DL3"/>
    <mergeCell ref="BY3:CB3"/>
    <mergeCell ref="R9:T9"/>
    <mergeCell ref="I8:J8"/>
    <mergeCell ref="AI8:AK8"/>
    <mergeCell ref="AV9:AW9"/>
    <mergeCell ref="I17:J17"/>
    <mergeCell ref="A1:A18"/>
    <mergeCell ref="K17:L17"/>
    <mergeCell ref="BS3:BX3"/>
    <mergeCell ref="CH3:CJ3"/>
    <mergeCell ref="DR5:EC6"/>
    <mergeCell ref="R11:T11"/>
    <mergeCell ref="DD3:DF3"/>
    <mergeCell ref="I10:J10"/>
    <mergeCell ref="AI10:AK10"/>
    <mergeCell ref="K10:L10"/>
    <mergeCell ref="R13:T13"/>
    <mergeCell ref="AP5:AR5"/>
    <mergeCell ref="AL3:AO3"/>
    <mergeCell ref="K6:L6"/>
    <mergeCell ref="I9:J9"/>
    <mergeCell ref="FC3:FG3"/>
    <mergeCell ref="DD5:DF5"/>
    <mergeCell ref="R6:T6"/>
    <mergeCell ref="AC17:AD17"/>
    <mergeCell ref="CZ3:DC3"/>
    <mergeCell ref="R15:T15"/>
    <mergeCell ref="K16:L16"/>
    <mergeCell ref="AP3:AT3"/>
    <mergeCell ref="FF5:FG5"/>
    <mergeCell ref="GM4:GM6"/>
    <mergeCell ref="CN5:CQ5"/>
    <mergeCell ref="K9:L9"/>
    <mergeCell ref="AX6:AY6"/>
    <mergeCell ref="K5:L5"/>
    <mergeCell ref="I11:J11"/>
    <mergeCell ref="R12:T12"/>
    <mergeCell ref="CN3:CS3"/>
    <mergeCell ref="K11:L11"/>
    <mergeCell ref="E2:Y2"/>
    <mergeCell ref="CK6:CL6"/>
    <mergeCell ref="EP6:ES6"/>
    <mergeCell ref="AI3:AK3"/>
    <mergeCell ref="AI12:AK12"/>
    <mergeCell ref="CK3:CM3"/>
    <mergeCell ref="AU3:AW3"/>
    <mergeCell ref="K8:L8"/>
    <mergeCell ref="AV10:AW10"/>
    <mergeCell ref="AI14:AK14"/>
    <mergeCell ref="AE13:AF13"/>
    <mergeCell ref="CC5:CE5"/>
    <mergeCell ref="FF13:FG13"/>
    <mergeCell ref="EP3:EW3"/>
    <mergeCell ref="FF7:FG7"/>
    <mergeCell ref="M3:Q3"/>
    <mergeCell ref="AI13:AK13"/>
    <mergeCell ref="K7:L7"/>
    <mergeCell ref="GF4:GF6"/>
    <mergeCell ref="AE15:AF15"/>
    <mergeCell ref="CC3:CG3"/>
    <mergeCell ref="R7:T7"/>
    <mergeCell ref="P5:Q5"/>
    <mergeCell ref="FC5:FE5"/>
    <mergeCell ref="DG5:DL5"/>
    <mergeCell ref="AC3:AH3"/>
    <mergeCell ref="DM5:DO5"/>
    <mergeCell ref="BD3:BF3"/>
    <mergeCell ref="K18:L18"/>
    <mergeCell ref="BM5:BP5"/>
    <mergeCell ref="AC7:AD7"/>
    <mergeCell ref="AE7:AF7"/>
    <mergeCell ref="AC16:AD16"/>
    <mergeCell ref="AE16:AF16"/>
    <mergeCell ref="DM3:DQ3"/>
    <mergeCell ref="ED3:EO3"/>
    <mergeCell ref="AV12:AW12"/>
    <mergeCell ref="AI16:AK16"/>
    <mergeCell ref="CZ5:DC5"/>
    <mergeCell ref="FF9:FG9"/>
    <mergeCell ref="EY13:EZ13"/>
    <mergeCell ref="EY7:EZ7"/>
    <mergeCell ref="AV14:AW14"/>
    <mergeCell ref="AV13:AW13"/>
    <mergeCell ref="I12:J12"/>
    <mergeCell ref="K12:L12"/>
    <mergeCell ref="CN2:EW2"/>
    <mergeCell ref="FH3:FJ3"/>
    <mergeCell ref="AM18:AO18"/>
    <mergeCell ref="BS2:CM2"/>
    <mergeCell ref="G5:H5"/>
    <mergeCell ref="DR3:EC3"/>
    <mergeCell ref="I5:J5"/>
    <mergeCell ref="FR3:GC3"/>
    <mergeCell ref="R8:T8"/>
    <mergeCell ref="I14:J14"/>
    <mergeCell ref="K14:L14"/>
    <mergeCell ref="B2:B6"/>
    <mergeCell ref="D2:D6"/>
    <mergeCell ref="GL4:GL6"/>
    <mergeCell ref="AC6:AD6"/>
    <mergeCell ref="GN4:GN6"/>
    <mergeCell ref="I3:L3"/>
    <mergeCell ref="AE6:AF6"/>
    <mergeCell ref="R10:T10"/>
    <mergeCell ref="CN1:GC1"/>
    <mergeCell ref="B18:D18"/>
    <mergeCell ref="CA5:CB5"/>
    <mergeCell ref="R16:T16"/>
    <mergeCell ref="AI6:AK6"/>
  </mergeCells>
  <conditionalFormatting sqref="R7 DK7:DL7 DK9:DL17 DL8">
    <cfRule type="cellIs" priority="168" operator="lessThan" dxfId="0">
      <formula>5</formula>
    </cfRule>
  </conditionalFormatting>
  <conditionalFormatting sqref="AL7:AO7">
    <cfRule type="cellIs" priority="99" operator="lessThan" dxfId="0">
      <formula>5</formula>
    </cfRule>
  </conditionalFormatting>
  <conditionalFormatting sqref="I8">
    <cfRule type="cellIs" priority="146" operator="lessThan" dxfId="0">
      <formula>5</formula>
    </cfRule>
  </conditionalFormatting>
  <conditionalFormatting sqref="R8">
    <cfRule type="cellIs" priority="176" operator="lessThan" dxfId="0">
      <formula>5</formula>
    </cfRule>
  </conditionalFormatting>
  <conditionalFormatting sqref="AL8:AO8">
    <cfRule type="cellIs" priority="103" operator="lessThan" dxfId="0">
      <formula>5</formula>
    </cfRule>
  </conditionalFormatting>
  <conditionalFormatting sqref="CO8:CP8">
    <cfRule type="cellIs" priority="90" operator="lessThan" dxfId="0">
      <formula>5</formula>
    </cfRule>
  </conditionalFormatting>
  <conditionalFormatting sqref="I9">
    <cfRule type="cellIs" priority="145" operator="lessThan" dxfId="0">
      <formula>5</formula>
    </cfRule>
  </conditionalFormatting>
  <conditionalFormatting sqref="R9">
    <cfRule type="cellIs" priority="171" operator="lessThan" dxfId="0">
      <formula>5</formula>
    </cfRule>
  </conditionalFormatting>
  <conditionalFormatting sqref="AL9:AO9">
    <cfRule type="cellIs" priority="100" operator="lessThan" dxfId="0">
      <formula>5</formula>
    </cfRule>
  </conditionalFormatting>
  <conditionalFormatting sqref="I10">
    <cfRule type="cellIs" priority="144" operator="lessThan" dxfId="0">
      <formula>5</formula>
    </cfRule>
  </conditionalFormatting>
  <conditionalFormatting sqref="R10">
    <cfRule type="cellIs" priority="170" operator="lessThan" dxfId="0">
      <formula>5</formula>
    </cfRule>
  </conditionalFormatting>
  <conditionalFormatting sqref="AL10:AO10">
    <cfRule type="cellIs" priority="102" operator="lessThan" dxfId="0">
      <formula>5</formula>
    </cfRule>
  </conditionalFormatting>
  <conditionalFormatting sqref="CO10:CP10">
    <cfRule type="cellIs" priority="91" operator="lessThan" dxfId="0">
      <formula>5</formula>
    </cfRule>
  </conditionalFormatting>
  <conditionalFormatting sqref="I11">
    <cfRule type="cellIs" priority="143" operator="lessThan" dxfId="0">
      <formula>5</formula>
    </cfRule>
  </conditionalFormatting>
  <conditionalFormatting sqref="R11">
    <cfRule type="cellIs" priority="169" operator="lessThan" dxfId="0">
      <formula>5</formula>
    </cfRule>
  </conditionalFormatting>
  <conditionalFormatting sqref="CO11:CP11">
    <cfRule type="cellIs" priority="92" operator="lessThan" dxfId="0">
      <formula>5</formula>
    </cfRule>
  </conditionalFormatting>
  <conditionalFormatting sqref="I12">
    <cfRule type="cellIs" priority="142" operator="lessThan" dxfId="0">
      <formula>5</formula>
    </cfRule>
  </conditionalFormatting>
  <conditionalFormatting sqref="CO12:CP12">
    <cfRule type="cellIs" priority="93" operator="lessThan" dxfId="0">
      <formula>5</formula>
    </cfRule>
  </conditionalFormatting>
  <conditionalFormatting sqref="I13">
    <cfRule type="cellIs" priority="141" operator="lessThan" dxfId="0">
      <formula>5</formula>
    </cfRule>
  </conditionalFormatting>
  <conditionalFormatting sqref="R13">
    <cfRule type="cellIs" priority="175" operator="lessThan" dxfId="0">
      <formula>5</formula>
    </cfRule>
  </conditionalFormatting>
  <conditionalFormatting sqref="I14">
    <cfRule type="cellIs" priority="140" operator="lessThan" dxfId="0">
      <formula>5</formula>
    </cfRule>
  </conditionalFormatting>
  <conditionalFormatting sqref="R14">
    <cfRule type="cellIs" priority="174" operator="lessThan" dxfId="0">
      <formula>5</formula>
    </cfRule>
  </conditionalFormatting>
  <conditionalFormatting sqref="I15">
    <cfRule type="cellIs" priority="139" operator="lessThan" dxfId="0">
      <formula>5</formula>
    </cfRule>
  </conditionalFormatting>
  <conditionalFormatting sqref="R15">
    <cfRule type="cellIs" priority="173" operator="lessThan" dxfId="0">
      <formula>5</formula>
    </cfRule>
  </conditionalFormatting>
  <conditionalFormatting sqref="CO15:CP15">
    <cfRule type="cellIs" priority="89" operator="lessThan" dxfId="0">
      <formula>5</formula>
    </cfRule>
  </conditionalFormatting>
  <conditionalFormatting sqref="I16">
    <cfRule type="cellIs" priority="138" operator="lessThan" dxfId="0">
      <formula>5</formula>
    </cfRule>
  </conditionalFormatting>
  <conditionalFormatting sqref="R16">
    <cfRule type="cellIs" priority="172" operator="lessThan" dxfId="0">
      <formula>5</formula>
    </cfRule>
  </conditionalFormatting>
  <conditionalFormatting sqref="CO16:CP16">
    <cfRule type="cellIs" priority="88" operator="lessThan" dxfId="0">
      <formula>5</formula>
    </cfRule>
  </conditionalFormatting>
  <conditionalFormatting sqref="I17">
    <cfRule type="cellIs" priority="137" operator="lessThan" dxfId="0">
      <formula>5</formula>
    </cfRule>
  </conditionalFormatting>
  <conditionalFormatting sqref="R17">
    <cfRule type="cellIs" priority="191" operator="lessThan" dxfId="0">
      <formula>5</formula>
    </cfRule>
  </conditionalFormatting>
  <conditionalFormatting sqref="CO17:CP17">
    <cfRule type="cellIs" priority="87" operator="lessThan" dxfId="0">
      <formula>5</formula>
    </cfRule>
  </conditionalFormatting>
  <conditionalFormatting sqref="DM18:DQ18">
    <cfRule type="cellIs" priority="402" operator="lessThan" dxfId="0">
      <formula>5</formula>
    </cfRule>
  </conditionalFormatting>
  <conditionalFormatting sqref="FN18">
    <cfRule type="cellIs" priority="359" operator="lessThan" dxfId="0">
      <formula>5</formula>
    </cfRule>
  </conditionalFormatting>
  <conditionalFormatting sqref="FO18">
    <cfRule type="cellIs" priority="358" operator="lessThan" dxfId="0">
      <formula>5</formula>
    </cfRule>
  </conditionalFormatting>
  <conditionalFormatting sqref="FP18">
    <cfRule type="cellIs" priority="357" operator="lessThan" dxfId="0">
      <formula>5</formula>
    </cfRule>
  </conditionalFormatting>
  <conditionalFormatting sqref="FQ18">
    <cfRule type="cellIs" priority="356" operator="lessThan" dxfId="0">
      <formula>5</formula>
    </cfRule>
  </conditionalFormatting>
  <conditionalFormatting sqref="K7:K17">
    <cfRule type="cellIs" priority="204" operator="lessThan" dxfId="0">
      <formula>5</formula>
    </cfRule>
  </conditionalFormatting>
  <conditionalFormatting sqref="CJ7:CJ17">
    <cfRule type="cellIs" priority="232" operator="lessThan" dxfId="0">
      <formula>5</formula>
    </cfRule>
  </conditionalFormatting>
  <conditionalFormatting sqref="DM7:DM8">
    <cfRule type="cellIs" priority="275" operator="lessThan" dxfId="0">
      <formula>5</formula>
    </cfRule>
  </conditionalFormatting>
  <conditionalFormatting sqref="DM9:DM12">
    <cfRule type="cellIs" priority="269" operator="lessThan" dxfId="0">
      <formula>5</formula>
    </cfRule>
  </conditionalFormatting>
  <conditionalFormatting sqref="DM13:DM17">
    <cfRule type="cellIs" priority="263" operator="lessThan" dxfId="0">
      <formula>5</formula>
    </cfRule>
  </conditionalFormatting>
  <conditionalFormatting sqref="DN7:DN8">
    <cfRule type="cellIs" priority="273" operator="lessThan" dxfId="0">
      <formula>5</formula>
    </cfRule>
  </conditionalFormatting>
  <conditionalFormatting sqref="DN9:DN12">
    <cfRule type="cellIs" priority="267" operator="lessThan" dxfId="0">
      <formula>5</formula>
    </cfRule>
  </conditionalFormatting>
  <conditionalFormatting sqref="DN13:DN17">
    <cfRule type="cellIs" priority="261" operator="lessThan" dxfId="0">
      <formula>5</formula>
    </cfRule>
  </conditionalFormatting>
  <conditionalFormatting sqref="DO7:DO8">
    <cfRule type="cellIs" priority="272" operator="lessThan" dxfId="0">
      <formula>5</formula>
    </cfRule>
  </conditionalFormatting>
  <conditionalFormatting sqref="DO9:DO12">
    <cfRule type="cellIs" priority="266" operator="lessThan" dxfId="0">
      <formula>5</formula>
    </cfRule>
  </conditionalFormatting>
  <conditionalFormatting sqref="DO13:DO17">
    <cfRule type="cellIs" priority="260" operator="lessThan" dxfId="0">
      <formula>5</formula>
    </cfRule>
  </conditionalFormatting>
  <conditionalFormatting sqref="DP7:DP8">
    <cfRule type="cellIs" priority="271" operator="lessThan" dxfId="0">
      <formula>5</formula>
    </cfRule>
  </conditionalFormatting>
  <conditionalFormatting sqref="DP9:DP12">
    <cfRule type="cellIs" priority="265" operator="lessThan" dxfId="0">
      <formula>5</formula>
    </cfRule>
  </conditionalFormatting>
  <conditionalFormatting sqref="DP13:DP17">
    <cfRule type="cellIs" priority="259" operator="lessThan" dxfId="0">
      <formula>5</formula>
    </cfRule>
  </conditionalFormatting>
  <conditionalFormatting sqref="DQ7:DQ8">
    <cfRule type="cellIs" priority="270" operator="lessThan" dxfId="0">
      <formula>5</formula>
    </cfRule>
  </conditionalFormatting>
  <conditionalFormatting sqref="DQ9:DQ12">
    <cfRule type="cellIs" priority="264" operator="lessThan" dxfId="0">
      <formula>5</formula>
    </cfRule>
  </conditionalFormatting>
  <conditionalFormatting sqref="DQ13:DQ17">
    <cfRule type="cellIs" priority="258" operator="lessThan" dxfId="0">
      <formula>5</formula>
    </cfRule>
  </conditionalFormatting>
  <conditionalFormatting sqref="FM7:FM17">
    <cfRule type="cellIs" priority="396" operator="lessThan" dxfId="0">
      <formula>5</formula>
    </cfRule>
  </conditionalFormatting>
  <conditionalFormatting sqref="E7:I7 E8:H17 M7:N17 O7:Q11 O12:R12 O13:Q17">
    <cfRule type="cellIs" priority="195" operator="lessThan" dxfId="0">
      <formula>5</formula>
    </cfRule>
  </conditionalFormatting>
  <conditionalFormatting sqref="E18:K18 M18:AM18 Z7:AC17 AE7:AE17 AG7:AI17 AP7:AV17 AP18:CM18 AX7:BQ17 BT7:CI17 CK7:CM17 EX7:EY17 EX18:FG18 FA7:FF17">
    <cfRule type="cellIs" priority="404" operator="lessThan" dxfId="0">
      <formula>5</formula>
    </cfRule>
  </conditionalFormatting>
  <conditionalFormatting sqref="U7:Y17">
    <cfRule type="cellIs" priority="198" operator="lessThan" dxfId="0">
      <formula>5</formula>
    </cfRule>
  </conditionalFormatting>
  <conditionalFormatting sqref="BR7:BS17">
    <cfRule type="cellIs" priority="233" operator="lessThan" dxfId="0">
      <formula>5</formula>
    </cfRule>
  </conditionalFormatting>
  <conditionalFormatting sqref="CN7:CP7 CN8 CN9:CP9 CN10:CN12 CN13:CP13 CN14:CO14 CN15:CN18 CO18:CS18 CR14:CS14">
    <cfRule type="cellIs" priority="399" operator="lessThan" dxfId="0">
      <formula>5</formula>
    </cfRule>
  </conditionalFormatting>
  <conditionalFormatting sqref="CT7:CY17 CT18:DL18">
    <cfRule type="cellIs" priority="403" operator="lessThan" dxfId="0">
      <formula>5</formula>
    </cfRule>
  </conditionalFormatting>
  <conditionalFormatting sqref="DR7:EW18">
    <cfRule type="cellIs" priority="401" operator="lessThan" dxfId="0">
      <formula>5</formula>
    </cfRule>
  </conditionalFormatting>
  <conditionalFormatting sqref="FH7:FJ17 FH18:FM18 FR7:GC18">
    <cfRule type="cellIs" priority="400" operator="lessThan" dxfId="0">
      <formula>5</formula>
    </cfRule>
  </conditionalFormatting>
  <conditionalFormatting sqref="FK7:FL17">
    <cfRule type="cellIs" priority="397" operator="lessThan" dxfId="0">
      <formula>5</formula>
    </cfRule>
  </conditionalFormatting>
  <conditionalFormatting sqref="FN7:FQ17">
    <cfRule type="cellIs" priority="398" operator="lessThan" dxfId="0">
      <formula>5</formula>
    </cfRule>
  </conditionalFormatting>
  <conditionalFormatting sqref="AL11:AO17">
    <cfRule type="cellIs" priority="101" operator="lessThan" dxfId="0">
      <formula>5</formula>
    </cfRule>
  </conditionalFormatting>
  <conditionalFormatting sqref="CZ15:DB15">
    <cfRule type="cellIs" priority="291" operator="lessThan" dxfId="0">
      <formula>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14"/>
  <sheetViews>
    <sheetView topLeftCell="V3" zoomScale="40" zoomScaleNormal="40" workbookViewId="0">
      <selection activeCell="AF14" sqref="AF14:AG14"/>
    </sheetView>
  </sheetViews>
  <sheetFormatPr baseColWidth="8" defaultColWidth="9.125" defaultRowHeight="13.5" customHeight="1"/>
  <cols>
    <col width="18.5" customWidth="1" style="590" min="3" max="3"/>
    <col width="26.875" customWidth="1" style="590" min="4" max="4"/>
    <col width="9.125" customWidth="1" style="590" min="5" max="13"/>
    <col width="6.75" customWidth="1" style="590" min="14" max="16"/>
    <col width="7" customWidth="1" style="590" min="17" max="18"/>
    <col width="9.125" customWidth="1" style="590" min="19" max="30"/>
    <col width="7" customWidth="1" style="590" min="31" max="33"/>
    <col hidden="1" width="9.125" customWidth="1" style="590" min="39" max="70"/>
  </cols>
  <sheetData>
    <row r="1" ht="25.5" customHeight="1" s="590">
      <c r="A1" s="337" t="inlineStr">
        <is>
          <t>AI-SP-22</t>
        </is>
      </c>
      <c r="B1" s="1" t="n"/>
      <c r="C1" s="1" t="n"/>
      <c r="D1" s="1" t="n"/>
      <c r="E1" s="386" t="n"/>
      <c r="BR1" s="591" t="n"/>
      <c r="BS1" s="592" t="inlineStr">
        <is>
          <t>Attainment of GAs</t>
        </is>
      </c>
      <c r="BT1" s="336" t="inlineStr">
        <is>
          <t>Attainment of Graduate Attribute</t>
        </is>
      </c>
    </row>
    <row r="2" ht="24" customHeight="1" s="590">
      <c r="B2" s="671" t="inlineStr">
        <is>
          <t>Sr. No.</t>
        </is>
      </c>
      <c r="C2" s="341" t="n"/>
      <c r="D2" s="593" t="inlineStr">
        <is>
          <t>Student Name</t>
        </is>
      </c>
      <c r="E2" s="389" t="inlineStr">
        <is>
          <t>Semester 8</t>
        </is>
      </c>
      <c r="F2" s="605" t="n"/>
      <c r="G2" s="605" t="n"/>
      <c r="H2" s="605" t="n"/>
      <c r="I2" s="605" t="n"/>
      <c r="J2" s="605" t="n"/>
      <c r="K2" s="605" t="n"/>
      <c r="L2" s="605" t="n"/>
      <c r="M2" s="605" t="n"/>
      <c r="N2" s="605" t="n"/>
      <c r="O2" s="605" t="n"/>
      <c r="P2" s="605" t="n"/>
      <c r="Q2" s="605" t="n"/>
      <c r="R2" s="605" t="n"/>
      <c r="S2" s="605" t="n"/>
      <c r="T2" s="605" t="n"/>
      <c r="U2" s="605" t="n"/>
      <c r="V2" s="605" t="n"/>
      <c r="W2" s="605" t="n"/>
      <c r="X2" s="605" t="n"/>
      <c r="Y2" s="605" t="n"/>
      <c r="Z2" s="605" t="n"/>
      <c r="AA2" s="605" t="n"/>
      <c r="AB2" s="605" t="n"/>
      <c r="AC2" s="605" t="n"/>
      <c r="AD2" s="605" t="n"/>
      <c r="AE2" s="3" t="n"/>
      <c r="AF2" s="3" t="n"/>
      <c r="AG2" s="3" t="n"/>
      <c r="AH2" s="3" t="n"/>
      <c r="AI2" s="3" t="n"/>
      <c r="AJ2" s="3" t="n"/>
      <c r="AK2" s="3" t="n"/>
      <c r="AL2" s="3" t="n"/>
      <c r="AM2" s="390" t="inlineStr">
        <is>
          <t>Semester - 8</t>
        </is>
      </c>
      <c r="BS2" s="606" t="n"/>
      <c r="BT2" s="607" t="n"/>
      <c r="BU2" s="607" t="n"/>
      <c r="BV2" s="607" t="n"/>
      <c r="BW2" s="607" t="n"/>
      <c r="BX2" s="607" t="n"/>
      <c r="BY2" s="607" t="n"/>
      <c r="BZ2" s="607" t="n"/>
      <c r="CA2" s="607" t="n"/>
      <c r="CB2" s="607" t="n"/>
      <c r="CC2" s="607" t="n"/>
    </row>
    <row r="3" ht="51" customHeight="1" s="590">
      <c r="B3" s="606" t="n"/>
      <c r="C3" s="342" t="n"/>
      <c r="D3" s="608" t="n"/>
      <c r="E3" s="636" t="inlineStr">
        <is>
          <t xml:space="preserve">Deep Learning </t>
        </is>
      </c>
      <c r="F3" s="609" t="n"/>
      <c r="G3" s="609" t="n"/>
      <c r="H3" s="609" t="n"/>
      <c r="I3" s="609" t="n"/>
      <c r="J3" s="611" t="n"/>
      <c r="K3" s="405" t="inlineStr">
        <is>
          <t>Artificial Intelligence for Robotics</t>
        </is>
      </c>
      <c r="L3" s="609" t="n"/>
      <c r="M3" s="611" t="n"/>
      <c r="N3" s="637" t="inlineStr">
        <is>
          <t xml:space="preserve">Ethics and Social Responsibility </t>
        </is>
      </c>
      <c r="O3" s="609" t="n"/>
      <c r="P3" s="609" t="n"/>
      <c r="Q3" s="609" t="n"/>
      <c r="R3" s="611" t="n"/>
      <c r="S3" s="638" t="inlineStr">
        <is>
          <t>Final Year Project - II</t>
        </is>
      </c>
      <c r="T3" s="609" t="n"/>
      <c r="U3" s="609" t="n"/>
      <c r="V3" s="609" t="n"/>
      <c r="W3" s="609" t="n"/>
      <c r="X3" s="609" t="n"/>
      <c r="Y3" s="609" t="n"/>
      <c r="Z3" s="609" t="n"/>
      <c r="AA3" s="609" t="n"/>
      <c r="AB3" s="609" t="n"/>
      <c r="AC3" s="609" t="n"/>
      <c r="AD3" s="611" t="n"/>
      <c r="AE3" s="639" t="inlineStr">
        <is>
          <t>Electives III-  Security and Privacy</t>
        </is>
      </c>
      <c r="AF3" s="623" t="n"/>
      <c r="AG3" s="623" t="n"/>
      <c r="AH3" s="624" t="n"/>
      <c r="AI3" s="639" t="inlineStr">
        <is>
          <t xml:space="preserve">Socialogy </t>
        </is>
      </c>
      <c r="AJ3" s="623" t="n"/>
      <c r="AK3" s="623" t="n"/>
      <c r="AL3" s="624" t="n"/>
      <c r="AM3" s="640" t="inlineStr">
        <is>
          <t>Deep Learning</t>
        </is>
      </c>
      <c r="AN3" s="609" t="n"/>
      <c r="AO3" s="609" t="n"/>
      <c r="AP3" s="609" t="n"/>
      <c r="AQ3" s="611" t="n"/>
      <c r="AR3" s="641" t="inlineStr">
        <is>
          <t>Artificial Intelligence for Robotics</t>
        </is>
      </c>
      <c r="AS3" s="609" t="n"/>
      <c r="AT3" s="609" t="n"/>
      <c r="AU3" s="609" t="n"/>
      <c r="AV3" s="611" t="n"/>
      <c r="AW3" s="634" t="inlineStr">
        <is>
          <t>Sociology</t>
        </is>
      </c>
      <c r="AX3" s="623" t="n"/>
      <c r="AY3" s="624" t="n"/>
      <c r="AZ3" s="642" t="inlineStr">
        <is>
          <t>Ethics and Social Responsibility</t>
        </is>
      </c>
      <c r="BA3" s="609" t="n"/>
      <c r="BB3" s="611" t="n"/>
      <c r="BC3" s="639" t="inlineStr">
        <is>
          <t>Philosophy and Critical Thinking</t>
        </is>
      </c>
      <c r="BD3" s="623" t="n"/>
      <c r="BE3" s="623" t="n"/>
      <c r="BF3" s="624" t="n"/>
      <c r="BG3" s="643" t="inlineStr">
        <is>
          <t>Final Year Project - II</t>
        </is>
      </c>
      <c r="BH3" s="609" t="n"/>
      <c r="BI3" s="609" t="n"/>
      <c r="BJ3" s="609" t="n"/>
      <c r="BK3" s="609" t="n"/>
      <c r="BL3" s="609" t="n"/>
      <c r="BM3" s="609" t="n"/>
      <c r="BN3" s="609" t="n"/>
      <c r="BO3" s="609" t="n"/>
      <c r="BP3" s="609" t="n"/>
      <c r="BQ3" s="609" t="n"/>
      <c r="BR3" s="611" t="n"/>
      <c r="BS3" s="606" t="n"/>
      <c r="BT3" s="109" t="n"/>
      <c r="BU3" s="109" t="n"/>
      <c r="BV3" s="109" t="n"/>
      <c r="BW3" s="109" t="n"/>
      <c r="BX3" s="109" t="n"/>
      <c r="BY3" s="109" t="n"/>
      <c r="BZ3" s="109" t="n"/>
      <c r="CA3" s="109" t="n"/>
      <c r="CB3" s="109" t="n"/>
      <c r="CC3" s="109" t="n"/>
    </row>
    <row r="4" ht="24" customHeight="1" s="590">
      <c r="B4" s="606" t="n"/>
      <c r="C4" s="342" t="n"/>
      <c r="D4" s="608" t="n"/>
      <c r="E4" s="69" t="inlineStr">
        <is>
          <t>CLO1</t>
        </is>
      </c>
      <c r="F4" s="70" t="inlineStr">
        <is>
          <t>CLO2</t>
        </is>
      </c>
      <c r="G4" s="71" t="inlineStr">
        <is>
          <t>CLO 3</t>
        </is>
      </c>
      <c r="H4" s="71" t="inlineStr">
        <is>
          <t>CLO 1</t>
        </is>
      </c>
      <c r="I4" s="71" t="inlineStr">
        <is>
          <t>CLO 2</t>
        </is>
      </c>
      <c r="J4" s="80" t="n"/>
      <c r="K4" s="81" t="inlineStr">
        <is>
          <t>CLO1</t>
        </is>
      </c>
      <c r="L4" s="82" t="inlineStr">
        <is>
          <t>CLO 2</t>
        </is>
      </c>
      <c r="M4" s="83" t="inlineStr">
        <is>
          <t>CLO3</t>
        </is>
      </c>
      <c r="N4" s="84" t="inlineStr">
        <is>
          <t>CLO1</t>
        </is>
      </c>
      <c r="O4" s="85" t="inlineStr">
        <is>
          <t>CLO2</t>
        </is>
      </c>
      <c r="P4" s="86" t="inlineStr">
        <is>
          <t>CLO3</t>
        </is>
      </c>
      <c r="Q4" s="86" t="inlineStr">
        <is>
          <t>CLO 1</t>
        </is>
      </c>
      <c r="R4" s="86" t="inlineStr">
        <is>
          <t>CLO 2</t>
        </is>
      </c>
      <c r="S4" s="95" t="inlineStr">
        <is>
          <t>R1</t>
        </is>
      </c>
      <c r="T4" s="96" t="inlineStr">
        <is>
          <t>R2</t>
        </is>
      </c>
      <c r="U4" s="96" t="inlineStr">
        <is>
          <t>R3</t>
        </is>
      </c>
      <c r="V4" s="96" t="inlineStr">
        <is>
          <t>R4</t>
        </is>
      </c>
      <c r="W4" s="96" t="inlineStr">
        <is>
          <t>R5</t>
        </is>
      </c>
      <c r="X4" s="96" t="inlineStr">
        <is>
          <t>R6</t>
        </is>
      </c>
      <c r="Y4" s="96" t="inlineStr">
        <is>
          <t>R7</t>
        </is>
      </c>
      <c r="Z4" s="96" t="inlineStr">
        <is>
          <t>R8</t>
        </is>
      </c>
      <c r="AA4" s="96" t="inlineStr">
        <is>
          <t>R9</t>
        </is>
      </c>
      <c r="AB4" s="96" t="inlineStr">
        <is>
          <t>R10</t>
        </is>
      </c>
      <c r="AC4" s="96" t="inlineStr">
        <is>
          <t>R11</t>
        </is>
      </c>
      <c r="AD4" s="101" t="inlineStr">
        <is>
          <t>R12</t>
        </is>
      </c>
      <c r="AE4" s="5" t="inlineStr">
        <is>
          <t>CLO 1</t>
        </is>
      </c>
      <c r="AF4" s="6" t="inlineStr">
        <is>
          <t>CLO 2</t>
        </is>
      </c>
      <c r="AG4" s="6" t="inlineStr">
        <is>
          <t>CLO 3</t>
        </is>
      </c>
      <c r="AH4" s="6" t="inlineStr">
        <is>
          <t>CLO 2</t>
        </is>
      </c>
      <c r="AI4" s="7" t="inlineStr">
        <is>
          <t>CLO 1</t>
        </is>
      </c>
      <c r="AJ4" s="7" t="inlineStr">
        <is>
          <t>CLO 2</t>
        </is>
      </c>
      <c r="AK4" s="7" t="inlineStr">
        <is>
          <t>CLO 3</t>
        </is>
      </c>
      <c r="AL4" s="7" t="inlineStr">
        <is>
          <t>CLO 4</t>
        </is>
      </c>
      <c r="AM4" s="19" t="inlineStr">
        <is>
          <t>CLO1</t>
        </is>
      </c>
      <c r="AN4" s="20" t="inlineStr">
        <is>
          <t>CLO 2</t>
        </is>
      </c>
      <c r="AO4" s="20" t="inlineStr">
        <is>
          <t>CLO 3</t>
        </is>
      </c>
      <c r="AP4" s="21" t="inlineStr">
        <is>
          <t>CLO 1</t>
        </is>
      </c>
      <c r="AQ4" s="22" t="inlineStr">
        <is>
          <t>CLO 2</t>
        </is>
      </c>
      <c r="AR4" s="23" t="inlineStr">
        <is>
          <t>CLO1</t>
        </is>
      </c>
      <c r="AS4" s="36" t="inlineStr">
        <is>
          <t>CLO2</t>
        </is>
      </c>
      <c r="AT4" s="37" t="inlineStr">
        <is>
          <t>CLO3</t>
        </is>
      </c>
      <c r="AU4" s="38" t="inlineStr">
        <is>
          <t>CLO 1</t>
        </is>
      </c>
      <c r="AV4" s="22" t="inlineStr">
        <is>
          <t>CLO 2</t>
        </is>
      </c>
      <c r="AW4" s="40" t="inlineStr">
        <is>
          <t>CLO1</t>
        </is>
      </c>
      <c r="AX4" s="40" t="inlineStr">
        <is>
          <t>CLO2</t>
        </is>
      </c>
      <c r="AY4" s="40" t="inlineStr">
        <is>
          <t>CLO3</t>
        </is>
      </c>
      <c r="AZ4" s="51" t="inlineStr">
        <is>
          <t>CLO1</t>
        </is>
      </c>
      <c r="BA4" s="21" t="inlineStr">
        <is>
          <t>CLO2</t>
        </is>
      </c>
      <c r="BB4" s="52" t="inlineStr">
        <is>
          <t>CLO3</t>
        </is>
      </c>
      <c r="BC4" s="7" t="n"/>
      <c r="BD4" s="7" t="n"/>
      <c r="BE4" s="7" t="n"/>
      <c r="BF4" s="7" t="n"/>
      <c r="BG4" s="23" t="inlineStr">
        <is>
          <t>R1</t>
        </is>
      </c>
      <c r="BH4" s="36" t="inlineStr">
        <is>
          <t>R2</t>
        </is>
      </c>
      <c r="BI4" s="37" t="inlineStr">
        <is>
          <t>R3</t>
        </is>
      </c>
      <c r="BJ4" s="37" t="inlineStr">
        <is>
          <t>R4</t>
        </is>
      </c>
      <c r="BK4" s="37" t="inlineStr">
        <is>
          <t>R5</t>
        </is>
      </c>
      <c r="BL4" s="37" t="inlineStr">
        <is>
          <t>R6</t>
        </is>
      </c>
      <c r="BM4" s="37" t="inlineStr">
        <is>
          <t>R7</t>
        </is>
      </c>
      <c r="BN4" s="37" t="inlineStr">
        <is>
          <t>R8</t>
        </is>
      </c>
      <c r="BO4" s="37" t="inlineStr">
        <is>
          <t>R9</t>
        </is>
      </c>
      <c r="BP4" s="60" t="inlineStr">
        <is>
          <t>R10</t>
        </is>
      </c>
      <c r="BQ4" s="62" t="inlineStr">
        <is>
          <t>R11</t>
        </is>
      </c>
      <c r="BR4" s="63" t="inlineStr">
        <is>
          <t>R12</t>
        </is>
      </c>
      <c r="BS4" s="606" t="n"/>
      <c r="BT4" s="646" t="inlineStr">
        <is>
          <t>GA1</t>
        </is>
      </c>
      <c r="BU4" s="646" t="inlineStr">
        <is>
          <t>GA2</t>
        </is>
      </c>
      <c r="BV4" s="646" t="inlineStr">
        <is>
          <t>GA3</t>
        </is>
      </c>
      <c r="BW4" s="646" t="inlineStr">
        <is>
          <t>GA4</t>
        </is>
      </c>
      <c r="BX4" s="646" t="inlineStr">
        <is>
          <t>GA5</t>
        </is>
      </c>
      <c r="BY4" s="646" t="inlineStr">
        <is>
          <t>GA6</t>
        </is>
      </c>
      <c r="BZ4" s="646" t="inlineStr">
        <is>
          <t>GA7</t>
        </is>
      </c>
      <c r="CA4" s="646" t="inlineStr">
        <is>
          <t>GA8</t>
        </is>
      </c>
      <c r="CB4" s="646" t="inlineStr">
        <is>
          <t>GA9</t>
        </is>
      </c>
      <c r="CC4" s="646" t="inlineStr">
        <is>
          <t>GA10</t>
        </is>
      </c>
    </row>
    <row r="5" ht="26.1" customHeight="1" s="590">
      <c r="B5" s="606" t="n"/>
      <c r="C5" s="342" t="n"/>
      <c r="D5" s="608" t="n"/>
      <c r="E5" s="383" t="inlineStr">
        <is>
          <t>Theory</t>
        </is>
      </c>
      <c r="H5" s="580" t="inlineStr">
        <is>
          <t>Lab</t>
        </is>
      </c>
      <c r="I5" s="677" t="n"/>
      <c r="J5" s="708" t="n"/>
      <c r="K5" s="709" t="inlineStr">
        <is>
          <t>Theory</t>
        </is>
      </c>
      <c r="L5" s="677" t="n"/>
      <c r="M5" s="708" t="n"/>
      <c r="N5" s="383" t="inlineStr">
        <is>
          <t>Theory</t>
        </is>
      </c>
      <c r="Q5" s="384" t="inlineStr">
        <is>
          <t>Lab</t>
        </is>
      </c>
      <c r="R5" s="591" t="n"/>
      <c r="S5" s="54" t="n"/>
      <c r="T5" s="55" t="n"/>
      <c r="U5" s="55" t="n"/>
      <c r="V5" s="55" t="n"/>
      <c r="W5" s="55" t="n"/>
      <c r="X5" s="55" t="n"/>
      <c r="Y5" s="55" t="n"/>
      <c r="Z5" s="55" t="n"/>
      <c r="AA5" s="55" t="n"/>
      <c r="AB5" s="55" t="n"/>
      <c r="AC5" s="55" t="n"/>
      <c r="AD5" s="53" t="n"/>
      <c r="AE5" s="133" t="inlineStr">
        <is>
          <t>Theory</t>
        </is>
      </c>
      <c r="AH5" s="649" t="n"/>
      <c r="AI5" s="710" t="inlineStr">
        <is>
          <t>Theory</t>
        </is>
      </c>
      <c r="AJ5" s="600" t="n"/>
      <c r="AK5" s="600" t="n"/>
      <c r="AL5" s="707" t="n"/>
      <c r="AM5" s="356" t="inlineStr">
        <is>
          <t>Theory</t>
        </is>
      </c>
      <c r="AP5" s="53" t="inlineStr">
        <is>
          <t>Lab</t>
        </is>
      </c>
      <c r="AQ5" s="591" t="n"/>
      <c r="AR5" s="356" t="inlineStr">
        <is>
          <t>Theory</t>
        </is>
      </c>
      <c r="AU5" s="53" t="inlineStr">
        <is>
          <t>Lab</t>
        </is>
      </c>
      <c r="AV5" s="591" t="n"/>
      <c r="AW5" s="362" t="n"/>
      <c r="AX5" s="363" t="n"/>
      <c r="AY5" s="363" t="n"/>
      <c r="AZ5" s="356" t="n"/>
      <c r="BA5" s="358" t="n"/>
      <c r="BB5" s="53" t="n"/>
      <c r="BC5" s="363" t="n"/>
      <c r="BD5" s="363" t="n"/>
      <c r="BE5" s="363" t="n"/>
      <c r="BF5" s="363" t="n"/>
      <c r="BG5" s="54" t="n"/>
      <c r="BH5" s="55" t="n"/>
      <c r="BI5" s="55" t="n"/>
      <c r="BJ5" s="55" t="n"/>
      <c r="BK5" s="55" t="n"/>
      <c r="BL5" s="55" t="n"/>
      <c r="BM5" s="55" t="n"/>
      <c r="BN5" s="55" t="n"/>
      <c r="BO5" s="55" t="n"/>
      <c r="BP5" s="55" t="n"/>
      <c r="BQ5" s="358" t="n"/>
      <c r="BR5" s="359" t="n"/>
      <c r="BS5" s="606" t="n"/>
      <c r="BT5" s="606" t="n"/>
      <c r="BU5" s="606" t="n"/>
      <c r="BV5" s="606" t="n"/>
      <c r="BW5" s="606" t="n"/>
      <c r="BX5" s="606" t="n"/>
      <c r="BY5" s="606" t="n"/>
      <c r="BZ5" s="606" t="n"/>
      <c r="CA5" s="606" t="n"/>
      <c r="CB5" s="606" t="n"/>
      <c r="CC5" s="606" t="n"/>
    </row>
    <row r="6" ht="24" customHeight="1" s="590">
      <c r="B6" s="652" t="n"/>
      <c r="C6" s="343" t="n"/>
      <c r="D6" s="650" t="n"/>
      <c r="E6" s="73" t="inlineStr">
        <is>
          <t>GA 2</t>
        </is>
      </c>
      <c r="F6" s="372" t="inlineStr">
        <is>
          <t>GA 3</t>
        </is>
      </c>
      <c r="G6" s="360" t="inlineStr">
        <is>
          <t>GA2</t>
        </is>
      </c>
      <c r="H6" s="360" t="inlineStr">
        <is>
          <t>GA 4</t>
        </is>
      </c>
      <c r="I6" s="360" t="inlineStr">
        <is>
          <t>GA 5</t>
        </is>
      </c>
      <c r="J6" s="361" t="n"/>
      <c r="K6" s="373" t="inlineStr">
        <is>
          <t>GA 4</t>
        </is>
      </c>
      <c r="L6" s="373" t="inlineStr">
        <is>
          <t>GA 4</t>
        </is>
      </c>
      <c r="M6" s="89" t="inlineStr">
        <is>
          <t>GA 3</t>
        </is>
      </c>
      <c r="N6" s="490" t="inlineStr">
        <is>
          <t>GA 1</t>
        </is>
      </c>
      <c r="O6" s="360" t="inlineStr">
        <is>
          <t>GA 2</t>
        </is>
      </c>
      <c r="P6" s="360" t="inlineStr">
        <is>
          <t>GA 4</t>
        </is>
      </c>
      <c r="Q6" s="360" t="inlineStr">
        <is>
          <t>GA 3</t>
        </is>
      </c>
      <c r="R6" s="361" t="inlineStr">
        <is>
          <t>GA 4</t>
        </is>
      </c>
      <c r="S6" s="57" t="inlineStr">
        <is>
          <t>GA1</t>
        </is>
      </c>
      <c r="T6" s="58" t="inlineStr">
        <is>
          <t>GA2</t>
        </is>
      </c>
      <c r="U6" s="58" t="inlineStr">
        <is>
          <t>GA3</t>
        </is>
      </c>
      <c r="V6" s="58" t="inlineStr">
        <is>
          <t>GA4</t>
        </is>
      </c>
      <c r="W6" s="58" t="inlineStr">
        <is>
          <t>GA5</t>
        </is>
      </c>
      <c r="X6" s="58" t="inlineStr">
        <is>
          <t>GA6</t>
        </is>
      </c>
      <c r="Y6" s="58" t="inlineStr">
        <is>
          <t>GA7</t>
        </is>
      </c>
      <c r="Z6" s="58" t="inlineStr">
        <is>
          <t>GA8</t>
        </is>
      </c>
      <c r="AA6" s="58" t="inlineStr">
        <is>
          <t>GA9</t>
        </is>
      </c>
      <c r="AB6" s="58" t="inlineStr">
        <is>
          <t>GA10</t>
        </is>
      </c>
      <c r="AC6" s="58" t="inlineStr">
        <is>
          <t>GA11</t>
        </is>
      </c>
      <c r="AD6" s="27" t="inlineStr">
        <is>
          <t>GA12</t>
        </is>
      </c>
      <c r="AE6" s="362" t="inlineStr">
        <is>
          <t xml:space="preserve">            GA  2</t>
        </is>
      </c>
      <c r="AG6" s="363" t="inlineStr">
        <is>
          <t>GA 3</t>
        </is>
      </c>
      <c r="AH6" s="104" t="inlineStr">
        <is>
          <t>GA  4</t>
        </is>
      </c>
      <c r="AI6" s="364" t="inlineStr">
        <is>
          <t>GA 4</t>
        </is>
      </c>
      <c r="AJ6" s="364" t="inlineStr">
        <is>
          <t>GA 2</t>
        </is>
      </c>
      <c r="AK6" s="649" t="n"/>
      <c r="AL6" s="364" t="inlineStr">
        <is>
          <t>GA 4</t>
        </is>
      </c>
      <c r="AM6" s="27" t="inlineStr">
        <is>
          <t>GA 1</t>
        </is>
      </c>
      <c r="AN6" s="27" t="inlineStr">
        <is>
          <t>GA 3</t>
        </is>
      </c>
      <c r="AO6" s="651" t="n"/>
      <c r="AP6" s="27" t="inlineStr">
        <is>
          <t>GA 1</t>
        </is>
      </c>
      <c r="AQ6" s="27" t="inlineStr">
        <is>
          <t>GA 3</t>
        </is>
      </c>
      <c r="AR6" s="516" t="inlineStr">
        <is>
          <t>GA 1</t>
        </is>
      </c>
      <c r="AS6" s="366" t="inlineStr">
        <is>
          <t>GA 2</t>
        </is>
      </c>
      <c r="AT6" s="27" t="inlineStr">
        <is>
          <t>GA 5</t>
        </is>
      </c>
      <c r="AU6" s="27" t="inlineStr">
        <is>
          <t>GA 5</t>
        </is>
      </c>
      <c r="AV6" s="651" t="n"/>
      <c r="AW6" s="134" t="inlineStr">
        <is>
          <t>PLO1</t>
        </is>
      </c>
      <c r="AX6" s="598" t="n"/>
      <c r="AY6" s="599" t="n"/>
      <c r="AZ6" s="56" t="inlineStr">
        <is>
          <t>PLO1</t>
        </is>
      </c>
      <c r="BA6" s="27" t="inlineStr">
        <is>
          <t>PLO2</t>
        </is>
      </c>
      <c r="BB6" s="27" t="inlineStr">
        <is>
          <t>PLO5</t>
        </is>
      </c>
      <c r="BC6" s="364" t="n"/>
      <c r="BD6" s="364" t="n"/>
      <c r="BE6" s="364" t="n"/>
      <c r="BF6" s="364" t="n"/>
      <c r="BG6" s="57" t="inlineStr">
        <is>
          <t>GA1</t>
        </is>
      </c>
      <c r="BH6" s="58" t="inlineStr">
        <is>
          <t>GA2</t>
        </is>
      </c>
      <c r="BI6" s="58" t="inlineStr">
        <is>
          <t>GA3</t>
        </is>
      </c>
      <c r="BJ6" s="58" t="inlineStr">
        <is>
          <t>GA4</t>
        </is>
      </c>
      <c r="BK6" s="58" t="inlineStr">
        <is>
          <t>GA5</t>
        </is>
      </c>
      <c r="BL6" s="58" t="inlineStr">
        <is>
          <t>GA6</t>
        </is>
      </c>
      <c r="BM6" s="58" t="inlineStr">
        <is>
          <t>GA7</t>
        </is>
      </c>
      <c r="BN6" s="58" t="inlineStr">
        <is>
          <t>GA8</t>
        </is>
      </c>
      <c r="BO6" s="58" t="inlineStr">
        <is>
          <t>GA9</t>
        </is>
      </c>
      <c r="BP6" s="58" t="inlineStr">
        <is>
          <t>GA10</t>
        </is>
      </c>
      <c r="BQ6" s="365" t="inlineStr">
        <is>
          <t>GA11</t>
        </is>
      </c>
      <c r="BR6" s="56" t="inlineStr">
        <is>
          <t>GA12</t>
        </is>
      </c>
      <c r="BS6" s="606" t="n"/>
      <c r="BT6" s="652" t="n"/>
      <c r="BU6" s="652" t="n"/>
      <c r="BV6" s="652" t="n"/>
      <c r="BW6" s="652" t="n"/>
      <c r="BX6" s="652" t="n"/>
      <c r="BY6" s="652" t="n"/>
      <c r="BZ6" s="652" t="n"/>
      <c r="CA6" s="652" t="n"/>
      <c r="CB6" s="652" t="n"/>
      <c r="CC6" s="652" t="n"/>
    </row>
    <row r="7" ht="18" customHeight="1" s="590">
      <c r="B7" s="12" t="n">
        <v>1</v>
      </c>
      <c r="C7" s="13" t="inlineStr">
        <is>
          <t xml:space="preserve">Ck-sp22-120308 </t>
        </is>
      </c>
      <c r="D7" s="14" t="inlineStr">
        <is>
          <t>Abu hurraira</t>
        </is>
      </c>
      <c r="E7" s="74" t="n">
        <v>73.33</v>
      </c>
      <c r="F7" s="75" t="n">
        <v>80</v>
      </c>
      <c r="G7" s="76" t="n">
        <v>83.2</v>
      </c>
      <c r="H7" s="76" t="n">
        <v>80</v>
      </c>
      <c r="I7" s="228" t="n">
        <v>70.91</v>
      </c>
      <c r="J7" s="229" t="n"/>
      <c r="K7" s="225" t="n">
        <v>65.23999999999999</v>
      </c>
      <c r="L7" s="225" t="n">
        <v>64.45999999999999</v>
      </c>
      <c r="M7" s="225" t="n">
        <v>64.89</v>
      </c>
      <c r="N7" s="74" t="n">
        <v>85</v>
      </c>
      <c r="O7" s="92" t="n">
        <v>58.4375</v>
      </c>
      <c r="P7" s="93" t="n">
        <v>76.3636363636364</v>
      </c>
      <c r="Q7" s="97" t="n">
        <v>71</v>
      </c>
      <c r="R7" s="98" t="n">
        <v>75.3030303030303</v>
      </c>
      <c r="S7" s="99" t="n"/>
      <c r="T7" s="100" t="n"/>
      <c r="U7" s="100" t="n"/>
      <c r="V7" s="100" t="n"/>
      <c r="W7" s="100" t="n"/>
      <c r="X7" s="100" t="n"/>
      <c r="Y7" s="100" t="n"/>
      <c r="Z7" s="100" t="n"/>
      <c r="AA7" s="100" t="n"/>
      <c r="AB7" s="100" t="n"/>
      <c r="AC7" s="100" t="n"/>
      <c r="AD7" s="102" t="n"/>
      <c r="AE7" s="561" t="n"/>
      <c r="AF7" s="232" t="n">
        <v>70.33</v>
      </c>
      <c r="AG7" s="232" t="n">
        <v>67.56999999999999</v>
      </c>
      <c r="AH7" s="232" t="n">
        <v>69.17</v>
      </c>
      <c r="AI7" s="15" t="n"/>
      <c r="AJ7" s="546" t="n"/>
      <c r="AK7" s="665" t="n"/>
      <c r="AL7" s="17" t="n"/>
      <c r="AM7" s="31" t="n"/>
      <c r="AN7" s="349" t="n"/>
      <c r="AO7" s="665" t="n"/>
      <c r="AP7" s="45" t="n"/>
      <c r="AQ7" s="351" t="n"/>
      <c r="AR7" s="31" t="n"/>
      <c r="AS7" s="45" t="n"/>
      <c r="AT7" s="45" t="n"/>
      <c r="AU7" s="351" t="n"/>
      <c r="AV7" s="663" t="n"/>
      <c r="AW7" s="107" t="n"/>
      <c r="AX7" s="587" t="n"/>
      <c r="AY7" s="108" t="n"/>
      <c r="AZ7" s="15" t="n"/>
      <c r="BA7" s="546" t="n"/>
      <c r="BB7" s="17" t="n"/>
      <c r="BC7" s="15" t="n"/>
      <c r="BD7" s="546" t="n"/>
      <c r="BE7" s="546" t="n"/>
      <c r="BF7" s="17" t="n"/>
      <c r="BG7" s="31" t="n"/>
      <c r="BH7" s="45" t="n"/>
      <c r="BI7" s="45" t="n"/>
      <c r="BJ7" s="45" t="n"/>
      <c r="BK7" s="45" t="n"/>
      <c r="BL7" s="45" t="n"/>
      <c r="BM7" s="45" t="n"/>
      <c r="BN7" s="45" t="n"/>
      <c r="BO7" s="45" t="n"/>
      <c r="BP7" s="45" t="n"/>
      <c r="BQ7" s="45" t="n"/>
      <c r="BR7" s="351" t="n"/>
      <c r="BS7" s="606" t="n"/>
      <c r="BT7" s="65">
        <f>AVERAGE(E7,H7,N7,AI7)</f>
        <v/>
      </c>
      <c r="BU7" s="66">
        <f>AVERAGE(G7,J7,K7,O7,AE7,AJ7)</f>
        <v/>
      </c>
      <c r="BV7" s="66">
        <f>AVERAGE(G7,J7,L7,Q7)</f>
        <v/>
      </c>
      <c r="BW7" s="66">
        <f>AVERAGE(AL7,R7,P7,M7)</f>
        <v/>
      </c>
      <c r="BX7" s="66" t="n"/>
      <c r="BY7" s="66" t="n"/>
      <c r="BZ7" s="66" t="n"/>
      <c r="CA7" s="66" t="n"/>
      <c r="CB7" s="66">
        <f>AVERAGE(AH7)</f>
        <v/>
      </c>
      <c r="CC7" s="66" t="n"/>
    </row>
    <row r="8" ht="18" customHeight="1" s="590">
      <c r="B8" s="12" t="n">
        <v>2</v>
      </c>
      <c r="C8" s="13" t="inlineStr">
        <is>
          <t xml:space="preserve">ck-sp-120184 </t>
        </is>
      </c>
      <c r="D8" s="14" t="inlineStr">
        <is>
          <t>Muhammad ishfaq</t>
        </is>
      </c>
      <c r="E8" s="74" t="n">
        <v>80</v>
      </c>
      <c r="F8" s="75" t="n">
        <v>75</v>
      </c>
      <c r="G8" s="76" t="n">
        <v>64.81</v>
      </c>
      <c r="H8" s="76" t="n">
        <v>79</v>
      </c>
      <c r="I8" s="230" t="n">
        <v>73.33</v>
      </c>
      <c r="J8" s="211" t="n"/>
      <c r="K8" s="225" t="n">
        <v>71.90000000000001</v>
      </c>
      <c r="L8" s="225" t="n">
        <v>65.19</v>
      </c>
      <c r="M8" s="225" t="n">
        <v>54.33</v>
      </c>
      <c r="N8" s="74" t="n">
        <v>83.3333333333333</v>
      </c>
      <c r="O8" s="92" t="n">
        <v>57.3125</v>
      </c>
      <c r="P8" s="93" t="n">
        <v>76.8181818181818</v>
      </c>
      <c r="Q8" s="97" t="n">
        <v>78</v>
      </c>
      <c r="R8" s="98" t="n">
        <v>82.6515151515151</v>
      </c>
      <c r="S8" s="99" t="n"/>
      <c r="T8" s="100" t="n"/>
      <c r="U8" s="100" t="n"/>
      <c r="V8" s="100" t="n"/>
      <c r="W8" s="100" t="n"/>
      <c r="X8" s="100" t="n"/>
      <c r="Y8" s="100" t="n"/>
      <c r="Z8" s="100" t="n"/>
      <c r="AA8" s="100" t="n"/>
      <c r="AB8" s="100" t="n"/>
      <c r="AC8" s="100" t="n"/>
      <c r="AD8" s="102" t="n"/>
      <c r="AE8" s="561" t="n"/>
      <c r="AF8" s="233" t="n">
        <v>67.17</v>
      </c>
      <c r="AG8" s="233" t="n">
        <v>76.81</v>
      </c>
      <c r="AH8" s="233" t="n">
        <v>76.67</v>
      </c>
      <c r="AI8" s="15" t="n"/>
      <c r="AJ8" s="546" t="n"/>
      <c r="AK8" s="665" t="n"/>
      <c r="AL8" s="17" t="n"/>
      <c r="AM8" s="31" t="n"/>
      <c r="AN8" s="349" t="n"/>
      <c r="AO8" s="349" t="n"/>
      <c r="AP8" s="45" t="n"/>
      <c r="AQ8" s="351" t="n"/>
      <c r="AR8" s="31" t="n"/>
      <c r="AS8" s="45" t="n"/>
      <c r="AT8" s="45" t="n"/>
      <c r="AU8" s="350" t="n"/>
      <c r="AV8" s="351" t="n"/>
      <c r="AW8" s="107" t="n"/>
      <c r="AX8" s="587" t="n"/>
      <c r="AY8" s="108" t="n"/>
      <c r="AZ8" s="15" t="n"/>
      <c r="BA8" s="546" t="n"/>
      <c r="BB8" s="17" t="n"/>
      <c r="BC8" s="15" t="n"/>
      <c r="BD8" s="546" t="n"/>
      <c r="BE8" s="546" t="n"/>
      <c r="BF8" s="17" t="n"/>
      <c r="BG8" s="31" t="n"/>
      <c r="BH8" s="45" t="n"/>
      <c r="BI8" s="45" t="n"/>
      <c r="BJ8" s="45" t="n"/>
      <c r="BK8" s="45" t="n"/>
      <c r="BL8" s="45" t="n"/>
      <c r="BM8" s="45" t="n"/>
      <c r="BN8" s="45" t="n"/>
      <c r="BO8" s="45" t="n"/>
      <c r="BP8" s="45" t="n"/>
      <c r="BQ8" s="45" t="n"/>
      <c r="BR8" s="351" t="n"/>
      <c r="BS8" s="606" t="n"/>
      <c r="BT8" s="65">
        <f>AVERAGE(E8,H8,N8,AI8)</f>
        <v/>
      </c>
      <c r="BU8" s="66">
        <f>AVERAGE(G8,J8,K8,O8,AE8,AJ8)</f>
        <v/>
      </c>
      <c r="BV8" s="66">
        <f>AVERAGE(G8,J8,L8,Q8)</f>
        <v/>
      </c>
      <c r="BW8" s="66">
        <f>AVERAGE(AL8,R8,P8,M8)</f>
        <v/>
      </c>
      <c r="BX8" s="66" t="n"/>
      <c r="BY8" s="66" t="n"/>
      <c r="BZ8" s="66" t="n"/>
      <c r="CA8" s="66" t="n"/>
      <c r="CB8" s="66">
        <f>AVERAGE(AH8)</f>
        <v/>
      </c>
      <c r="CC8" s="66" t="n"/>
    </row>
    <row r="9" ht="18" customHeight="1" s="590">
      <c r="B9" s="12" t="n">
        <v>3</v>
      </c>
      <c r="C9" s="13" t="inlineStr">
        <is>
          <t>ck-sp22-120305</t>
        </is>
      </c>
      <c r="D9" s="14" t="inlineStr">
        <is>
          <t>Rida Mustafa</t>
        </is>
      </c>
      <c r="E9" s="74" t="n">
        <v>88.33333333333333</v>
      </c>
      <c r="F9" s="75" t="n">
        <v>91.67</v>
      </c>
      <c r="G9" s="76" t="n">
        <v>90.73</v>
      </c>
      <c r="H9" s="76" t="n">
        <v>91</v>
      </c>
      <c r="I9" s="230" t="n">
        <v>96.36</v>
      </c>
      <c r="J9" s="211" t="n"/>
      <c r="K9" s="225" t="n">
        <v>92.38</v>
      </c>
      <c r="L9" s="225" t="n">
        <v>85.8</v>
      </c>
      <c r="M9" s="225" t="n">
        <v>74.64</v>
      </c>
      <c r="N9" s="74" t="n">
        <v>98.3333333333333</v>
      </c>
      <c r="O9" s="92" t="n">
        <v>92.25</v>
      </c>
      <c r="P9" s="93" t="n">
        <v>92.0454545454545</v>
      </c>
      <c r="Q9" s="97" t="n">
        <v>90</v>
      </c>
      <c r="R9" s="98" t="n">
        <v>95.3787878787879</v>
      </c>
      <c r="S9" s="99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2" t="n"/>
      <c r="AE9" s="561" t="n"/>
      <c r="AF9" s="233" t="n">
        <v>92.67</v>
      </c>
      <c r="AG9" s="233" t="n">
        <v>88.47</v>
      </c>
      <c r="AH9" s="233" t="n">
        <v>91.94</v>
      </c>
      <c r="AI9" s="15" t="n"/>
      <c r="AJ9" s="546" t="n"/>
      <c r="AK9" s="665" t="n"/>
      <c r="AL9" s="17" t="n"/>
      <c r="AM9" s="31" t="n"/>
      <c r="AN9" s="349" t="n"/>
      <c r="AO9" s="665" t="n"/>
      <c r="AP9" s="45" t="n"/>
      <c r="AQ9" s="351" t="n"/>
      <c r="AR9" s="31" t="n"/>
      <c r="AS9" s="45" t="n"/>
      <c r="AT9" s="45" t="n"/>
      <c r="AU9" s="351" t="n"/>
      <c r="AV9" s="663" t="n"/>
      <c r="AW9" s="107" t="n"/>
      <c r="AX9" s="587" t="n"/>
      <c r="AY9" s="108" t="n"/>
      <c r="AZ9" s="15" t="n"/>
      <c r="BA9" s="546" t="n"/>
      <c r="BB9" s="17" t="n"/>
      <c r="BC9" s="15" t="n"/>
      <c r="BD9" s="546" t="n"/>
      <c r="BE9" s="546" t="n"/>
      <c r="BF9" s="17" t="n"/>
      <c r="BG9" s="31" t="n"/>
      <c r="BH9" s="45" t="n"/>
      <c r="BI9" s="45" t="n"/>
      <c r="BJ9" s="45" t="n"/>
      <c r="BK9" s="45" t="n"/>
      <c r="BL9" s="45" t="n"/>
      <c r="BM9" s="45" t="n"/>
      <c r="BN9" s="45" t="n"/>
      <c r="BO9" s="45" t="n"/>
      <c r="BP9" s="45" t="n"/>
      <c r="BQ9" s="45" t="n"/>
      <c r="BR9" s="351" t="n"/>
      <c r="BS9" s="606" t="n"/>
      <c r="BT9" s="65">
        <f>AVERAGE(E9,H9,N9,AI9)</f>
        <v/>
      </c>
      <c r="BU9" s="66">
        <f>AVERAGE(G9,J9,K9,O9,AE9,AJ9)</f>
        <v/>
      </c>
      <c r="BV9" s="66">
        <f>AVERAGE(G9,J9,L9,Q9)</f>
        <v/>
      </c>
      <c r="BW9" s="66">
        <f>AVERAGE(AL9,R9,P9,M9)</f>
        <v/>
      </c>
      <c r="BX9" s="66" t="n"/>
      <c r="BY9" s="66" t="n"/>
      <c r="BZ9" s="66" t="n"/>
      <c r="CA9" s="66" t="n"/>
      <c r="CB9" s="66">
        <f>AVERAGE(AH9)</f>
        <v/>
      </c>
      <c r="CC9" s="66" t="n"/>
    </row>
    <row r="10" ht="18" customHeight="1" s="590">
      <c r="B10" s="12" t="n">
        <v>4</v>
      </c>
      <c r="C10" s="13" t="inlineStr">
        <is>
          <t xml:space="preserve">Ck-sp22-120254 </t>
        </is>
      </c>
      <c r="D10" s="14" t="inlineStr">
        <is>
          <t>Muhammad Daniyal Khan</t>
        </is>
      </c>
      <c r="E10" s="74" t="n">
        <v>78.33</v>
      </c>
      <c r="F10" s="75" t="n">
        <v>73.33</v>
      </c>
      <c r="G10" s="76" t="n">
        <v>68.62</v>
      </c>
      <c r="H10" s="76" t="n">
        <v>83</v>
      </c>
      <c r="I10" s="230" t="n">
        <v>68.18000000000001</v>
      </c>
      <c r="J10" s="211" t="n"/>
      <c r="K10" s="225" t="n">
        <v>76.19</v>
      </c>
      <c r="L10" s="225" t="n">
        <v>71.26000000000001</v>
      </c>
      <c r="M10" s="225" t="n">
        <v>64.39</v>
      </c>
      <c r="N10" s="74" t="n">
        <v>85</v>
      </c>
      <c r="O10" s="92" t="n">
        <v>68.125</v>
      </c>
      <c r="P10" s="93" t="n">
        <v>88.1818181818182</v>
      </c>
      <c r="Q10" s="97" t="n">
        <v>85.3333333333333</v>
      </c>
      <c r="R10" s="98" t="n">
        <v>83.4848484848485</v>
      </c>
      <c r="S10" s="99" t="n"/>
      <c r="T10" s="100" t="n"/>
      <c r="U10" s="100" t="n"/>
      <c r="V10" s="100" t="n"/>
      <c r="W10" s="100" t="n"/>
      <c r="X10" s="100" t="n"/>
      <c r="Y10" s="100" t="n"/>
      <c r="Z10" s="100" t="n"/>
      <c r="AA10" s="100" t="n"/>
      <c r="AB10" s="100" t="n"/>
      <c r="AC10" s="100" t="n"/>
      <c r="AD10" s="102" t="n"/>
      <c r="AE10" s="561" t="n"/>
      <c r="AF10" s="233" t="n">
        <v>72.17</v>
      </c>
      <c r="AG10" s="233" t="n">
        <v>67.98999999999999</v>
      </c>
      <c r="AH10" s="233" t="n">
        <v>84.72</v>
      </c>
      <c r="AI10" s="15" t="n"/>
      <c r="AJ10" s="546" t="n"/>
      <c r="AK10" s="665" t="n"/>
      <c r="AL10" s="17" t="n"/>
      <c r="AM10" s="31" t="n"/>
      <c r="AN10" s="349" t="n"/>
      <c r="AO10" s="349" t="n"/>
      <c r="AP10" s="45" t="n"/>
      <c r="AQ10" s="351" t="n"/>
      <c r="AR10" s="31" t="n"/>
      <c r="AS10" s="45" t="n"/>
      <c r="AT10" s="45" t="n"/>
      <c r="AU10" s="350" t="n"/>
      <c r="AV10" s="351" t="n"/>
      <c r="AW10" s="107" t="n"/>
      <c r="AX10" s="587" t="n"/>
      <c r="AY10" s="108" t="n"/>
      <c r="AZ10" s="15" t="n"/>
      <c r="BA10" s="546" t="n"/>
      <c r="BB10" s="17" t="n"/>
      <c r="BC10" s="15" t="n"/>
      <c r="BD10" s="546" t="n"/>
      <c r="BE10" s="546" t="n"/>
      <c r="BF10" s="17" t="n"/>
      <c r="BG10" s="31" t="n"/>
      <c r="BH10" s="45" t="n"/>
      <c r="BI10" s="45" t="n"/>
      <c r="BJ10" s="45" t="n"/>
      <c r="BK10" s="45" t="n"/>
      <c r="BL10" s="45" t="n"/>
      <c r="BM10" s="45" t="n"/>
      <c r="BN10" s="45" t="n"/>
      <c r="BO10" s="45" t="n"/>
      <c r="BP10" s="45" t="n"/>
      <c r="BQ10" s="45" t="n"/>
      <c r="BR10" s="351" t="n"/>
      <c r="BS10" s="606" t="n"/>
      <c r="BT10" s="65">
        <f>AVERAGE(E10,H10,N10,AI10)</f>
        <v/>
      </c>
      <c r="BU10" s="66">
        <f>AVERAGE(G10,J10,K10,O10,AE10,AJ10)</f>
        <v/>
      </c>
      <c r="BV10" s="66">
        <f>AVERAGE(G10,J10,L10,Q10)</f>
        <v/>
      </c>
      <c r="BW10" s="66">
        <f>AVERAGE(AL10,R10,P10,M10)</f>
        <v/>
      </c>
      <c r="BX10" s="66" t="n"/>
      <c r="BY10" s="66" t="n"/>
      <c r="BZ10" s="66" t="n"/>
      <c r="CA10" s="66" t="n"/>
      <c r="CB10" s="66">
        <f>AVERAGE(AH10)</f>
        <v/>
      </c>
      <c r="CC10" s="66" t="n"/>
    </row>
    <row r="11" ht="18" customHeight="1" s="590">
      <c r="B11" s="12" t="n">
        <v>5</v>
      </c>
      <c r="C11" s="13" t="inlineStr">
        <is>
          <t xml:space="preserve">Ck-sp22-120306 </t>
        </is>
      </c>
      <c r="D11" s="14" t="inlineStr">
        <is>
          <t>Ahmed Mustafa</t>
        </is>
      </c>
      <c r="E11" s="74" t="n">
        <v>73.33</v>
      </c>
      <c r="F11" s="75" t="n">
        <v>83.33</v>
      </c>
      <c r="G11" s="76" t="n">
        <v>86.8</v>
      </c>
      <c r="H11" s="76" t="n">
        <v>88</v>
      </c>
      <c r="I11" s="230" t="n">
        <v>89.09</v>
      </c>
      <c r="J11" s="211" t="n"/>
      <c r="K11" s="225" t="n">
        <v>71.90000000000001</v>
      </c>
      <c r="L11" s="225" t="n">
        <v>69.48999999999999</v>
      </c>
      <c r="M11" s="225" t="n">
        <v>68.48999999999999</v>
      </c>
      <c r="N11" s="74" t="n">
        <v>90</v>
      </c>
      <c r="O11" s="92" t="n">
        <v>74.3125</v>
      </c>
      <c r="P11" s="93" t="n">
        <v>68.40909090909091</v>
      </c>
      <c r="Q11" s="97" t="n">
        <v>80</v>
      </c>
      <c r="R11" s="98" t="n">
        <v>83.40909090909091</v>
      </c>
      <c r="S11" s="99" t="n"/>
      <c r="T11" s="100" t="n"/>
      <c r="U11" s="100" t="n"/>
      <c r="V11" s="100" t="n"/>
      <c r="W11" s="100" t="n"/>
      <c r="X11" s="100" t="n"/>
      <c r="Y11" s="100" t="n"/>
      <c r="Z11" s="100" t="n"/>
      <c r="AA11" s="100" t="n"/>
      <c r="AB11" s="100" t="n"/>
      <c r="AC11" s="100" t="n"/>
      <c r="AD11" s="102" t="n"/>
      <c r="AE11" s="561" t="n"/>
      <c r="AF11" s="233" t="n">
        <v>71.33</v>
      </c>
      <c r="AG11" s="233" t="n">
        <v>75.69</v>
      </c>
      <c r="AH11" s="233" t="n">
        <v>74.17</v>
      </c>
      <c r="AI11" s="15" t="n"/>
      <c r="AJ11" s="546" t="n"/>
      <c r="AK11" s="665" t="n"/>
      <c r="AL11" s="17" t="n"/>
      <c r="AM11" s="31" t="n"/>
      <c r="AN11" s="349" t="n"/>
      <c r="AO11" s="349" t="n"/>
      <c r="AP11" s="45" t="n"/>
      <c r="AQ11" s="351" t="n"/>
      <c r="AR11" s="31" t="n"/>
      <c r="AS11" s="45" t="n"/>
      <c r="AT11" s="45" t="n"/>
      <c r="AU11" s="350" t="n"/>
      <c r="AV11" s="351" t="n"/>
      <c r="AW11" s="107" t="n"/>
      <c r="AX11" s="587" t="n"/>
      <c r="AY11" s="108" t="n"/>
      <c r="AZ11" s="15" t="n"/>
      <c r="BA11" s="546" t="n"/>
      <c r="BB11" s="17" t="n"/>
      <c r="BC11" s="15" t="n"/>
      <c r="BD11" s="546" t="n"/>
      <c r="BE11" s="546" t="n"/>
      <c r="BF11" s="17" t="n"/>
      <c r="BG11" s="31" t="n"/>
      <c r="BH11" s="45" t="n"/>
      <c r="BI11" s="45" t="n"/>
      <c r="BJ11" s="45" t="n"/>
      <c r="BK11" s="45" t="n"/>
      <c r="BL11" s="45" t="n"/>
      <c r="BM11" s="45" t="n"/>
      <c r="BN11" s="45" t="n"/>
      <c r="BO11" s="45" t="n"/>
      <c r="BP11" s="45" t="n"/>
      <c r="BQ11" s="45" t="n"/>
      <c r="BR11" s="351" t="n"/>
      <c r="BS11" s="606" t="n"/>
      <c r="BT11" s="65">
        <f>AVERAGE(E11,H11,N11,AI11)</f>
        <v/>
      </c>
      <c r="BU11" s="66">
        <f>AVERAGE(G11,J11,K11,O11,AE11,AJ11)</f>
        <v/>
      </c>
      <c r="BV11" s="66">
        <f>AVERAGE(G11,J11,L11,Q11)</f>
        <v/>
      </c>
      <c r="BW11" s="66">
        <f>AVERAGE(AL11,R11,P11,M11)</f>
        <v/>
      </c>
      <c r="BX11" s="66" t="n"/>
      <c r="BY11" s="66" t="n"/>
      <c r="BZ11" s="66" t="n"/>
      <c r="CA11" s="66" t="n"/>
      <c r="CB11" s="66">
        <f>AVERAGE(AH11)</f>
        <v/>
      </c>
      <c r="CC11" s="66" t="n"/>
    </row>
    <row r="12" ht="18" customHeight="1" s="590">
      <c r="B12" s="12" t="n">
        <v>6</v>
      </c>
      <c r="C12" s="13" t="inlineStr">
        <is>
          <t>Ck-sp22-120312</t>
        </is>
      </c>
      <c r="D12" s="14" t="inlineStr">
        <is>
          <t xml:space="preserve">Daniyal Ahmed </t>
        </is>
      </c>
      <c r="E12" s="74" t="n">
        <v>58.33333333333334</v>
      </c>
      <c r="F12" s="75" t="n">
        <v>50</v>
      </c>
      <c r="G12" s="76" t="n">
        <v>50.29</v>
      </c>
      <c r="H12" s="76" t="n">
        <v>72</v>
      </c>
      <c r="I12" s="230" t="n">
        <v>70.91</v>
      </c>
      <c r="J12" s="211" t="n"/>
      <c r="K12" s="225" t="n">
        <v>67.14</v>
      </c>
      <c r="L12" s="225" t="n">
        <v>60.92</v>
      </c>
      <c r="M12" s="225" t="n">
        <v>57.03</v>
      </c>
      <c r="N12" s="74" t="n">
        <v>56.6666666666667</v>
      </c>
      <c r="O12" s="92" t="n">
        <v>50.84375</v>
      </c>
      <c r="P12" s="93" t="n">
        <v>77.5</v>
      </c>
      <c r="Q12" s="97" t="n">
        <v>68</v>
      </c>
      <c r="R12" s="98" t="n">
        <v>69.8484848484848</v>
      </c>
      <c r="S12" s="99" t="n"/>
      <c r="T12" s="100" t="n"/>
      <c r="U12" s="100" t="n"/>
      <c r="V12" s="100" t="n"/>
      <c r="W12" s="100" t="n"/>
      <c r="X12" s="100" t="n"/>
      <c r="Y12" s="100" t="n"/>
      <c r="Z12" s="100" t="n"/>
      <c r="AA12" s="100" t="n"/>
      <c r="AB12" s="100" t="n"/>
      <c r="AC12" s="100" t="n"/>
      <c r="AD12" s="102" t="n"/>
      <c r="AE12" s="561" t="n"/>
      <c r="AF12" s="233" t="n">
        <v>0</v>
      </c>
      <c r="AG12" s="583" t="n">
        <v>0</v>
      </c>
      <c r="AH12" s="17" t="n">
        <v>0</v>
      </c>
      <c r="AI12" s="15" t="n"/>
      <c r="AJ12" s="546" t="n"/>
      <c r="AK12" s="665" t="n"/>
      <c r="AL12" s="17" t="n"/>
      <c r="AM12" s="31" t="n"/>
      <c r="AN12" s="349" t="n"/>
      <c r="AO12" s="349" t="n"/>
      <c r="AP12" s="45" t="n"/>
      <c r="AQ12" s="351" t="n"/>
      <c r="AR12" s="31" t="n"/>
      <c r="AS12" s="45" t="n"/>
      <c r="AT12" s="45" t="n"/>
      <c r="AU12" s="350" t="n"/>
      <c r="AV12" s="351" t="n"/>
      <c r="AW12" s="107" t="n"/>
      <c r="AX12" s="587" t="n"/>
      <c r="AY12" s="108" t="n"/>
      <c r="AZ12" s="15" t="n"/>
      <c r="BA12" s="546" t="n"/>
      <c r="BB12" s="17" t="n"/>
      <c r="BC12" s="15" t="n"/>
      <c r="BD12" s="546" t="n"/>
      <c r="BE12" s="546" t="n"/>
      <c r="BF12" s="17" t="n"/>
      <c r="BG12" s="31" t="n"/>
      <c r="BH12" s="45" t="n"/>
      <c r="BI12" s="45" t="n"/>
      <c r="BJ12" s="45" t="n"/>
      <c r="BK12" s="45" t="n"/>
      <c r="BL12" s="45" t="n"/>
      <c r="BM12" s="45" t="n"/>
      <c r="BN12" s="45" t="n"/>
      <c r="BO12" s="45" t="n"/>
      <c r="BP12" s="45" t="n"/>
      <c r="BQ12" s="45" t="n"/>
      <c r="BR12" s="351" t="n"/>
      <c r="BS12" s="606" t="n"/>
      <c r="BT12" s="65">
        <f>AVERAGE(E12,H12,N12,AI12)</f>
        <v/>
      </c>
      <c r="BU12" s="66">
        <f>AVERAGE(G12,J12,K12,O12,AE12,AJ12)</f>
        <v/>
      </c>
      <c r="BV12" s="66">
        <f>AVERAGE(G12,J12,L12,Q12)</f>
        <v/>
      </c>
      <c r="BW12" s="66">
        <f>AVERAGE(AL12,R12,P12,M12)</f>
        <v/>
      </c>
      <c r="BX12" s="66" t="n"/>
      <c r="BY12" s="66" t="n"/>
      <c r="BZ12" s="66" t="n"/>
      <c r="CA12" s="66" t="n"/>
      <c r="CB12" s="66">
        <f>AVERAGE(AH12)</f>
        <v/>
      </c>
      <c r="CC12" s="66" t="n"/>
    </row>
    <row r="13" ht="18" customHeight="1" s="590">
      <c r="B13" s="12" t="n">
        <v>7</v>
      </c>
      <c r="C13" s="13" t="inlineStr">
        <is>
          <t xml:space="preserve">ck-sp22-110507 </t>
        </is>
      </c>
      <c r="D13" s="14" t="inlineStr">
        <is>
          <t>Syed Noor Ali Rizvi</t>
        </is>
      </c>
      <c r="E13" s="74" t="n">
        <v>71.66666666666667</v>
      </c>
      <c r="F13" s="75" t="n">
        <v>65</v>
      </c>
      <c r="G13" s="76" t="n">
        <v>82.59999999999999</v>
      </c>
      <c r="H13" s="76" t="n">
        <v>71</v>
      </c>
      <c r="I13" s="76" t="n">
        <v>65.91</v>
      </c>
      <c r="J13" s="231" t="n"/>
      <c r="K13" s="225" t="n">
        <v>59.52</v>
      </c>
      <c r="L13" s="225" t="n">
        <v>59.22</v>
      </c>
      <c r="M13" s="225" t="n">
        <v>57.54</v>
      </c>
      <c r="N13" s="74" t="n">
        <v>63.33</v>
      </c>
      <c r="O13" s="92" t="n">
        <v>52.88</v>
      </c>
      <c r="P13" s="93" t="n">
        <v>78.6363636363636</v>
      </c>
      <c r="Q13" s="97" t="n">
        <v>77.6666666666667</v>
      </c>
      <c r="R13" s="98" t="n">
        <v>71.59090909090909</v>
      </c>
      <c r="S13" s="99" t="n"/>
      <c r="T13" s="100" t="n"/>
      <c r="U13" s="100" t="n"/>
      <c r="V13" s="100" t="n"/>
      <c r="W13" s="100" t="n"/>
      <c r="X13" s="100" t="n"/>
      <c r="Y13" s="100" t="n"/>
      <c r="Z13" s="100" t="n"/>
      <c r="AA13" s="100" t="n"/>
      <c r="AB13" s="100" t="n"/>
      <c r="AC13" s="100" t="n"/>
      <c r="AD13" s="102" t="n"/>
      <c r="AE13" s="227" t="n"/>
      <c r="AF13" s="224" t="n">
        <v>77.17</v>
      </c>
      <c r="AG13" s="583" t="n">
        <v>67.08</v>
      </c>
      <c r="AH13" s="17" t="n">
        <v>74.14</v>
      </c>
      <c r="AI13" s="15" t="n"/>
      <c r="AJ13" s="546" t="n"/>
      <c r="AK13" s="665" t="n"/>
      <c r="AL13" s="17" t="n"/>
      <c r="AM13" s="31" t="n"/>
      <c r="AN13" s="349" t="n"/>
      <c r="AO13" s="665" t="n"/>
      <c r="AP13" s="45" t="n"/>
      <c r="AQ13" s="351" t="n"/>
      <c r="AR13" s="31" t="n"/>
      <c r="AS13" s="45" t="n"/>
      <c r="AT13" s="45" t="n"/>
      <c r="AU13" s="351" t="n"/>
      <c r="AV13" s="663" t="n"/>
      <c r="AW13" s="107" t="n"/>
      <c r="AX13" s="587" t="n"/>
      <c r="AY13" s="108" t="n"/>
      <c r="AZ13" s="15" t="n"/>
      <c r="BA13" s="546" t="n"/>
      <c r="BB13" s="17" t="n"/>
      <c r="BC13" s="15" t="n"/>
      <c r="BD13" s="546" t="n"/>
      <c r="BE13" s="546" t="n"/>
      <c r="BF13" s="17" t="n"/>
      <c r="BG13" s="31" t="n"/>
      <c r="BH13" s="45" t="n"/>
      <c r="BI13" s="45" t="n"/>
      <c r="BJ13" s="45" t="n"/>
      <c r="BK13" s="45" t="n"/>
      <c r="BL13" s="45" t="n"/>
      <c r="BM13" s="45" t="n"/>
      <c r="BN13" s="45" t="n"/>
      <c r="BO13" s="45" t="n"/>
      <c r="BP13" s="45" t="n"/>
      <c r="BQ13" s="45" t="n"/>
      <c r="BR13" s="351" t="n"/>
      <c r="BS13" s="606" t="n"/>
      <c r="BT13" s="65">
        <f>AVERAGE(E13,H13,N13,AI13)</f>
        <v/>
      </c>
      <c r="BU13" s="66">
        <f>AVERAGE(G13,J13,K13,O13,AE13,AJ13)</f>
        <v/>
      </c>
      <c r="BV13" s="66">
        <f>AVERAGE(G13,J13,L13,Q13)</f>
        <v/>
      </c>
      <c r="BW13" s="66">
        <f>AVERAGE(AL13,R13,P13,M13)</f>
        <v/>
      </c>
      <c r="BX13" s="66" t="n"/>
      <c r="BY13" s="66" t="n"/>
      <c r="BZ13" s="66" t="n"/>
      <c r="CA13" s="66" t="n"/>
      <c r="CB13" s="66">
        <f>AVERAGE(AH13)</f>
        <v/>
      </c>
      <c r="CC13" s="66" t="n"/>
    </row>
    <row r="14" ht="14.25" customHeight="1" s="590">
      <c r="B14" s="352" t="inlineStr">
        <is>
          <t>Class Average</t>
        </is>
      </c>
      <c r="C14" s="674" t="n"/>
      <c r="D14" s="674" t="n"/>
      <c r="E14" s="77">
        <f>AVERAGE(E7:E13)</f>
        <v/>
      </c>
      <c r="F14" s="78">
        <f>AVERAGE(F7:F13)</f>
        <v/>
      </c>
      <c r="G14" s="79">
        <f>AVERAGE(G7:G13)</f>
        <v/>
      </c>
      <c r="H14" s="79">
        <f>AVERAGE(H7:H13)</f>
        <v/>
      </c>
      <c r="I14" s="79">
        <f>AVERAGE(I7:I13)</f>
        <v/>
      </c>
      <c r="J14" s="79">
        <f>AVERAGE(J7:J13)</f>
        <v/>
      </c>
      <c r="K14" s="94">
        <f>AVERAGE(K7:K13)</f>
        <v/>
      </c>
      <c r="L14" s="94">
        <f>AVERAGE(L7:L13)</f>
        <v/>
      </c>
      <c r="M14" s="35">
        <f>AVERAGE(M7:M13)</f>
        <v/>
      </c>
      <c r="N14" s="35">
        <f>AVERAGE(N7:N13)</f>
        <v/>
      </c>
      <c r="O14" s="35">
        <f>AVERAGE(O7:O13)</f>
        <v/>
      </c>
      <c r="P14" s="35">
        <f>AVERAGE(P7:P13)</f>
        <v/>
      </c>
      <c r="Q14" s="35">
        <f>AVERAGE(Q7:Q13)</f>
        <v/>
      </c>
      <c r="R14" s="35">
        <f>AVERAGE(R7:R13)</f>
        <v/>
      </c>
      <c r="S14" s="35">
        <f>AVERAGE(S7:S13)</f>
        <v/>
      </c>
      <c r="T14" s="35">
        <f>AVERAGE(T7:T13)</f>
        <v/>
      </c>
      <c r="U14" s="35">
        <f>AVERAGE(U7:U13)</f>
        <v/>
      </c>
      <c r="V14" s="35">
        <f>AVERAGE(V7:V13)</f>
        <v/>
      </c>
      <c r="W14" s="35">
        <f>AVERAGE(W7:W13)</f>
        <v/>
      </c>
      <c r="X14" s="35">
        <f>AVERAGE(X7:X13)</f>
        <v/>
      </c>
      <c r="Y14" s="35">
        <f>AVERAGE(Y7:Y13)</f>
        <v/>
      </c>
      <c r="Z14" s="35">
        <f>AVERAGE(Z7:Z13)</f>
        <v/>
      </c>
      <c r="AA14" s="35">
        <f>AVERAGE(AA7:AA13)</f>
        <v/>
      </c>
      <c r="AB14" s="35">
        <f>AVERAGE(AB7:AB13)</f>
        <v/>
      </c>
      <c r="AC14" s="35">
        <f>AVERAGE(AC7:AC13)</f>
        <v/>
      </c>
      <c r="AD14" s="35">
        <f>AVERAGE(AD7:AD13)</f>
        <v/>
      </c>
      <c r="AE14" s="503">
        <f>AVERAGE(AE7:AE13)</f>
        <v/>
      </c>
      <c r="AF14" s="503">
        <f>AVERAGE(AF7:AF13)</f>
        <v/>
      </c>
      <c r="AG14" s="503">
        <f>AVERAGE(AG7:AG13)</f>
        <v/>
      </c>
      <c r="AH14" s="18">
        <f>AVERAGE(AH7:AH13)</f>
        <v/>
      </c>
      <c r="AI14" s="18">
        <f>AVERAGE(AI7:AI13)</f>
        <v/>
      </c>
      <c r="AJ14" s="18">
        <f>AVERAGE(AJ7:AJ13)</f>
        <v/>
      </c>
      <c r="AK14" s="599" t="n"/>
      <c r="AL14" s="18">
        <f>AVERAGE(AL7:AL13)</f>
        <v/>
      </c>
      <c r="AM14" s="35">
        <f>AVERAGE(AM7:AM13)</f>
        <v/>
      </c>
      <c r="AN14" s="35">
        <f>AVERAGE(AN7:AN13)</f>
        <v/>
      </c>
      <c r="AO14" s="35">
        <f>AVERAGE(AO7:AO13)</f>
        <v/>
      </c>
      <c r="AP14" s="35">
        <f>AVERAGE(AP7:AP13)</f>
        <v/>
      </c>
      <c r="AQ14" s="35">
        <f>AVERAGE(AQ7:AQ13)</f>
        <v/>
      </c>
      <c r="AR14" s="35">
        <f>AVERAGE(AR7:AR13)</f>
        <v/>
      </c>
      <c r="AS14" s="35">
        <f>AVERAGE(AS7:AS13)</f>
        <v/>
      </c>
      <c r="AT14" s="35">
        <f>AVERAGE(AT7:AT13)</f>
        <v/>
      </c>
      <c r="AU14" s="35">
        <f>AVERAGE(AU7:AU13)</f>
        <v/>
      </c>
      <c r="AV14" s="35">
        <f>AVERAGE(AV7:AV13)</f>
        <v/>
      </c>
      <c r="AW14" s="77">
        <f>AVERAGE(AW7:AW13)</f>
        <v/>
      </c>
      <c r="AX14" s="77">
        <f>AVERAGE(AX7:AX13)</f>
        <v/>
      </c>
      <c r="AY14" s="77">
        <f>AVERAGE(AY7:AY13)</f>
        <v/>
      </c>
      <c r="AZ14" s="35">
        <f>AVERAGE(AZ7:AZ13)</f>
        <v/>
      </c>
      <c r="BA14" s="35">
        <f>AVERAGE(BA7:BA13)</f>
        <v/>
      </c>
      <c r="BB14" s="59">
        <f>AVERAGE(BB7:BB13)</f>
        <v/>
      </c>
      <c r="BC14" s="18">
        <f>AVERAGE(BC7:BC13)</f>
        <v/>
      </c>
      <c r="BD14" s="18">
        <f>AVERAGE(BD7:BD13)</f>
        <v/>
      </c>
      <c r="BE14" s="18">
        <f>AVERAGE(BE7:BE13)</f>
        <v/>
      </c>
      <c r="BF14" s="18">
        <f>AVERAGE(BF7:BF13)</f>
        <v/>
      </c>
      <c r="BG14" s="59">
        <f>AVERAGE(BG7:BG13)</f>
        <v/>
      </c>
      <c r="BH14" s="59">
        <f>AVERAGE(BH7:BH13)</f>
        <v/>
      </c>
      <c r="BI14" s="59">
        <f>AVERAGE(BI7:BI13)</f>
        <v/>
      </c>
      <c r="BJ14" s="59">
        <f>AVERAGE(BJ7:BJ13)</f>
        <v/>
      </c>
      <c r="BK14" s="59">
        <f>AVERAGE(BK7:BK13)</f>
        <v/>
      </c>
      <c r="BL14" s="59">
        <f>AVERAGE(BL7:BL13)</f>
        <v/>
      </c>
      <c r="BM14" s="59">
        <f>AVERAGE(BM7:BM13)</f>
        <v/>
      </c>
      <c r="BN14" s="59">
        <f>AVERAGE(BN7:BN13)</f>
        <v/>
      </c>
      <c r="BO14" s="59">
        <f>AVERAGE(BO7:BO13)</f>
        <v/>
      </c>
      <c r="BP14" s="59">
        <f>AVERAGE(BP7:BP13)</f>
        <v/>
      </c>
      <c r="BQ14" s="59">
        <f>AVERAGE(BQ7:BQ13)</f>
        <v/>
      </c>
      <c r="BR14" s="59">
        <f>AVERAGE(BR7:BR13)</f>
        <v/>
      </c>
      <c r="BS14" s="652" t="n"/>
      <c r="BT14" s="67">
        <f>AVERAGE(BT7:BT13)</f>
        <v/>
      </c>
      <c r="BU14" s="67">
        <f>AVERAGE(BU7:BU13)</f>
        <v/>
      </c>
      <c r="BV14" s="67">
        <f>AVERAGE(BV7:BV13)</f>
        <v/>
      </c>
      <c r="BW14" s="67">
        <f>AVERAGE(BW7:BW13)</f>
        <v/>
      </c>
      <c r="BX14" s="67" t="n"/>
      <c r="BY14" s="67" t="n"/>
      <c r="BZ14" s="67" t="n"/>
      <c r="CA14" s="67" t="n"/>
      <c r="CB14" s="67">
        <f>AVERAGE(CB7:CB13)</f>
        <v/>
      </c>
      <c r="CC14" s="67" t="n"/>
    </row>
  </sheetData>
  <mergeCells count="61">
    <mergeCell ref="AW3:AY3"/>
    <mergeCell ref="AN9:AO9"/>
    <mergeCell ref="B14:D14"/>
    <mergeCell ref="BW4:BW6"/>
    <mergeCell ref="AJ12:AK12"/>
    <mergeCell ref="AR3:AV3"/>
    <mergeCell ref="AN6:AO6"/>
    <mergeCell ref="AW6:AY6"/>
    <mergeCell ref="AM5:AO5"/>
    <mergeCell ref="AJ11:AK11"/>
    <mergeCell ref="AI3:AL3"/>
    <mergeCell ref="N5:P5"/>
    <mergeCell ref="BT4:BT6"/>
    <mergeCell ref="BZ4:BZ6"/>
    <mergeCell ref="AU5:AV5"/>
    <mergeCell ref="CB4:CB6"/>
    <mergeCell ref="AM2:BR2"/>
    <mergeCell ref="AJ14:AK14"/>
    <mergeCell ref="AP5:AQ5"/>
    <mergeCell ref="AE5:AH5"/>
    <mergeCell ref="AU13:AV13"/>
    <mergeCell ref="AJ8:AK8"/>
    <mergeCell ref="AI5:AL5"/>
    <mergeCell ref="AU9:AV9"/>
    <mergeCell ref="N3:R3"/>
    <mergeCell ref="AJ7:AK7"/>
    <mergeCell ref="Q5:R5"/>
    <mergeCell ref="BU4:BU6"/>
    <mergeCell ref="AR5:AT5"/>
    <mergeCell ref="AU6:AV6"/>
    <mergeCell ref="E1:BR1"/>
    <mergeCell ref="BY4:BY6"/>
    <mergeCell ref="AJ10:AK10"/>
    <mergeCell ref="AZ3:BB3"/>
    <mergeCell ref="AJ13:AK13"/>
    <mergeCell ref="A1:A14"/>
    <mergeCell ref="CA4:CA6"/>
    <mergeCell ref="H5:J5"/>
    <mergeCell ref="BT1:CC2"/>
    <mergeCell ref="AE3:AH3"/>
    <mergeCell ref="AJ6:AK6"/>
    <mergeCell ref="BV4:BV6"/>
    <mergeCell ref="BX4:BX6"/>
    <mergeCell ref="K3:M3"/>
    <mergeCell ref="E3:J3"/>
    <mergeCell ref="E2:AD2"/>
    <mergeCell ref="B2:B6"/>
    <mergeCell ref="D2:D6"/>
    <mergeCell ref="BG3:BR3"/>
    <mergeCell ref="AU7:AV7"/>
    <mergeCell ref="AM3:AQ3"/>
    <mergeCell ref="BS1:BS14"/>
    <mergeCell ref="E5:G5"/>
    <mergeCell ref="K5:M5"/>
    <mergeCell ref="AN7:AO7"/>
    <mergeCell ref="AE6:AF6"/>
    <mergeCell ref="AN13:AO13"/>
    <mergeCell ref="BC3:BF3"/>
    <mergeCell ref="CC4:CC6"/>
    <mergeCell ref="S3:AD3"/>
    <mergeCell ref="AJ9:AK9"/>
  </mergeCells>
  <conditionalFormatting sqref="BC14">
    <cfRule type="cellIs" priority="266" operator="lessThan" dxfId="0">
      <formula>5</formula>
    </cfRule>
  </conditionalFormatting>
  <conditionalFormatting sqref="BD14">
    <cfRule type="cellIs" priority="265" operator="lessThan" dxfId="0">
      <formula>5</formula>
    </cfRule>
  </conditionalFormatting>
  <conditionalFormatting sqref="BE14">
    <cfRule type="cellIs" priority="264" operator="lessThan" dxfId="0">
      <formula>5</formula>
    </cfRule>
  </conditionalFormatting>
  <conditionalFormatting sqref="BF14">
    <cfRule type="cellIs" priority="263" operator="lessThan" dxfId="0">
      <formula>5</formula>
    </cfRule>
  </conditionalFormatting>
  <conditionalFormatting sqref="BB7:BB13">
    <cfRule type="cellIs" priority="303" operator="lessThan" dxfId="0">
      <formula>5</formula>
    </cfRule>
  </conditionalFormatting>
  <conditionalFormatting sqref="E7:I7 E8:H13 E14:AG14 N7:AE13 AH12:AJ14 AI7:AJ11 AL7:AL14">
    <cfRule type="cellIs" priority="308" operator="lessThan" dxfId="0">
      <formula>5</formula>
    </cfRule>
  </conditionalFormatting>
  <conditionalFormatting sqref="AM7:AN13 AM14:AV14 AP7:AU13">
    <cfRule type="cellIs" priority="311" operator="lessThan" dxfId="0">
      <formula>5</formula>
    </cfRule>
  </conditionalFormatting>
  <conditionalFormatting sqref="AW7:AY13 AW14:BB14 BG7:BR14">
    <cfRule type="cellIs" priority="307" operator="lessThan" dxfId="0">
      <formula>5</formula>
    </cfRule>
  </conditionalFormatting>
  <conditionalFormatting sqref="AZ7:BA13">
    <cfRule type="cellIs" priority="304" operator="lessThan" dxfId="0">
      <formula>5</formula>
    </cfRule>
  </conditionalFormatting>
  <conditionalFormatting sqref="BC7:BF13">
    <cfRule type="cellIs" priority="305" operator="lessThan" dxfId="0">
      <formula>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F13"/>
  <sheetViews>
    <sheetView topLeftCell="A3" zoomScale="59" zoomScaleNormal="40" workbookViewId="0">
      <selection activeCell="A5" sqref="A5"/>
    </sheetView>
  </sheetViews>
  <sheetFormatPr baseColWidth="8" defaultColWidth="9.125" defaultRowHeight="14.45"/>
  <cols>
    <col width="16.125" customWidth="1" style="590" min="3" max="3"/>
    <col width="26.875" customWidth="1" style="590" min="4" max="4"/>
    <col width="9.125" customWidth="1" style="590" min="5" max="10"/>
    <col width="7" customWidth="1" style="590" min="14" max="15"/>
    <col width="12.875" customWidth="1" style="590" min="20" max="21"/>
    <col hidden="1" width="9.125" customWidth="1" style="590" min="25" max="27"/>
  </cols>
  <sheetData>
    <row r="1" ht="28.5" customHeight="1" s="590">
      <c r="A1" s="337" t="inlineStr">
        <is>
          <t>AI-FA-21</t>
        </is>
      </c>
      <c r="B1" s="1" t="n"/>
      <c r="C1" s="1" t="n"/>
      <c r="D1" s="1" t="n"/>
      <c r="E1" s="386" t="n"/>
      <c r="AP1" s="591" t="n"/>
      <c r="AQ1" s="592" t="inlineStr">
        <is>
          <t>Attainment of GAs</t>
        </is>
      </c>
      <c r="AR1" s="335" t="inlineStr">
        <is>
          <t>Attainment of Graduate Attribute</t>
        </is>
      </c>
    </row>
    <row r="2" ht="26.1" customHeight="1" s="590">
      <c r="B2" s="671" t="inlineStr">
        <is>
          <t>Sr. No.</t>
        </is>
      </c>
      <c r="C2" s="341" t="n"/>
      <c r="D2" s="593" t="inlineStr">
        <is>
          <t>Student Name</t>
        </is>
      </c>
      <c r="E2" s="3" t="n"/>
      <c r="F2" s="3" t="n"/>
      <c r="G2" s="3" t="n"/>
      <c r="H2" s="3" t="n"/>
      <c r="I2" s="3" t="n"/>
      <c r="J2" s="3" t="n"/>
      <c r="K2" s="390" t="inlineStr">
        <is>
          <t>Semester - 8</t>
        </is>
      </c>
      <c r="AQ2" s="606" t="n"/>
    </row>
    <row r="3" ht="39" customHeight="1" s="590">
      <c r="B3" s="606" t="n"/>
      <c r="C3" s="342" t="n"/>
      <c r="D3" s="608" t="n"/>
      <c r="E3" s="639" t="inlineStr">
        <is>
          <t>Logical And Automated Reasoning</t>
        </is>
      </c>
      <c r="F3" s="623" t="n"/>
      <c r="G3" s="624" t="n"/>
      <c r="H3" s="639" t="inlineStr">
        <is>
          <t>Image Processing and Analysis</t>
        </is>
      </c>
      <c r="I3" s="623" t="n"/>
      <c r="J3" s="624" t="n"/>
      <c r="K3" s="640" t="inlineStr">
        <is>
          <t>Deep Learning</t>
        </is>
      </c>
      <c r="L3" s="609" t="n"/>
      <c r="M3" s="609" t="n"/>
      <c r="N3" s="609" t="n"/>
      <c r="O3" s="611" t="n"/>
      <c r="P3" s="641" t="inlineStr">
        <is>
          <t>Computer Vision</t>
        </is>
      </c>
      <c r="Q3" s="609" t="n"/>
      <c r="R3" s="609" t="n"/>
      <c r="S3" s="609" t="n"/>
      <c r="T3" s="609" t="n"/>
      <c r="U3" s="611" t="n"/>
      <c r="V3" s="639" t="inlineStr">
        <is>
          <t>Artificial Intelligence for Robotics</t>
        </is>
      </c>
      <c r="W3" s="623" t="n"/>
      <c r="X3" s="624" t="n"/>
      <c r="Y3" s="642" t="inlineStr">
        <is>
          <t>Ethics and Social Responsibility</t>
        </is>
      </c>
      <c r="Z3" s="609" t="n"/>
      <c r="AA3" s="611" t="n"/>
      <c r="AB3" s="639" t="inlineStr">
        <is>
          <t>Big Data Analysis</t>
        </is>
      </c>
      <c r="AC3" s="623" t="n"/>
      <c r="AD3" s="624" t="n"/>
      <c r="AE3" s="643" t="inlineStr">
        <is>
          <t>Final Year Project - II</t>
        </is>
      </c>
      <c r="AF3" s="609" t="n"/>
      <c r="AG3" s="609" t="n"/>
      <c r="AH3" s="609" t="n"/>
      <c r="AI3" s="609" t="n"/>
      <c r="AJ3" s="609" t="n"/>
      <c r="AK3" s="609" t="n"/>
      <c r="AL3" s="609" t="n"/>
      <c r="AM3" s="609" t="n"/>
      <c r="AN3" s="609" t="n"/>
      <c r="AO3" s="609" t="n"/>
      <c r="AP3" s="611" t="n"/>
      <c r="AQ3" s="606" t="n"/>
      <c r="AR3" s="61" t="n"/>
      <c r="AS3" s="61" t="n"/>
      <c r="AT3" s="61" t="n"/>
      <c r="AU3" s="61" t="n"/>
      <c r="AV3" s="61" t="n"/>
      <c r="AW3" s="61" t="n"/>
      <c r="AX3" s="61" t="n"/>
      <c r="AY3" s="61" t="n"/>
      <c r="AZ3" s="61" t="n"/>
      <c r="BA3" s="61" t="n"/>
    </row>
    <row r="4" ht="26.1" customHeight="1" s="590">
      <c r="B4" s="606" t="n"/>
      <c r="C4" s="342" t="n"/>
      <c r="D4" s="608" t="n"/>
      <c r="E4" s="5" t="inlineStr">
        <is>
          <t>CLO 1</t>
        </is>
      </c>
      <c r="F4" s="6" t="inlineStr">
        <is>
          <t>CLO 2</t>
        </is>
      </c>
      <c r="G4" s="6" t="inlineStr">
        <is>
          <t>CLO 3</t>
        </is>
      </c>
      <c r="H4" s="7" t="inlineStr">
        <is>
          <t>CLO1</t>
        </is>
      </c>
      <c r="I4" s="7" t="inlineStr">
        <is>
          <t>CLO2</t>
        </is>
      </c>
      <c r="J4" s="7" t="inlineStr">
        <is>
          <t>CLO3</t>
        </is>
      </c>
      <c r="K4" s="19" t="inlineStr">
        <is>
          <t>CLO1</t>
        </is>
      </c>
      <c r="L4" s="20" t="inlineStr">
        <is>
          <t>CLO 2</t>
        </is>
      </c>
      <c r="M4" s="20" t="inlineStr">
        <is>
          <t>CLO 3</t>
        </is>
      </c>
      <c r="N4" s="21" t="inlineStr">
        <is>
          <t>CLO 1</t>
        </is>
      </c>
      <c r="O4" s="22" t="inlineStr">
        <is>
          <t>CLO 2</t>
        </is>
      </c>
      <c r="P4" s="23" t="inlineStr">
        <is>
          <t>CLO1</t>
        </is>
      </c>
      <c r="Q4" s="36" t="inlineStr">
        <is>
          <t>CLO2</t>
        </is>
      </c>
      <c r="R4" s="37" t="inlineStr">
        <is>
          <t>CLO3</t>
        </is>
      </c>
      <c r="S4" s="38" t="inlineStr">
        <is>
          <t>CLO 1</t>
        </is>
      </c>
      <c r="T4" s="39" t="inlineStr">
        <is>
          <t>CLO 2</t>
        </is>
      </c>
      <c r="U4" s="22" t="inlineStr">
        <is>
          <t>CLO 3</t>
        </is>
      </c>
      <c r="V4" s="40" t="inlineStr">
        <is>
          <t>CLO1</t>
        </is>
      </c>
      <c r="W4" s="40" t="inlineStr">
        <is>
          <t>CLO2</t>
        </is>
      </c>
      <c r="X4" s="40" t="inlineStr">
        <is>
          <t>CLO3</t>
        </is>
      </c>
      <c r="Y4" s="51" t="inlineStr">
        <is>
          <t>CLO1</t>
        </is>
      </c>
      <c r="Z4" s="21" t="inlineStr">
        <is>
          <t>CLO2</t>
        </is>
      </c>
      <c r="AA4" s="52" t="inlineStr">
        <is>
          <t>CLO3</t>
        </is>
      </c>
      <c r="AB4" s="7" t="inlineStr">
        <is>
          <t>CLO 1</t>
        </is>
      </c>
      <c r="AC4" s="7" t="inlineStr">
        <is>
          <t>CLO 2</t>
        </is>
      </c>
      <c r="AD4" s="7" t="inlineStr">
        <is>
          <t>CLO 3</t>
        </is>
      </c>
      <c r="AE4" s="23" t="inlineStr">
        <is>
          <t>CLO 1</t>
        </is>
      </c>
      <c r="AF4" s="36" t="inlineStr">
        <is>
          <t>CLO 2</t>
        </is>
      </c>
      <c r="AG4" s="37" t="inlineStr">
        <is>
          <t>CLO 3</t>
        </is>
      </c>
      <c r="AH4" s="37" t="inlineStr">
        <is>
          <t>CLO 4</t>
        </is>
      </c>
      <c r="AI4" s="37" t="inlineStr">
        <is>
          <t>CLO 5</t>
        </is>
      </c>
      <c r="AJ4" s="37" t="inlineStr">
        <is>
          <t>CLO 6</t>
        </is>
      </c>
      <c r="AK4" s="37" t="inlineStr">
        <is>
          <t>CLO 7</t>
        </is>
      </c>
      <c r="AL4" s="37" t="inlineStr">
        <is>
          <t>CLO 8</t>
        </is>
      </c>
      <c r="AM4" s="37" t="inlineStr">
        <is>
          <t>CLO 9</t>
        </is>
      </c>
      <c r="AN4" s="60" t="inlineStr">
        <is>
          <t>CLO 10</t>
        </is>
      </c>
      <c r="AO4" s="62" t="inlineStr">
        <is>
          <t>CLO 11</t>
        </is>
      </c>
      <c r="AP4" s="63" t="inlineStr">
        <is>
          <t>CLO 12</t>
        </is>
      </c>
      <c r="AQ4" s="606" t="n"/>
      <c r="AR4" s="646" t="inlineStr">
        <is>
          <t>GA1</t>
        </is>
      </c>
      <c r="AS4" s="646" t="inlineStr">
        <is>
          <t>GA2</t>
        </is>
      </c>
      <c r="AT4" s="646" t="inlineStr">
        <is>
          <t>GA3</t>
        </is>
      </c>
      <c r="AU4" s="646" t="inlineStr">
        <is>
          <t>GA4</t>
        </is>
      </c>
      <c r="AV4" s="646" t="inlineStr">
        <is>
          <t>GA5</t>
        </is>
      </c>
      <c r="AW4" s="646" t="inlineStr">
        <is>
          <t>GA6</t>
        </is>
      </c>
      <c r="AX4" s="646" t="inlineStr">
        <is>
          <t>GA7</t>
        </is>
      </c>
      <c r="AY4" s="646" t="inlineStr">
        <is>
          <t>GA8</t>
        </is>
      </c>
      <c r="AZ4" s="646" t="inlineStr">
        <is>
          <t>GA9</t>
        </is>
      </c>
      <c r="BA4" s="646" t="inlineStr">
        <is>
          <t>GA10</t>
        </is>
      </c>
      <c r="BB4" s="585" t="n"/>
      <c r="BC4" s="585" t="n"/>
      <c r="BD4" s="585" t="n"/>
      <c r="BE4" s="585" t="n"/>
      <c r="BF4" s="585" t="n"/>
    </row>
    <row r="5" ht="26.1" customHeight="1" s="590">
      <c r="B5" s="606" t="n"/>
      <c r="C5" s="342" t="n"/>
      <c r="D5" s="608" t="n"/>
      <c r="E5" s="133" t="inlineStr">
        <is>
          <t>Theory</t>
        </is>
      </c>
      <c r="G5" s="649" t="n"/>
      <c r="H5" s="363" t="n"/>
      <c r="I5" s="363" t="n"/>
      <c r="J5" s="363" t="n"/>
      <c r="K5" s="356" t="inlineStr">
        <is>
          <t>Theory</t>
        </is>
      </c>
      <c r="N5" s="53" t="inlineStr">
        <is>
          <t>Lab</t>
        </is>
      </c>
      <c r="O5" s="591" t="n"/>
      <c r="P5" s="356" t="inlineStr">
        <is>
          <t>Theory</t>
        </is>
      </c>
      <c r="S5" s="53" t="inlineStr">
        <is>
          <t>Lab</t>
        </is>
      </c>
      <c r="U5" s="591" t="n"/>
      <c r="V5" s="362" t="n"/>
      <c r="W5" s="363" t="n"/>
      <c r="X5" s="363" t="n"/>
      <c r="Y5" s="356" t="n"/>
      <c r="Z5" s="358" t="n"/>
      <c r="AA5" s="53" t="n"/>
      <c r="AB5" s="363" t="n"/>
      <c r="AC5" s="363" t="n"/>
      <c r="AD5" s="363" t="n"/>
      <c r="AE5" s="54" t="n"/>
      <c r="AF5" s="55" t="n"/>
      <c r="AG5" s="55" t="n"/>
      <c r="AH5" s="55" t="n"/>
      <c r="AI5" s="55" t="n"/>
      <c r="AJ5" s="55" t="n"/>
      <c r="AK5" s="55" t="n"/>
      <c r="AL5" s="55" t="n"/>
      <c r="AM5" s="55" t="n"/>
      <c r="AN5" s="55" t="n"/>
      <c r="AO5" s="358" t="n"/>
      <c r="AP5" s="359" t="n"/>
      <c r="AQ5" s="606" t="n"/>
      <c r="AR5" s="606" t="n"/>
      <c r="AS5" s="606" t="n"/>
      <c r="AT5" s="606" t="n"/>
      <c r="AU5" s="606" t="n"/>
      <c r="AV5" s="606" t="n"/>
      <c r="AW5" s="606" t="n"/>
      <c r="AX5" s="606" t="n"/>
      <c r="AY5" s="606" t="n"/>
      <c r="AZ5" s="606" t="n"/>
      <c r="BA5" s="606" t="n"/>
    </row>
    <row r="6" ht="26.1" customHeight="1" s="590">
      <c r="B6" s="652" t="n"/>
      <c r="C6" s="343" t="n"/>
      <c r="D6" s="650" t="n"/>
      <c r="E6" s="362" t="inlineStr">
        <is>
          <t>GA1</t>
        </is>
      </c>
      <c r="F6" s="363" t="inlineStr">
        <is>
          <t>GA2</t>
        </is>
      </c>
      <c r="G6" s="364" t="inlineStr">
        <is>
          <t>GA4</t>
        </is>
      </c>
      <c r="H6" s="364" t="inlineStr">
        <is>
          <t>GA1</t>
        </is>
      </c>
      <c r="I6" s="364" t="inlineStr">
        <is>
          <t>GA2</t>
        </is>
      </c>
      <c r="J6" s="364" t="inlineStr">
        <is>
          <t>GA4</t>
        </is>
      </c>
      <c r="K6" s="27" t="inlineStr">
        <is>
          <t>GA 2</t>
        </is>
      </c>
      <c r="L6" s="27" t="inlineStr">
        <is>
          <t>GA 3</t>
        </is>
      </c>
      <c r="M6" s="651" t="n"/>
      <c r="N6" s="27" t="inlineStr">
        <is>
          <t>GA 2</t>
        </is>
      </c>
      <c r="O6" s="27" t="inlineStr">
        <is>
          <t>GA 3</t>
        </is>
      </c>
      <c r="P6" s="516" t="inlineStr">
        <is>
          <t>GA 1</t>
        </is>
      </c>
      <c r="Q6" s="366" t="inlineStr">
        <is>
          <t>GA 3</t>
        </is>
      </c>
      <c r="R6" s="27" t="inlineStr">
        <is>
          <t>GA 3</t>
        </is>
      </c>
      <c r="S6" s="365" t="inlineStr">
        <is>
          <t>GA 1</t>
        </is>
      </c>
      <c r="T6" s="41" t="inlineStr">
        <is>
          <t>GA 3</t>
        </is>
      </c>
      <c r="U6" s="366" t="inlineStr">
        <is>
          <t>GA 3</t>
        </is>
      </c>
      <c r="V6" s="134" t="inlineStr">
        <is>
          <t>GA 1</t>
        </is>
      </c>
      <c r="W6" s="598" t="n"/>
      <c r="X6" s="599" t="n"/>
      <c r="Y6" s="56" t="inlineStr">
        <is>
          <t>PLO1</t>
        </is>
      </c>
      <c r="Z6" s="27" t="inlineStr">
        <is>
          <t>PLO2</t>
        </is>
      </c>
      <c r="AA6" s="27" t="inlineStr">
        <is>
          <t>PLO5</t>
        </is>
      </c>
      <c r="AB6" s="364" t="inlineStr">
        <is>
          <t>GA 2</t>
        </is>
      </c>
      <c r="AC6" s="364" t="inlineStr">
        <is>
          <t>GA 3</t>
        </is>
      </c>
      <c r="AD6" s="364" t="inlineStr">
        <is>
          <t>GA 4</t>
        </is>
      </c>
      <c r="AE6" s="57" t="inlineStr">
        <is>
          <t>GA1</t>
        </is>
      </c>
      <c r="AF6" s="58" t="inlineStr">
        <is>
          <t>GA2</t>
        </is>
      </c>
      <c r="AG6" s="58" t="inlineStr">
        <is>
          <t>GA3</t>
        </is>
      </c>
      <c r="AH6" s="58" t="inlineStr">
        <is>
          <t>GA4</t>
        </is>
      </c>
      <c r="AI6" s="58" t="inlineStr">
        <is>
          <t>GA5</t>
        </is>
      </c>
      <c r="AJ6" s="58" t="inlineStr">
        <is>
          <t>GA6</t>
        </is>
      </c>
      <c r="AK6" s="58" t="inlineStr">
        <is>
          <t>GA7</t>
        </is>
      </c>
      <c r="AL6" s="58" t="inlineStr">
        <is>
          <t>GA8</t>
        </is>
      </c>
      <c r="AM6" s="58" t="inlineStr">
        <is>
          <t>GA9</t>
        </is>
      </c>
      <c r="AN6" s="58" t="inlineStr">
        <is>
          <t>GA10</t>
        </is>
      </c>
      <c r="AO6" s="365" t="inlineStr">
        <is>
          <t>GA11</t>
        </is>
      </c>
      <c r="AP6" s="56" t="inlineStr">
        <is>
          <t>GA12</t>
        </is>
      </c>
      <c r="AQ6" s="606" t="n"/>
      <c r="AR6" s="652" t="n"/>
      <c r="AS6" s="652" t="n"/>
      <c r="AT6" s="652" t="n"/>
      <c r="AU6" s="652" t="n"/>
      <c r="AV6" s="652" t="n"/>
      <c r="AW6" s="652" t="n"/>
      <c r="AX6" s="652" t="n"/>
      <c r="AY6" s="652" t="n"/>
      <c r="AZ6" s="652" t="n"/>
      <c r="BA6" s="652" t="n"/>
    </row>
    <row r="7" ht="15.6" customHeight="1" s="590">
      <c r="B7" s="12" t="n">
        <v>1</v>
      </c>
      <c r="C7" s="13" t="inlineStr">
        <is>
          <t>Ck-fa21-110511</t>
        </is>
      </c>
      <c r="D7" s="14" t="inlineStr">
        <is>
          <t>Shahzaib</t>
        </is>
      </c>
      <c r="E7" s="15" t="n">
        <v>81.56</v>
      </c>
      <c r="F7" s="546" t="n">
        <v>79.17</v>
      </c>
      <c r="G7" s="17" t="n">
        <v>82.5</v>
      </c>
      <c r="H7" s="15" t="n">
        <v>78.75</v>
      </c>
      <c r="I7" s="546" t="n">
        <v>76.25</v>
      </c>
      <c r="J7" s="17" t="n">
        <v>81.25</v>
      </c>
      <c r="K7" s="31" t="n">
        <v>69.43000000000001</v>
      </c>
      <c r="L7" s="349" t="n">
        <v>72.5</v>
      </c>
      <c r="M7" s="665" t="n"/>
      <c r="N7" s="33" t="n">
        <v>95.5555555555556</v>
      </c>
      <c r="O7" s="34" t="n">
        <v>86.78571428571431</v>
      </c>
      <c r="P7" s="31" t="n">
        <v>90</v>
      </c>
      <c r="Q7" s="45" t="n">
        <v>77.81</v>
      </c>
      <c r="R7" s="45" t="n">
        <v>70.83</v>
      </c>
      <c r="S7" s="46" t="n">
        <v>80</v>
      </c>
      <c r="T7" s="47" t="n">
        <v>73.3333333333333</v>
      </c>
      <c r="U7" s="48" t="n">
        <v>72.0833333333333</v>
      </c>
      <c r="V7" s="711" t="n">
        <v>62.81</v>
      </c>
      <c r="W7" s="712" t="n"/>
      <c r="X7" s="666" t="n"/>
      <c r="Y7" s="15" t="n"/>
      <c r="Z7" s="546" t="n"/>
      <c r="AA7" s="17" t="n"/>
      <c r="AB7" s="15" t="n">
        <v>60</v>
      </c>
      <c r="AC7" s="546" t="n">
        <v>58.57</v>
      </c>
      <c r="AD7" s="17" t="n">
        <v>60</v>
      </c>
      <c r="AE7" s="31" t="n"/>
      <c r="AF7" s="45" t="n"/>
      <c r="AG7" s="45" t="n"/>
      <c r="AH7" s="45" t="n"/>
      <c r="AI7" s="45" t="n"/>
      <c r="AJ7" s="45" t="n"/>
      <c r="AK7" s="45" t="n"/>
      <c r="AL7" s="45" t="n"/>
      <c r="AM7" s="45" t="n"/>
      <c r="AN7" s="45" t="n"/>
      <c r="AO7" s="45" t="n"/>
      <c r="AP7" s="351" t="n"/>
      <c r="AQ7" s="606" t="n"/>
      <c r="AR7" s="65">
        <f>AVERAGE(V7,S7,P7)</f>
        <v/>
      </c>
      <c r="AS7" s="66">
        <f>AVERAGE(AB7,N7,K7)</f>
        <v/>
      </c>
      <c r="AT7" s="66">
        <f>AVERAGE(AC7,U7,R7,Q7,O7,L7)</f>
        <v/>
      </c>
      <c r="AU7" s="66">
        <f>AVERAGE(AD7)</f>
        <v/>
      </c>
      <c r="AV7" s="66" t="n"/>
      <c r="AW7" s="66" t="n"/>
      <c r="AX7" s="66" t="n"/>
      <c r="AY7" s="66" t="n"/>
      <c r="AZ7" s="66" t="n"/>
      <c r="BA7" s="66" t="n"/>
      <c r="BB7" s="68" t="n"/>
    </row>
    <row r="8" ht="15.6" customHeight="1" s="590">
      <c r="B8" s="12" t="n">
        <v>2</v>
      </c>
      <c r="C8" s="13" t="inlineStr">
        <is>
          <t>Ck-fa21-110508</t>
        </is>
      </c>
      <c r="D8" s="14" t="inlineStr">
        <is>
          <t xml:space="preserve">Muhammad Abbas </t>
        </is>
      </c>
      <c r="E8" s="15" t="n">
        <v>72.67</v>
      </c>
      <c r="F8" s="546" t="n">
        <v>80.56</v>
      </c>
      <c r="G8" s="17" t="n">
        <v>70</v>
      </c>
      <c r="H8" s="15" t="n">
        <v>72.5</v>
      </c>
      <c r="I8" s="546" t="n">
        <v>80</v>
      </c>
      <c r="J8" s="17" t="n">
        <v>61.6666666666667</v>
      </c>
      <c r="K8" s="31" t="n">
        <v>20.35</v>
      </c>
      <c r="L8" s="349" t="n">
        <v>17.86</v>
      </c>
      <c r="M8" s="665" t="n"/>
      <c r="N8" s="33" t="n">
        <v>76.6666666666667</v>
      </c>
      <c r="O8" s="34" t="n">
        <v>67.38095238095239</v>
      </c>
      <c r="P8" s="31" t="n">
        <v>85</v>
      </c>
      <c r="Q8" s="45" t="n">
        <v>75.94</v>
      </c>
      <c r="R8" s="45" t="n">
        <v>58.75</v>
      </c>
      <c r="S8" s="46" t="n">
        <v>60</v>
      </c>
      <c r="T8" s="47" t="n">
        <v>53.3333333333333</v>
      </c>
      <c r="U8" s="48" t="n">
        <v>50</v>
      </c>
      <c r="V8" s="711" t="n">
        <v>60.79</v>
      </c>
      <c r="W8" s="712" t="n"/>
      <c r="X8" s="666" t="n"/>
      <c r="Y8" s="15" t="n"/>
      <c r="Z8" s="546" t="n"/>
      <c r="AA8" s="17" t="n"/>
      <c r="AB8" s="15" t="n">
        <v>7.5</v>
      </c>
      <c r="AC8" s="546" t="n">
        <v>20</v>
      </c>
      <c r="AD8" s="17" t="n">
        <v>45</v>
      </c>
      <c r="AE8" s="31" t="n"/>
      <c r="AF8" s="45" t="n"/>
      <c r="AG8" s="45" t="n"/>
      <c r="AH8" s="45" t="n"/>
      <c r="AI8" s="45" t="n"/>
      <c r="AJ8" s="45" t="n"/>
      <c r="AK8" s="45" t="n"/>
      <c r="AL8" s="45" t="n"/>
      <c r="AM8" s="45" t="n"/>
      <c r="AN8" s="45" t="n"/>
      <c r="AO8" s="45" t="n"/>
      <c r="AP8" s="351" t="n"/>
      <c r="AQ8" s="606" t="n"/>
      <c r="AR8" s="65">
        <f>AVERAGE(V8,S8,P8)</f>
        <v/>
      </c>
      <c r="AS8" s="66">
        <f>AVERAGE(AB8,N8,K8)</f>
        <v/>
      </c>
      <c r="AT8" s="66">
        <f>AVERAGE(AC8,U8,R8,Q8,O8,L8)</f>
        <v/>
      </c>
      <c r="AU8" s="66">
        <f>AVERAGE(AD8)</f>
        <v/>
      </c>
      <c r="AV8" s="66" t="n"/>
      <c r="AW8" s="66" t="n"/>
      <c r="AX8" s="66" t="n"/>
      <c r="AY8" s="66" t="n"/>
      <c r="AZ8" s="66" t="n"/>
      <c r="BA8" s="66" t="n"/>
    </row>
    <row r="9" ht="15.6" customHeight="1" s="590">
      <c r="B9" s="12" t="n">
        <v>3</v>
      </c>
      <c r="C9" s="13" t="inlineStr">
        <is>
          <t>ck-fa21-110510</t>
        </is>
      </c>
      <c r="D9" s="14" t="inlineStr">
        <is>
          <t xml:space="preserve">Ahmad Raza </t>
        </is>
      </c>
      <c r="E9" s="15" t="n">
        <v>80.89</v>
      </c>
      <c r="F9" s="546" t="n">
        <v>83.61</v>
      </c>
      <c r="G9" s="17" t="n">
        <v>75</v>
      </c>
      <c r="H9" s="15" t="n">
        <v>81.25</v>
      </c>
      <c r="I9" s="546" t="n">
        <v>77.9166666666667</v>
      </c>
      <c r="J9" s="17" t="n">
        <v>57.5</v>
      </c>
      <c r="K9" s="31" t="n">
        <v>79.2</v>
      </c>
      <c r="L9" s="349" t="n">
        <v>95.70999999999999</v>
      </c>
      <c r="M9" s="665" t="n"/>
      <c r="N9" s="33" t="n">
        <v>96.6666666666667</v>
      </c>
      <c r="O9" s="34" t="n">
        <v>87.7380952380952</v>
      </c>
      <c r="P9" s="31" t="n">
        <v>80</v>
      </c>
      <c r="Q9" s="45" t="n">
        <v>69.06</v>
      </c>
      <c r="R9" s="45" t="n">
        <v>61.67</v>
      </c>
      <c r="S9" s="46" t="n">
        <v>85</v>
      </c>
      <c r="T9" s="47" t="n">
        <v>63.3333333333333</v>
      </c>
      <c r="U9" s="48" t="n">
        <v>69.5833333333333</v>
      </c>
      <c r="V9" s="711" t="n">
        <v>58.98</v>
      </c>
      <c r="W9" s="712" t="n"/>
      <c r="X9" s="666" t="n"/>
      <c r="Y9" s="15" t="n"/>
      <c r="Z9" s="546" t="n"/>
      <c r="AA9" s="17" t="n"/>
      <c r="AB9" s="15" t="n">
        <v>65</v>
      </c>
      <c r="AC9" s="546" t="n">
        <v>62.86</v>
      </c>
      <c r="AD9" s="17" t="n">
        <v>60</v>
      </c>
      <c r="AE9" s="31" t="n"/>
      <c r="AF9" s="45" t="n"/>
      <c r="AG9" s="45" t="n"/>
      <c r="AH9" s="45" t="n"/>
      <c r="AI9" s="45" t="n"/>
      <c r="AJ9" s="45" t="n"/>
      <c r="AK9" s="45" t="n"/>
      <c r="AL9" s="45" t="n"/>
      <c r="AM9" s="45" t="n"/>
      <c r="AN9" s="45" t="n"/>
      <c r="AO9" s="45" t="n"/>
      <c r="AP9" s="351" t="n"/>
      <c r="AQ9" s="606" t="n"/>
      <c r="AR9" s="65">
        <f>AVERAGE(V9,S9,P9)</f>
        <v/>
      </c>
      <c r="AS9" s="66">
        <f>AVERAGE(AB9,N9,K9)</f>
        <v/>
      </c>
      <c r="AT9" s="66">
        <f>AVERAGE(AC9,U9,R9,Q9,O9,L9)</f>
        <v/>
      </c>
      <c r="AU9" s="66">
        <f>AVERAGE(AD9)</f>
        <v/>
      </c>
      <c r="AV9" s="66" t="n"/>
      <c r="AW9" s="66" t="n"/>
      <c r="AX9" s="66" t="n"/>
      <c r="AY9" s="66" t="n"/>
      <c r="AZ9" s="66" t="n"/>
      <c r="BA9" s="66" t="n"/>
    </row>
    <row r="10" ht="15.6" customHeight="1" s="590">
      <c r="B10" s="352" t="inlineStr">
        <is>
          <t>Class Average</t>
        </is>
      </c>
      <c r="C10" s="674" t="n"/>
      <c r="D10" s="674" t="n"/>
      <c r="E10" s="18">
        <f>AVERAGE(E7:E9)</f>
        <v/>
      </c>
      <c r="F10" s="18">
        <f>AVERAGE(F7:F9)</f>
        <v/>
      </c>
      <c r="G10" s="18">
        <f>AVERAGE(G7:G9)</f>
        <v/>
      </c>
      <c r="H10" s="18">
        <f>AVERAGE(H7:H9)</f>
        <v/>
      </c>
      <c r="I10" s="18">
        <f>AVERAGE(I7:I9)</f>
        <v/>
      </c>
      <c r="J10" s="18">
        <f>AVERAGE(J7:J9)</f>
        <v/>
      </c>
      <c r="K10" s="35">
        <f>AVERAGE(K7:K9)</f>
        <v/>
      </c>
      <c r="L10" s="35">
        <f>AVERAGE(L7:L9)</f>
        <v/>
      </c>
      <c r="M10" s="35">
        <f>AVERAGE(M7:M9)</f>
        <v/>
      </c>
      <c r="N10" s="35">
        <f>AVERAGE(N7:N9)</f>
        <v/>
      </c>
      <c r="O10" s="35">
        <f>AVERAGE(O7:O9)</f>
        <v/>
      </c>
      <c r="P10" s="35">
        <f>AVERAGE(P7:P9)</f>
        <v/>
      </c>
      <c r="Q10" s="35">
        <f>AVERAGE(Q7:Q9)</f>
        <v/>
      </c>
      <c r="R10" s="35">
        <f>AVERAGE(R7:R9)</f>
        <v/>
      </c>
      <c r="S10" s="35">
        <f>AVERAGE(S7:S9)</f>
        <v/>
      </c>
      <c r="T10" s="35">
        <f>AVERAGE(T7:T9)</f>
        <v/>
      </c>
      <c r="U10" s="35">
        <f>AVERAGE(U7:U9)</f>
        <v/>
      </c>
      <c r="V10" s="77">
        <f>AVERAGE(V7:V9)</f>
        <v/>
      </c>
      <c r="W10" s="605" t="n"/>
      <c r="X10" s="676" t="n"/>
      <c r="Y10" s="35">
        <f>AVERAGE(Y7:Y9)</f>
        <v/>
      </c>
      <c r="Z10" s="35">
        <f>AVERAGE(Z7:Z9)</f>
        <v/>
      </c>
      <c r="AA10" s="59">
        <f>AVERAGE(AA7:AA9)</f>
        <v/>
      </c>
      <c r="AB10" s="18">
        <f>AVERAGE(AB7:AB9)</f>
        <v/>
      </c>
      <c r="AC10" s="18">
        <f>AVERAGE(AC7:AC9)</f>
        <v/>
      </c>
      <c r="AD10" s="18">
        <f>AVERAGE(AD7:AD9)</f>
        <v/>
      </c>
      <c r="AE10" s="59">
        <f>AVERAGE(AE7:AE9)</f>
        <v/>
      </c>
      <c r="AF10" s="59">
        <f>AVERAGE(AF7:AF9)</f>
        <v/>
      </c>
      <c r="AG10" s="59">
        <f>AVERAGE(AG7:AG9)</f>
        <v/>
      </c>
      <c r="AH10" s="59">
        <f>AVERAGE(AH7:AH9)</f>
        <v/>
      </c>
      <c r="AI10" s="59">
        <f>AVERAGE(AI7:AI9)</f>
        <v/>
      </c>
      <c r="AJ10" s="59">
        <f>AVERAGE(AJ7:AJ9)</f>
        <v/>
      </c>
      <c r="AK10" s="59">
        <f>AVERAGE(AK7:AK9)</f>
        <v/>
      </c>
      <c r="AL10" s="59">
        <f>AVERAGE(AL7:AL9)</f>
        <v/>
      </c>
      <c r="AM10" s="59">
        <f>AVERAGE(AM7:AM9)</f>
        <v/>
      </c>
      <c r="AN10" s="59">
        <f>AVERAGE(AN7:AN9)</f>
        <v/>
      </c>
      <c r="AO10" s="59">
        <f>AVERAGE(AO7:AO9)</f>
        <v/>
      </c>
      <c r="AP10" s="59">
        <f>AVERAGE(AP7:AP9)</f>
        <v/>
      </c>
      <c r="AQ10" s="652" t="n"/>
      <c r="AR10" s="67">
        <f>AVERAGE(AR7:AR9)</f>
        <v/>
      </c>
      <c r="AS10" s="67">
        <f>AVERAGE(AS7:AS9)</f>
        <v/>
      </c>
      <c r="AT10" s="67">
        <f>AVERAGE(AT7:AT9)</f>
        <v/>
      </c>
      <c r="AU10" s="67">
        <f>AVERAGE(AU7:AU9)</f>
        <v/>
      </c>
      <c r="AV10" s="67" t="n"/>
      <c r="AW10" s="67" t="n"/>
      <c r="AX10" s="67" t="n"/>
      <c r="AY10" s="67" t="n"/>
      <c r="AZ10" s="67" t="n"/>
      <c r="BA10" s="67" t="n"/>
    </row>
    <row r="11">
      <c r="V11" s="589" t="n"/>
    </row>
    <row r="12">
      <c r="V12" s="589" t="n"/>
    </row>
    <row r="13">
      <c r="V13" s="589" t="n"/>
    </row>
  </sheetData>
  <mergeCells count="48">
    <mergeCell ref="K3:O3"/>
    <mergeCell ref="V10:X10"/>
    <mergeCell ref="AE3:AP3"/>
    <mergeCell ref="L7:M7"/>
    <mergeCell ref="BD4:BD6"/>
    <mergeCell ref="V9:X9"/>
    <mergeCell ref="BF4:BF6"/>
    <mergeCell ref="V6:X6"/>
    <mergeCell ref="B10:D10"/>
    <mergeCell ref="V11:X11"/>
    <mergeCell ref="A1:A10"/>
    <mergeCell ref="BA4:BA6"/>
    <mergeCell ref="AV4:AV6"/>
    <mergeCell ref="BC4:BC6"/>
    <mergeCell ref="AX4:AX6"/>
    <mergeCell ref="N5:O5"/>
    <mergeCell ref="P3:U3"/>
    <mergeCell ref="H3:J3"/>
    <mergeCell ref="V7:X7"/>
    <mergeCell ref="L8:M8"/>
    <mergeCell ref="S5:U5"/>
    <mergeCell ref="E1:AP1"/>
    <mergeCell ref="P5:R5"/>
    <mergeCell ref="AS4:AS6"/>
    <mergeCell ref="AB3:AD3"/>
    <mergeCell ref="AU4:AU6"/>
    <mergeCell ref="V12:X12"/>
    <mergeCell ref="E3:G3"/>
    <mergeCell ref="V3:X3"/>
    <mergeCell ref="Y3:AA3"/>
    <mergeCell ref="B2:B6"/>
    <mergeCell ref="L9:M9"/>
    <mergeCell ref="D2:D6"/>
    <mergeCell ref="BE4:BE6"/>
    <mergeCell ref="K2:AP2"/>
    <mergeCell ref="AQ1:AQ10"/>
    <mergeCell ref="AR1:BA2"/>
    <mergeCell ref="L6:M6"/>
    <mergeCell ref="AW4:AW6"/>
    <mergeCell ref="E5:G5"/>
    <mergeCell ref="K5:M5"/>
    <mergeCell ref="AY4:AY6"/>
    <mergeCell ref="AZ4:AZ6"/>
    <mergeCell ref="V8:X8"/>
    <mergeCell ref="AR4:AR6"/>
    <mergeCell ref="BB4:BB6"/>
    <mergeCell ref="AT4:AT6"/>
    <mergeCell ref="V13:X13"/>
  </mergeCells>
  <conditionalFormatting sqref="L8">
    <cfRule type="cellIs" priority="4" operator="lessThan" dxfId="0">
      <formula>5</formula>
    </cfRule>
  </conditionalFormatting>
  <conditionalFormatting sqref="S8:T8">
    <cfRule type="cellIs" priority="3" operator="lessThan" dxfId="0">
      <formula>5</formula>
    </cfRule>
  </conditionalFormatting>
  <conditionalFormatting sqref="AB10">
    <cfRule type="cellIs" priority="270" operator="lessThan" dxfId="0">
      <formula>5</formula>
    </cfRule>
  </conditionalFormatting>
  <conditionalFormatting sqref="AC10">
    <cfRule type="cellIs" priority="269" operator="lessThan" dxfId="0">
      <formula>5</formula>
    </cfRule>
  </conditionalFormatting>
  <conditionalFormatting sqref="AD10">
    <cfRule type="cellIs" priority="267" operator="lessThan" dxfId="0">
      <formula>5</formula>
    </cfRule>
  </conditionalFormatting>
  <conditionalFormatting sqref="AA7:AA9">
    <cfRule type="cellIs" priority="307" operator="lessThan" dxfId="0">
      <formula>5</formula>
    </cfRule>
  </conditionalFormatting>
  <conditionalFormatting sqref="E7:J10">
    <cfRule type="cellIs" priority="312" operator="lessThan" dxfId="0">
      <formula>5</formula>
    </cfRule>
  </conditionalFormatting>
  <conditionalFormatting sqref="K7:L7 K8 K9:L9 K10:U10 N7:T7 N8:R8 N9:T9">
    <cfRule type="cellIs" priority="315" operator="lessThan" dxfId="0">
      <formula>5</formula>
    </cfRule>
  </conditionalFormatting>
  <conditionalFormatting sqref="V7:V10 Y10:AA10 AE7:AP10">
    <cfRule type="cellIs" priority="311" operator="lessThan" dxfId="0">
      <formula>5</formula>
    </cfRule>
  </conditionalFormatting>
  <conditionalFormatting sqref="Y7:Z9">
    <cfRule type="cellIs" priority="308" operator="lessThan" dxfId="0">
      <formula>5</formula>
    </cfRule>
  </conditionalFormatting>
  <conditionalFormatting sqref="AB7:AD9">
    <cfRule type="cellIs" priority="309" operator="lessThan" dxfId="0">
      <formula>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L26"/>
  <sheetViews>
    <sheetView topLeftCell="A11" workbookViewId="0">
      <selection activeCell="B16" sqref="B16"/>
    </sheetView>
  </sheetViews>
  <sheetFormatPr baseColWidth="8" defaultColWidth="9.125" defaultRowHeight="14.45"/>
  <cols>
    <col width="10.5" customWidth="1" style="590" min="2" max="2"/>
    <col width="6.5" customWidth="1" style="590" min="3" max="6"/>
    <col width="5.75" customWidth="1" style="590" min="7" max="7"/>
    <col width="6.5" customWidth="1" style="590" min="8" max="8"/>
    <col width="5.75" customWidth="1" style="590" min="9" max="9"/>
    <col width="6.125" customWidth="1" style="590" min="10" max="10"/>
    <col width="5.75" customWidth="1" style="590" min="11" max="11"/>
    <col width="6.75" customWidth="1" style="590" min="12" max="12"/>
  </cols>
  <sheetData>
    <row r="1">
      <c r="B1" s="585" t="n"/>
    </row>
    <row r="2"/>
    <row r="3">
      <c r="B3" s="182" t="n"/>
      <c r="C3" s="183" t="inlineStr">
        <is>
          <t>GA 1</t>
        </is>
      </c>
      <c r="D3" s="183" t="inlineStr">
        <is>
          <t>GA 2</t>
        </is>
      </c>
      <c r="E3" s="183" t="inlineStr">
        <is>
          <t>GA 3</t>
        </is>
      </c>
      <c r="F3" s="183" t="inlineStr">
        <is>
          <t>GA 4</t>
        </is>
      </c>
      <c r="G3" s="183" t="inlineStr">
        <is>
          <t>GA 5</t>
        </is>
      </c>
      <c r="H3" s="183" t="inlineStr">
        <is>
          <t>GA 6</t>
        </is>
      </c>
      <c r="I3" s="183" t="inlineStr">
        <is>
          <t>GA 7</t>
        </is>
      </c>
      <c r="J3" s="183" t="inlineStr">
        <is>
          <t xml:space="preserve">GA 8 </t>
        </is>
      </c>
      <c r="K3" s="183" t="inlineStr">
        <is>
          <t>GA 9</t>
        </is>
      </c>
      <c r="L3" s="198" t="inlineStr">
        <is>
          <t>GA 10</t>
        </is>
      </c>
    </row>
    <row r="4">
      <c r="B4" s="183" t="inlineStr">
        <is>
          <t>AI-SP-25</t>
        </is>
      </c>
      <c r="C4" s="184">
        <f>'AI-SP-25'!HP31</f>
        <v/>
      </c>
      <c r="D4" s="184">
        <f>'AI-SP-25'!HQ31</f>
        <v/>
      </c>
      <c r="E4" s="184">
        <f>'AI-SP-25'!HR31</f>
        <v/>
      </c>
      <c r="F4" s="184">
        <f>'AI-SP-25'!HS31</f>
        <v/>
      </c>
      <c r="G4" s="184">
        <f>'AI-SP-25'!HT31</f>
        <v/>
      </c>
      <c r="H4" s="184" t="n"/>
      <c r="I4" s="184">
        <f>'AI-SP-25'!HV31</f>
        <v/>
      </c>
      <c r="J4" s="184">
        <f>'AI-SP-25'!HW31</f>
        <v/>
      </c>
      <c r="K4" s="184">
        <f>'AI-SP-25'!HX31</f>
        <v/>
      </c>
      <c r="L4" s="184">
        <f>'AI-SP-25'!HY31</f>
        <v/>
      </c>
    </row>
    <row r="5">
      <c r="B5" s="183" t="inlineStr">
        <is>
          <t>AI-FA-24</t>
        </is>
      </c>
      <c r="C5" s="185">
        <f>'AI-FA-24'!HV46</f>
        <v/>
      </c>
      <c r="D5" s="185">
        <f>'AI-FA-24'!HW46</f>
        <v/>
      </c>
      <c r="E5" s="185">
        <f>'AI-FA-24'!HX46</f>
        <v/>
      </c>
      <c r="F5" s="185">
        <f>'AI-FA-24'!HY46</f>
        <v/>
      </c>
      <c r="G5" s="185">
        <f>'AI-FA-24'!HZ46</f>
        <v/>
      </c>
      <c r="H5" s="185">
        <f>'AI-FA-24'!IA46</f>
        <v/>
      </c>
      <c r="I5" s="185">
        <f>'AI-FA-24'!IB46</f>
        <v/>
      </c>
      <c r="J5" s="185" t="n"/>
      <c r="K5" s="185">
        <f>'AI-FA-24'!ID46</f>
        <v/>
      </c>
      <c r="L5" s="185">
        <f>'AI-FA-24'!IE46</f>
        <v/>
      </c>
    </row>
    <row r="6">
      <c r="B6" s="183" t="inlineStr">
        <is>
          <t>AI-SP-24</t>
        </is>
      </c>
      <c r="C6" s="185">
        <f>'AI-SP-24'!BR36</f>
        <v/>
      </c>
      <c r="D6" s="185">
        <f>'AI-SP-24'!BS36</f>
        <v/>
      </c>
      <c r="E6" s="185">
        <f>'AI-SP-24'!BT36</f>
        <v/>
      </c>
      <c r="F6" s="185">
        <f>'AI-SP-24'!BU36</f>
        <v/>
      </c>
      <c r="G6" s="185">
        <f>'AI-SP-24'!BV36</f>
        <v/>
      </c>
      <c r="H6" s="185">
        <f>'AI-SP-24'!BW36</f>
        <v/>
      </c>
      <c r="I6" s="185">
        <f>'AI-SP-24'!BX36</f>
        <v/>
      </c>
      <c r="J6" s="185" t="n"/>
      <c r="K6" s="185">
        <f>'AI-SP-24'!BZ36</f>
        <v/>
      </c>
      <c r="L6" s="185" t="n"/>
    </row>
    <row r="7">
      <c r="B7" s="183" t="inlineStr">
        <is>
          <t>AI-FA-23</t>
        </is>
      </c>
      <c r="C7" s="185">
        <f>'AI-FA-23'!BP36</f>
        <v/>
      </c>
      <c r="D7" s="185">
        <f>'AI-FA-23'!BQ36</f>
        <v/>
      </c>
      <c r="E7" s="185">
        <f>'AI-FA-23'!BR36</f>
        <v/>
      </c>
      <c r="F7" s="185">
        <f>'AI-FA-23'!BS36</f>
        <v/>
      </c>
      <c r="G7" s="185">
        <f>'AI-FA-23'!BT36</f>
        <v/>
      </c>
      <c r="H7" s="185" t="n"/>
      <c r="I7" s="185" t="n"/>
      <c r="J7" s="185">
        <f>'AI-FA-23'!BW36</f>
        <v/>
      </c>
      <c r="K7" s="185">
        <f>'AI-FA-23'!BX36</f>
        <v/>
      </c>
      <c r="L7" s="185">
        <f>'AI-FA-23'!BY36</f>
        <v/>
      </c>
    </row>
    <row r="8">
      <c r="B8" s="183" t="inlineStr">
        <is>
          <t>AI-SP-23</t>
        </is>
      </c>
      <c r="C8" s="185">
        <f>'AI-SP-23'!EF21</f>
        <v/>
      </c>
      <c r="D8" s="185">
        <f>'AI-SP-23'!EG21</f>
        <v/>
      </c>
      <c r="E8" s="185">
        <f>'AI-SP-23'!EH21</f>
        <v/>
      </c>
      <c r="F8" s="185">
        <f>'AI-SP-23'!EI21</f>
        <v/>
      </c>
      <c r="G8" s="185">
        <f>'AI-SP-23'!EJ21</f>
        <v/>
      </c>
      <c r="H8" s="185" t="n"/>
      <c r="I8" s="185" t="n"/>
      <c r="J8" s="185" t="n"/>
      <c r="K8" s="185" t="n"/>
      <c r="L8" s="185" t="n"/>
    </row>
    <row r="9">
      <c r="B9" s="183" t="inlineStr">
        <is>
          <t>AI-FA-22</t>
        </is>
      </c>
      <c r="C9" s="185">
        <f>'AI-FA-22'!GE18</f>
        <v/>
      </c>
      <c r="D9" s="185">
        <f>'AI-FA-22'!GF18</f>
        <v/>
      </c>
      <c r="E9" s="185">
        <f>'AI-FA-22'!GG18</f>
        <v/>
      </c>
      <c r="F9" s="185">
        <f>'AI-FA-22'!GH18</f>
        <v/>
      </c>
      <c r="G9" s="185">
        <f>'AI-FA-22'!GI18</f>
        <v/>
      </c>
      <c r="H9" s="185" t="n"/>
      <c r="I9" s="185">
        <f>'AI-FA-22'!GK18</f>
        <v/>
      </c>
      <c r="J9" s="185">
        <f>'AI-FA-22'!GL18</f>
        <v/>
      </c>
      <c r="K9" s="185" t="n"/>
      <c r="L9" s="185">
        <f>'AI-FA-22'!GN18</f>
        <v/>
      </c>
    </row>
    <row r="10">
      <c r="B10" s="183" t="inlineStr">
        <is>
          <t>AI-SP-22</t>
        </is>
      </c>
      <c r="C10" s="185">
        <f>'AI-SP-22'!BT14</f>
        <v/>
      </c>
      <c r="D10" s="185">
        <f>'AI-SP-22'!BU14</f>
        <v/>
      </c>
      <c r="E10" s="185">
        <f>'AI-SP-22'!BV14</f>
        <v/>
      </c>
      <c r="F10" s="185">
        <f>'AI-SP-22'!BW14</f>
        <v/>
      </c>
      <c r="G10" s="185">
        <f>'AI-SP-22'!BX14</f>
        <v/>
      </c>
      <c r="H10" s="185" t="n"/>
      <c r="I10" s="185">
        <f>'AI-SP-22'!BZ14</f>
        <v/>
      </c>
      <c r="J10" s="185">
        <f>'AI-SP-22'!CA14</f>
        <v/>
      </c>
      <c r="K10" s="185">
        <f>'AI-SP-22'!CB14</f>
        <v/>
      </c>
      <c r="L10" s="185" t="n"/>
    </row>
    <row r="11">
      <c r="B11" s="183" t="inlineStr">
        <is>
          <t>AI-FA-21</t>
        </is>
      </c>
      <c r="C11" s="185">
        <f>'AI-FA-21'!AR10</f>
        <v/>
      </c>
      <c r="D11" s="186">
        <f>'AI-FA-21'!AS10</f>
        <v/>
      </c>
      <c r="E11" s="186">
        <f>'AI-FA-21'!AT10</f>
        <v/>
      </c>
      <c r="F11" s="186">
        <f>'AI-FA-21'!AU10</f>
        <v/>
      </c>
      <c r="G11" s="186">
        <f>'AI-FA-21'!AV10</f>
        <v/>
      </c>
      <c r="H11" s="186" t="n"/>
      <c r="I11" s="186" t="n"/>
      <c r="J11" s="186" t="n"/>
      <c r="K11" s="186" t="n"/>
      <c r="L11" s="193" t="n"/>
    </row>
    <row r="12">
      <c r="B12" s="183" t="inlineStr">
        <is>
          <t>Aggregate</t>
        </is>
      </c>
      <c r="C12" s="185">
        <f>AVERAGE(C4:C11)</f>
        <v/>
      </c>
      <c r="D12" s="186">
        <f>AVERAGE(D4:D11)</f>
        <v/>
      </c>
      <c r="E12" s="186">
        <f>AVERAGE(E4:E11)</f>
        <v/>
      </c>
      <c r="F12" s="186">
        <f>AVERAGE(F4:F11)</f>
        <v/>
      </c>
      <c r="G12" s="186">
        <f>AVERAGE(G4:G11)</f>
        <v/>
      </c>
      <c r="H12" s="186">
        <f>AVERAGE(H4:H11)</f>
        <v/>
      </c>
      <c r="I12" s="186">
        <f>AVERAGE(I4:I11)</f>
        <v/>
      </c>
      <c r="J12" s="186">
        <f>AVERAGE(J4:J11)</f>
        <v/>
      </c>
      <c r="K12" s="186">
        <f>AVERAGE(K4:K11)</f>
        <v/>
      </c>
      <c r="L12" s="186">
        <f>AVERAGE(L4:L11)</f>
        <v/>
      </c>
    </row>
    <row r="16">
      <c r="B16" s="187" t="n"/>
      <c r="C16" s="188" t="inlineStr">
        <is>
          <t>PO 1</t>
        </is>
      </c>
      <c r="D16" s="187" t="inlineStr">
        <is>
          <t>PO 2</t>
        </is>
      </c>
      <c r="E16" s="188" t="inlineStr">
        <is>
          <t>PO 3</t>
        </is>
      </c>
      <c r="F16" s="187" t="inlineStr">
        <is>
          <t>PO 4</t>
        </is>
      </c>
    </row>
    <row r="17">
      <c r="B17" s="188" t="inlineStr">
        <is>
          <t>GA 1</t>
        </is>
      </c>
      <c r="C17" s="189">
        <f>C12</f>
        <v/>
      </c>
      <c r="D17" s="190">
        <f>C12</f>
        <v/>
      </c>
      <c r="E17" s="191" t="n"/>
      <c r="F17" s="191" t="n"/>
    </row>
    <row r="18">
      <c r="B18" s="187" t="inlineStr">
        <is>
          <t>GA 2</t>
        </is>
      </c>
      <c r="C18" s="192">
        <f>D12</f>
        <v/>
      </c>
      <c r="D18" s="193">
        <f>D12</f>
        <v/>
      </c>
      <c r="E18" s="194" t="n"/>
      <c r="F18" s="194" t="n"/>
    </row>
    <row r="19">
      <c r="B19" s="188" t="inlineStr">
        <is>
          <t>GA 3</t>
        </is>
      </c>
      <c r="C19" s="195" t="n"/>
      <c r="D19" s="196">
        <f>E11</f>
        <v/>
      </c>
      <c r="E19" s="193">
        <f>E12</f>
        <v/>
      </c>
      <c r="F19" s="194" t="n"/>
    </row>
    <row r="20">
      <c r="B20" s="197" t="inlineStr">
        <is>
          <t>GA 4</t>
        </is>
      </c>
      <c r="C20" s="195" t="n"/>
      <c r="D20" s="193">
        <f>F12</f>
        <v/>
      </c>
      <c r="E20" s="193">
        <f>F12</f>
        <v/>
      </c>
      <c r="F20" s="194" t="n"/>
    </row>
    <row r="21">
      <c r="B21" s="188" t="inlineStr">
        <is>
          <t>GA 5</t>
        </is>
      </c>
      <c r="C21" s="195" t="n"/>
      <c r="D21" s="193">
        <f>G12</f>
        <v/>
      </c>
      <c r="E21" s="194" t="n"/>
      <c r="F21" s="194" t="n"/>
    </row>
    <row r="22">
      <c r="B22" s="187" t="inlineStr">
        <is>
          <t>GA 6</t>
        </is>
      </c>
      <c r="C22" s="195" t="n"/>
      <c r="D22" s="194" t="n"/>
      <c r="E22" s="193">
        <f>H12</f>
        <v/>
      </c>
      <c r="F22" s="193">
        <f>H12</f>
        <v/>
      </c>
    </row>
    <row r="23">
      <c r="B23" s="188" t="inlineStr">
        <is>
          <t>GA 7</t>
        </is>
      </c>
      <c r="C23" s="195" t="n"/>
      <c r="D23" s="194" t="n"/>
      <c r="E23" s="193">
        <f>I12</f>
        <v/>
      </c>
      <c r="F23" s="193">
        <f>I12</f>
        <v/>
      </c>
    </row>
    <row r="24">
      <c r="B24" s="187" t="inlineStr">
        <is>
          <t>GA 8</t>
        </is>
      </c>
      <c r="C24" s="195" t="n"/>
      <c r="D24" s="194" t="n"/>
      <c r="E24" s="193">
        <f>J12</f>
        <v/>
      </c>
      <c r="F24" s="194" t="n"/>
    </row>
    <row r="25">
      <c r="B25" s="188" t="inlineStr">
        <is>
          <t>GA 9</t>
        </is>
      </c>
      <c r="C25" s="195" t="n"/>
      <c r="D25" s="194" t="n"/>
      <c r="E25" s="194" t="n"/>
      <c r="F25" s="193">
        <f>K12</f>
        <v/>
      </c>
    </row>
    <row r="26">
      <c r="B26" s="187" t="inlineStr">
        <is>
          <t>GA 10</t>
        </is>
      </c>
      <c r="C26" s="195" t="n"/>
      <c r="D26" s="194" t="n"/>
      <c r="E26" s="193">
        <f>L12</f>
        <v/>
      </c>
      <c r="F26" s="194" t="n"/>
    </row>
  </sheetData>
  <mergeCells count="1">
    <mergeCell ref="B1:L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2025-07-15T03:27:00Z</dcterms:created>
  <dcterms:modified xmlns:dcterms="http://purl.org/dc/terms/" xmlns:xsi="http://www.w3.org/2001/XMLSchema-instance" xsi:type="dcterms:W3CDTF">2026-08-23T18:19:15Z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3825859D96BE436A96C597940B2CF798_13</vt:lpwstr>
  </property>
  <property name="KSOProductBuildVer" fmtid="{D5CDD505-2E9C-101B-9397-08002B2CF9AE}" pid="3">
    <vt:lpwstr xmlns:vt="http://schemas.openxmlformats.org/officeDocument/2006/docPropsVTypes">1033-12.2.0.23155</vt:lpwstr>
  </property>
</Properties>
</file>